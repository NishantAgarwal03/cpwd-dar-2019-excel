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tes_Master" sheetId="1" state="visible" r:id="rId1"/>
    <sheet name="Global_Factors" sheetId="2" state="visible" r:id="rId2"/>
    <sheet name="02_Earth_Work" sheetId="3" state="visible" r:id="rId3"/>
  </sheets>
  <definedNames/>
  <calcPr calcId="124519" fullCalcOnLoad="1"/>
</workbook>
</file>

<file path=xl/styles.xml><?xml version="1.0" encoding="utf-8"?>
<styleSheet xmlns="http://schemas.openxmlformats.org/spreadsheetml/2006/main">
  <numFmts count="8">
    <numFmt numFmtId="164" formatCode="₹ #,##0.00"/>
    <numFmt numFmtId="165" formatCode="0.000"/>
    <numFmt numFmtId="166" formatCode="0.0&quot;%&quot;"/>
    <numFmt numFmtId="167" formatCode="0.0000"/>
    <numFmt numFmtId="168" formatCode="0.00 &quot;sqm/day&quot;"/>
    <numFmt numFmtId="169" formatCode="0.00 &quot;cum/day&quot;"/>
    <numFmt numFmtId="170" formatCode="0.00 &quot;m/day&quot;"/>
    <numFmt numFmtId="171" formatCode="0.00 &quot;tree/day&quot;"/>
  </numFmts>
  <fonts count="9">
    <font>
      <name val="Calibri"/>
      <family val="2"/>
      <color theme="1"/>
      <sz val="11"/>
      <scheme val="minor"/>
    </font>
    <font>
      <name val="Segoe UI"/>
      <b val="1"/>
      <color rgb="00FFFFFF"/>
      <sz val="13"/>
    </font>
    <font>
      <name val="Segoe UI"/>
      <b val="1"/>
      <color rgb="001E293B"/>
      <sz val="9"/>
    </font>
    <font>
      <name val="Segoe UI"/>
      <b val="1"/>
      <color rgb="000F172A"/>
      <sz val="10"/>
    </font>
    <font>
      <name val="Segoe UI"/>
      <color rgb="000F172A"/>
      <sz val="10"/>
    </font>
    <font>
      <name val="Segoe UI"/>
      <i val="1"/>
      <color rgb="00475569"/>
      <sz val="9"/>
    </font>
    <font>
      <name val="Segoe UI"/>
      <b val="1"/>
      <color rgb="00FFFFFF"/>
      <sz val="10"/>
    </font>
    <font>
      <name val="Segoe UI"/>
      <b val="1"/>
      <color rgb="00065F46"/>
      <sz val="11"/>
    </font>
    <font>
      <name val="Segoe UI"/>
      <b val="1"/>
      <color rgb="001E3A8A"/>
      <sz val="13"/>
    </font>
  </fonts>
  <fills count="12">
    <fill>
      <patternFill/>
    </fill>
    <fill>
      <patternFill patternType="gray125"/>
    </fill>
    <fill>
      <patternFill patternType="solid">
        <fgColor rgb="001E3A8A"/>
        <bgColor rgb="001E3A8A"/>
      </patternFill>
    </fill>
    <fill>
      <patternFill patternType="solid">
        <fgColor rgb="00FEF9C3"/>
        <bgColor rgb="00FEF9C3"/>
      </patternFill>
    </fill>
    <fill>
      <patternFill patternType="solid">
        <fgColor rgb="00FED7AA"/>
        <bgColor rgb="00FED7AA"/>
      </patternFill>
    </fill>
    <fill>
      <patternFill patternType="solid">
        <fgColor rgb="00E0F2FE"/>
        <bgColor rgb="00E0F2FE"/>
      </patternFill>
    </fill>
    <fill>
      <patternFill patternType="solid">
        <fgColor rgb="00FFFFFF"/>
        <bgColor rgb="00FFFFFF"/>
      </patternFill>
    </fill>
    <fill>
      <patternFill patternType="solid">
        <fgColor rgb="00DCFCE7"/>
        <bgColor rgb="00DCFCE7"/>
      </patternFill>
    </fill>
    <fill>
      <patternFill patternType="solid">
        <fgColor rgb="00FEF08A"/>
        <bgColor rgb="00FEF08A"/>
      </patternFill>
    </fill>
    <fill>
      <patternFill patternType="solid">
        <fgColor rgb="00F8FAFC"/>
        <bgColor rgb="00F8FAFC"/>
      </patternFill>
    </fill>
    <fill>
      <patternFill patternType="solid">
        <fgColor rgb="00F1F5F9"/>
        <bgColor rgb="00F1F5F9"/>
      </patternFill>
    </fill>
    <fill>
      <patternFill patternType="solid">
        <fgColor rgb="002B4C7E"/>
        <bgColor rgb="002B4C7E"/>
      </patternFill>
    </fill>
  </fills>
  <borders count="14">
    <border>
      <left/>
      <right/>
      <top/>
      <bottom/>
      <diagonal/>
    </border>
    <border>
      <left style="thin">
        <color rgb="00CBD5E1"/>
      </left>
      <right style="thin">
        <color rgb="00CBD5E1"/>
      </right>
      <top style="thin">
        <color rgb="00CBD5E1"/>
      </top>
      <bottom style="thin">
        <color rgb="00CBD5E1"/>
      </bottom>
    </border>
    <border>
      <left style="thin">
        <color rgb="00475569"/>
      </left>
      <right style="thin">
        <color rgb="00475569"/>
      </right>
      <top style="thin">
        <color rgb="00475569"/>
      </top>
      <bottom style="thin">
        <color rgb="00475569"/>
      </bottom>
    </border>
    <border>
      <left/>
      <right/>
      <top style="thin">
        <color rgb="00475569"/>
      </top>
      <bottom/>
      <diagonal/>
    </border>
    <border>
      <left/>
      <right style="thin">
        <color rgb="00475569"/>
      </right>
      <top style="thin">
        <color rgb="00475569"/>
      </top>
      <bottom/>
      <diagonal/>
    </border>
    <border>
      <left/>
      <right/>
      <top style="thin">
        <color rgb="00475569"/>
      </top>
      <bottom style="thin">
        <color rgb="00475569"/>
      </bottom>
      <diagonal/>
    </border>
    <border>
      <left/>
      <right style="thin">
        <color rgb="00475569"/>
      </right>
      <top style="thin">
        <color rgb="00475569"/>
      </top>
      <bottom style="thin">
        <color rgb="00475569"/>
      </bottom>
      <diagonal/>
    </border>
    <border>
      <left style="thin">
        <color rgb="00CBD5E1"/>
      </left>
      <right style="thin">
        <color rgb="00CBD5E1"/>
      </right>
      <top style="thin">
        <color rgb="00CBD5E1"/>
      </top>
      <bottom style="double">
        <color rgb="001E3A8A"/>
      </bottom>
    </border>
    <border>
      <left/>
      <right/>
      <top style="thin">
        <color rgb="00CBD5E1"/>
      </top>
      <bottom/>
      <diagonal/>
    </border>
    <border>
      <left/>
      <right style="thin">
        <color rgb="00CBD5E1"/>
      </right>
      <top style="thin">
        <color rgb="00CBD5E1"/>
      </top>
      <bottom/>
      <diagonal/>
    </border>
    <border>
      <left/>
      <right/>
      <top style="thin">
        <color rgb="00CBD5E1"/>
      </top>
      <bottom style="thin">
        <color rgb="00CBD5E1"/>
      </bottom>
      <diagonal/>
    </border>
    <border>
      <left/>
      <right style="thin">
        <color rgb="00CBD5E1"/>
      </right>
      <top style="thin">
        <color rgb="00CBD5E1"/>
      </top>
      <bottom style="thin">
        <color rgb="00CBD5E1"/>
      </bottom>
      <diagonal/>
    </border>
    <border>
      <left/>
      <right/>
      <top style="thin">
        <color rgb="00CBD5E1"/>
      </top>
      <bottom style="double">
        <color rgb="001E3A8A"/>
      </bottom>
      <diagonal/>
    </border>
    <border>
      <left/>
      <right style="thin">
        <color rgb="00CBD5E1"/>
      </right>
      <top style="thin">
        <color rgb="00CBD5E1"/>
      </top>
      <bottom style="double">
        <color rgb="001E3A8A"/>
      </bottom>
      <diagonal/>
    </border>
  </borders>
  <cellStyleXfs count="1">
    <xf numFmtId="0" fontId="0" fillId="0" borderId="0"/>
  </cellStyleXfs>
  <cellXfs count="96">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3" borderId="1" applyAlignment="1" pivotButton="0" quotePrefix="0" xfId="0">
      <alignment horizontal="center" vertical="center"/>
    </xf>
    <xf numFmtId="0" fontId="3" fillId="4" borderId="1" applyAlignment="1" pivotButton="0" quotePrefix="0" xfId="0">
      <alignment horizontal="center" vertical="center"/>
    </xf>
    <xf numFmtId="0" fontId="4" fillId="5" borderId="1" applyAlignment="1" pivotButton="0" quotePrefix="0" xfId="0">
      <alignment horizontal="center" vertical="center"/>
    </xf>
    <xf numFmtId="0" fontId="4" fillId="6" borderId="1" applyAlignment="1" pivotButton="0" quotePrefix="0" xfId="0">
      <alignment horizontal="center" vertical="center"/>
    </xf>
    <xf numFmtId="0" fontId="3" fillId="7" borderId="1" applyAlignment="1" pivotButton="0" quotePrefix="0" xfId="0">
      <alignment horizontal="center" vertical="center"/>
    </xf>
    <xf numFmtId="0" fontId="3" fillId="8" borderId="1" applyAlignment="1" pivotButton="0" quotePrefix="0" xfId="0">
      <alignment horizontal="center" vertical="center"/>
    </xf>
    <xf numFmtId="0" fontId="5" fillId="9" borderId="1" applyAlignment="1" pivotButton="0" quotePrefix="0" xfId="0">
      <alignment horizontal="center" vertical="center"/>
    </xf>
    <xf numFmtId="0" fontId="4" fillId="10" borderId="1" applyAlignment="1" pivotButton="0" quotePrefix="0" xfId="0">
      <alignment horizontal="center" vertical="center"/>
    </xf>
    <xf numFmtId="0" fontId="5" fillId="9" borderId="1" applyAlignment="1" pivotButton="0" quotePrefix="0" xfId="0">
      <alignment horizontal="left" vertical="center" wrapText="1"/>
    </xf>
    <xf numFmtId="0" fontId="6" fillId="11" borderId="0" applyAlignment="1" pivotButton="0" quotePrefix="0" xfId="0">
      <alignment horizontal="left" vertical="center"/>
    </xf>
    <xf numFmtId="0" fontId="6" fillId="11" borderId="2" applyAlignment="1" pivotButton="0" quotePrefix="0" xfId="0">
      <alignment horizontal="center" vertical="center"/>
    </xf>
    <xf numFmtId="0" fontId="0" fillId="0" borderId="5" pivotButton="0" quotePrefix="0" xfId="0"/>
    <xf numFmtId="0" fontId="0" fillId="0" borderId="6" pivotButton="0" quotePrefix="0" xfId="0"/>
    <xf numFmtId="0" fontId="3" fillId="0" borderId="1" applyAlignment="1" pivotButton="0" quotePrefix="0" xfId="0">
      <alignment horizontal="left" vertical="center"/>
    </xf>
    <xf numFmtId="0" fontId="0" fillId="0" borderId="1" pivotButton="0" quotePrefix="0" xfId="0"/>
    <xf numFmtId="0" fontId="4" fillId="0" borderId="1" applyAlignment="1" pivotButton="0" quotePrefix="0" xfId="0">
      <alignment horizontal="center" vertical="center"/>
    </xf>
    <xf numFmtId="0" fontId="5" fillId="0" borderId="1" applyAlignment="1" pivotButton="0" quotePrefix="0" xfId="0">
      <alignment horizontal="left" vertical="center" wrapText="1"/>
    </xf>
    <xf numFmtId="2" fontId="3" fillId="5" borderId="1" applyAlignment="1" pivotButton="0" quotePrefix="0" xfId="0">
      <alignment horizontal="center" vertical="center"/>
    </xf>
    <xf numFmtId="0" fontId="3" fillId="5" borderId="1" applyAlignment="1" pivotButton="0" quotePrefix="0" xfId="0">
      <alignment horizontal="center" vertical="center"/>
    </xf>
    <xf numFmtId="0" fontId="3" fillId="0" borderId="1" pivotButton="0" quotePrefix="0" xfId="0"/>
    <xf numFmtId="0" fontId="4" fillId="5" borderId="1" applyAlignment="1" pivotButton="0" quotePrefix="0" xfId="0">
      <alignment horizontal="left" vertical="center" wrapText="1"/>
    </xf>
    <xf numFmtId="164" fontId="3" fillId="5" borderId="1" applyAlignment="1" pivotButton="0" quotePrefix="0" xfId="0">
      <alignment horizontal="center" vertical="center"/>
    </xf>
    <xf numFmtId="0" fontId="6" fillId="11" borderId="1" applyAlignment="1" pivotButton="0" quotePrefix="0" xfId="0">
      <alignment horizontal="center" vertical="center"/>
    </xf>
    <xf numFmtId="0" fontId="7" fillId="7" borderId="1" applyAlignment="1" pivotButton="0" quotePrefix="0" xfId="0">
      <alignment horizontal="center" vertical="center"/>
    </xf>
    <xf numFmtId="0" fontId="5" fillId="0" borderId="1" applyAlignment="1" pivotButton="0" quotePrefix="0" xfId="0">
      <alignment horizontal="right" vertical="center"/>
    </xf>
    <xf numFmtId="0" fontId="3" fillId="0" borderId="1" applyAlignment="1" pivotButton="0" quotePrefix="0" xfId="0">
      <alignment horizontal="center" vertical="center"/>
    </xf>
    <xf numFmtId="0" fontId="5" fillId="0" borderId="1" pivotButton="0" quotePrefix="0" xfId="0"/>
    <xf numFmtId="0" fontId="3" fillId="5" borderId="1" pivotButton="0" quotePrefix="0" xfId="0"/>
    <xf numFmtId="0" fontId="4" fillId="0" borderId="1" applyAlignment="1" pivotButton="0" quotePrefix="0" xfId="0">
      <alignment horizontal="left" vertical="center"/>
    </xf>
    <xf numFmtId="0" fontId="5" fillId="0" borderId="1" applyAlignment="1" pivotButton="0" quotePrefix="0" xfId="0">
      <alignment horizontal="center" vertical="center"/>
    </xf>
    <xf numFmtId="165" fontId="3" fillId="3" borderId="1" applyAlignment="1" pivotButton="0" quotePrefix="0" xfId="0">
      <alignment horizontal="right" vertical="center"/>
    </xf>
    <xf numFmtId="164" fontId="4" fillId="5" borderId="1" applyAlignment="1" pivotButton="0" quotePrefix="0" xfId="0">
      <alignment horizontal="right" vertical="center"/>
    </xf>
    <xf numFmtId="164" fontId="3" fillId="6" borderId="1" applyAlignment="1" pivotButton="0" quotePrefix="0" xfId="0">
      <alignment horizontal="right" vertical="center"/>
    </xf>
    <xf numFmtId="166" fontId="4" fillId="6" borderId="1" applyAlignment="1" pivotButton="0" quotePrefix="0" xfId="0">
      <alignment horizontal="right" vertical="center"/>
    </xf>
    <xf numFmtId="2" fontId="5" fillId="0" borderId="1" applyAlignment="1" pivotButton="0" quotePrefix="0" xfId="0">
      <alignment horizontal="right" vertical="center"/>
    </xf>
    <xf numFmtId="167" fontId="5" fillId="0" borderId="1" applyAlignment="1" pivotButton="0" quotePrefix="0" xfId="0">
      <alignment horizontal="right" vertical="center"/>
    </xf>
    <xf numFmtId="0" fontId="5" fillId="0" borderId="1" applyAlignment="1" pivotButton="0" quotePrefix="0" xfId="0">
      <alignment horizontal="left" vertical="center"/>
    </xf>
    <xf numFmtId="0" fontId="3" fillId="10" borderId="1" applyAlignment="1" pivotButton="0" quotePrefix="0" xfId="0">
      <alignment horizontal="right" vertical="center"/>
    </xf>
    <xf numFmtId="0" fontId="0" fillId="10" borderId="1" pivotButton="0" quotePrefix="0" xfId="0"/>
    <xf numFmtId="164" fontId="3" fillId="10" borderId="1" applyAlignment="1" pivotButton="0" quotePrefix="0" xfId="0">
      <alignment horizontal="right" vertical="center"/>
    </xf>
    <xf numFmtId="0" fontId="0" fillId="10" borderId="1" applyAlignment="1" pivotButton="0" quotePrefix="0" xfId="0">
      <alignment horizontal="center" vertical="center"/>
    </xf>
    <xf numFmtId="0" fontId="5" fillId="10" borderId="1" pivotButton="0" quotePrefix="0" xfId="0"/>
    <xf numFmtId="0" fontId="3" fillId="10" borderId="7" applyAlignment="1" pivotButton="0" quotePrefix="0" xfId="0">
      <alignment horizontal="right" vertical="center"/>
    </xf>
    <xf numFmtId="0" fontId="0" fillId="10" borderId="7" pivotButton="0" quotePrefix="0" xfId="0"/>
    <xf numFmtId="164" fontId="3" fillId="10" borderId="7" applyAlignment="1" pivotButton="0" quotePrefix="0" xfId="0">
      <alignment horizontal="right" vertical="center"/>
    </xf>
    <xf numFmtId="0" fontId="0" fillId="10" borderId="7" applyAlignment="1" pivotButton="0" quotePrefix="0" xfId="0">
      <alignment horizontal="center" vertical="center"/>
    </xf>
    <xf numFmtId="0" fontId="5" fillId="10" borderId="7" pivotButton="0" quotePrefix="0" xfId="0"/>
    <xf numFmtId="0" fontId="0" fillId="0" borderId="1" applyAlignment="1" pivotButton="0" quotePrefix="0" xfId="0">
      <alignment horizontal="center" vertical="center"/>
    </xf>
    <xf numFmtId="164" fontId="0" fillId="0" borderId="1" applyAlignment="1" pivotButton="0" quotePrefix="0" xfId="0">
      <alignment horizontal="right" vertical="center"/>
    </xf>
    <xf numFmtId="0" fontId="0" fillId="0" borderId="1" applyAlignment="1" pivotButton="0" quotePrefix="0" xfId="0">
      <alignment horizontal="right" vertical="center"/>
    </xf>
    <xf numFmtId="164" fontId="4" fillId="0" borderId="1" applyAlignment="1" pivotButton="0" quotePrefix="0" xfId="0">
      <alignment horizontal="right" vertical="center"/>
    </xf>
    <xf numFmtId="10" fontId="0" fillId="5" borderId="1" applyAlignment="1" pivotButton="0" quotePrefix="0" xfId="0">
      <alignment horizontal="right" vertical="center"/>
    </xf>
    <xf numFmtId="0" fontId="3" fillId="10" borderId="1" applyAlignment="1" pivotButton="0" quotePrefix="0" xfId="0">
      <alignment horizontal="center" vertical="center"/>
    </xf>
    <xf numFmtId="0" fontId="4" fillId="10" borderId="1" applyAlignment="1" pivotButton="0" quotePrefix="0" xfId="0">
      <alignment horizontal="left" vertical="center"/>
    </xf>
    <xf numFmtId="164" fontId="0" fillId="10" borderId="1" applyAlignment="1" pivotButton="0" quotePrefix="0" xfId="0">
      <alignment horizontal="right" vertical="center"/>
    </xf>
    <xf numFmtId="0" fontId="0" fillId="10" borderId="1" applyAlignment="1" pivotButton="0" quotePrefix="0" xfId="0">
      <alignment horizontal="right" vertical="center"/>
    </xf>
    <xf numFmtId="164" fontId="4" fillId="10" borderId="1" applyAlignment="1" pivotButton="0" quotePrefix="0" xfId="0">
      <alignment horizontal="right" vertical="center"/>
    </xf>
    <xf numFmtId="0" fontId="5" fillId="10" borderId="1" applyAlignment="1" pivotButton="0" quotePrefix="0" xfId="0">
      <alignment horizontal="left" vertical="center" wrapText="1"/>
    </xf>
    <xf numFmtId="0" fontId="3" fillId="7" borderId="1" applyAlignment="1" pivotButton="0" quotePrefix="0" xfId="0">
      <alignment horizontal="left" vertical="center"/>
    </xf>
    <xf numFmtId="0" fontId="0" fillId="7" borderId="1" applyAlignment="1" pivotButton="0" quotePrefix="0" xfId="0">
      <alignment horizontal="center" vertical="center"/>
    </xf>
    <xf numFmtId="164" fontId="0" fillId="7" borderId="1" applyAlignment="1" pivotButton="0" quotePrefix="0" xfId="0">
      <alignment horizontal="right" vertical="center"/>
    </xf>
    <xf numFmtId="0" fontId="0" fillId="7" borderId="1" applyAlignment="1" pivotButton="0" quotePrefix="0" xfId="0">
      <alignment horizontal="right" vertical="center"/>
    </xf>
    <xf numFmtId="164" fontId="3" fillId="7" borderId="1" applyAlignment="1" pivotButton="0" quotePrefix="0" xfId="0">
      <alignment horizontal="right" vertical="center"/>
    </xf>
    <xf numFmtId="0" fontId="5" fillId="7" borderId="1" applyAlignment="1" pivotButton="0" quotePrefix="0" xfId="0">
      <alignment horizontal="left" vertical="center" wrapText="1"/>
    </xf>
    <xf numFmtId="0" fontId="0" fillId="7" borderId="1" pivotButton="0" quotePrefix="0" xfId="0"/>
    <xf numFmtId="0" fontId="3" fillId="8" borderId="1" applyAlignment="1" pivotButton="0" quotePrefix="0" xfId="0">
      <alignment horizontal="left" vertical="center"/>
    </xf>
    <xf numFmtId="0" fontId="0" fillId="8" borderId="1" applyAlignment="1" pivotButton="0" quotePrefix="0" xfId="0">
      <alignment horizontal="center" vertical="center"/>
    </xf>
    <xf numFmtId="164" fontId="0" fillId="8" borderId="1" applyAlignment="1" pivotButton="0" quotePrefix="0" xfId="0">
      <alignment horizontal="right" vertical="center"/>
    </xf>
    <xf numFmtId="0" fontId="0" fillId="8" borderId="1" applyAlignment="1" pivotButton="0" quotePrefix="0" xfId="0">
      <alignment horizontal="right" vertical="center"/>
    </xf>
    <xf numFmtId="164" fontId="8" fillId="8" borderId="1" applyAlignment="1" pivotButton="0" quotePrefix="0" xfId="0">
      <alignment horizontal="right" vertical="center"/>
    </xf>
    <xf numFmtId="0" fontId="5" fillId="8" borderId="1" applyAlignment="1" pivotButton="0" quotePrefix="0" xfId="0">
      <alignment horizontal="left" vertical="center" wrapText="1"/>
    </xf>
    <xf numFmtId="0" fontId="0" fillId="8" borderId="1" pivotButton="0" quotePrefix="0" xfId="0"/>
    <xf numFmtId="0" fontId="5" fillId="9" borderId="0" applyAlignment="1" pivotButton="0" quotePrefix="0" xfId="0">
      <alignment horizontal="left" vertical="center" wrapText="1"/>
    </xf>
    <xf numFmtId="0" fontId="0" fillId="0" borderId="1" applyAlignment="1" pivotButton="0" quotePrefix="0" xfId="0">
      <alignment horizontal="left" vertical="center"/>
    </xf>
    <xf numFmtId="2" fontId="0" fillId="5" borderId="1" applyAlignment="1" pivotButton="0" quotePrefix="0" xfId="0">
      <alignment horizontal="right" vertical="center"/>
    </xf>
    <xf numFmtId="1" fontId="0" fillId="3" borderId="1" applyAlignment="1" pivotButton="0" quotePrefix="0" xfId="0">
      <alignment horizontal="right" vertical="center"/>
    </xf>
    <xf numFmtId="165" fontId="0" fillId="3" borderId="1" applyAlignment="1" pivotButton="0" quotePrefix="0" xfId="0">
      <alignment horizontal="right" vertical="center"/>
    </xf>
    <xf numFmtId="165" fontId="3" fillId="6" borderId="1" applyAlignment="1" pivotButton="0" quotePrefix="0" xfId="0">
      <alignment horizontal="right" vertical="center"/>
    </xf>
    <xf numFmtId="2" fontId="0" fillId="5" borderId="1" applyAlignment="1" pivotButton="0" quotePrefix="0" xfId="0">
      <alignment horizontal="center" vertical="center"/>
    </xf>
    <xf numFmtId="2" fontId="0" fillId="6" borderId="1" applyAlignment="1" pivotButton="0" quotePrefix="0" xfId="0">
      <alignment horizontal="right" vertical="center"/>
    </xf>
    <xf numFmtId="167" fontId="0" fillId="6" borderId="1" applyAlignment="1" pivotButton="0" quotePrefix="0" xfId="0">
      <alignment horizontal="right" vertical="center"/>
    </xf>
    <xf numFmtId="164" fontId="3" fillId="0" borderId="1" applyAlignment="1" pivotButton="0" quotePrefix="0" xfId="0">
      <alignment horizontal="right" vertical="center"/>
    </xf>
    <xf numFmtId="0" fontId="6" fillId="11" borderId="0" applyAlignment="1" pivotButton="0" quotePrefix="0" xfId="0">
      <alignment horizontal="center" vertical="center"/>
    </xf>
    <xf numFmtId="165" fontId="0" fillId="0" borderId="1" applyAlignment="1" pivotButton="0" quotePrefix="0" xfId="0">
      <alignment horizontal="right" vertical="center"/>
    </xf>
    <xf numFmtId="168" fontId="5" fillId="0" borderId="1" applyAlignment="1" pivotButton="0" quotePrefix="0" xfId="0">
      <alignment horizontal="right" vertical="center"/>
    </xf>
    <xf numFmtId="0" fontId="4" fillId="0" borderId="0" applyAlignment="1" pivotButton="0" quotePrefix="0" xfId="0">
      <alignment horizontal="left" vertical="center"/>
    </xf>
    <xf numFmtId="169" fontId="5" fillId="0" borderId="1" applyAlignment="1" pivotButton="0" quotePrefix="0" xfId="0">
      <alignment horizontal="right" vertical="center"/>
    </xf>
    <xf numFmtId="170" fontId="5" fillId="0" borderId="1" applyAlignment="1" pivotButton="0" quotePrefix="0" xfId="0">
      <alignment horizontal="right" vertical="center"/>
    </xf>
    <xf numFmtId="171" fontId="5" fillId="0" borderId="1" applyAlignment="1" pivotButton="0" quotePrefix="0" xfId="0">
      <alignment horizontal="right" vertical="center"/>
    </xf>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Code</t>
        </is>
      </c>
      <c r="B1" t="inlineStr">
        <is>
          <t>Category</t>
        </is>
      </c>
      <c r="C1" t="inlineStr">
        <is>
          <t>Description</t>
        </is>
      </c>
      <c r="D1" t="inlineStr">
        <is>
          <t>Unit</t>
        </is>
      </c>
      <c r="E1" t="inlineStr">
        <is>
          <t>Basic Rate (Rs)</t>
        </is>
      </c>
    </row>
    <row r="2">
      <c r="A2" t="inlineStr">
        <is>
          <t>0114</t>
        </is>
      </c>
      <c r="B2" t="inlineStr">
        <is>
          <t>Labour</t>
        </is>
      </c>
      <c r="C2" t="inlineStr">
        <is>
          <t>Beldar</t>
        </is>
      </c>
      <c r="D2" t="inlineStr">
        <is>
          <t>day</t>
        </is>
      </c>
      <c r="E2" t="n">
        <v>558</v>
      </c>
    </row>
    <row r="3">
      <c r="A3" t="inlineStr">
        <is>
          <t>0115</t>
        </is>
      </c>
      <c r="B3" t="inlineStr">
        <is>
          <t>Labour</t>
        </is>
      </c>
      <c r="C3" t="inlineStr">
        <is>
          <t>Coolie</t>
        </is>
      </c>
      <c r="D3" t="inlineStr">
        <is>
          <t>day</t>
        </is>
      </c>
      <c r="E3" t="n">
        <v>558</v>
      </c>
    </row>
    <row r="4">
      <c r="A4" t="inlineStr">
        <is>
          <t>0101</t>
        </is>
      </c>
      <c r="B4" t="inlineStr">
        <is>
          <t>Labour</t>
        </is>
      </c>
      <c r="C4" t="inlineStr">
        <is>
          <t>Bhisti</t>
        </is>
      </c>
      <c r="D4" t="inlineStr">
        <is>
          <t>day</t>
        </is>
      </c>
      <c r="E4" t="n">
        <v>617</v>
      </c>
    </row>
    <row r="5">
      <c r="A5" t="inlineStr">
        <is>
          <t>0113</t>
        </is>
      </c>
      <c r="B5" t="inlineStr">
        <is>
          <t>Sundries</t>
        </is>
      </c>
      <c r="C5" t="inlineStr">
        <is>
          <t>Chowkidar</t>
        </is>
      </c>
      <c r="D5" t="inlineStr">
        <is>
          <t>day</t>
        </is>
      </c>
      <c r="E5" t="n">
        <v>558</v>
      </c>
    </row>
    <row r="6">
      <c r="A6" t="inlineStr">
        <is>
          <t>0003</t>
        </is>
      </c>
      <c r="B6" t="inlineStr">
        <is>
          <t>Plant</t>
        </is>
      </c>
      <c r="C6" t="inlineStr">
        <is>
          <t>Hire charges of Diesel Road Roller</t>
        </is>
      </c>
      <c r="D6" t="inlineStr">
        <is>
          <t>day</t>
        </is>
      </c>
      <c r="E6" t="n">
        <v>3000</v>
      </c>
    </row>
    <row r="7">
      <c r="A7" t="inlineStr">
        <is>
          <t>9999</t>
        </is>
      </c>
      <c r="B7" t="inlineStr">
        <is>
          <t>Sundries</t>
        </is>
      </c>
      <c r="C7" t="inlineStr">
        <is>
          <t>Sundries</t>
        </is>
      </c>
      <c r="D7" t="inlineStr">
        <is>
          <t>L.S.</t>
        </is>
      </c>
      <c r="E7" t="n">
        <v>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t="inlineStr">
        <is>
          <t>GF_1</t>
        </is>
      </c>
      <c r="B1" t="inlineStr">
        <is>
          <t>desc</t>
        </is>
      </c>
      <c r="C1" t="n">
        <v>0.01</v>
      </c>
      <c r="D1" t="inlineStr">
        <is>
          <t>unit</t>
        </is>
      </c>
      <c r="E1" t="n">
        <v>0.01</v>
      </c>
      <c r="F1" t="n">
        <v>0.01</v>
      </c>
    </row>
    <row r="2">
      <c r="A2" t="inlineStr">
        <is>
          <t>GF_2</t>
        </is>
      </c>
      <c r="B2" t="inlineStr">
        <is>
          <t>desc</t>
        </is>
      </c>
      <c r="C2" t="n">
        <v>0.01</v>
      </c>
      <c r="D2" t="inlineStr">
        <is>
          <t>unit</t>
        </is>
      </c>
      <c r="E2" t="n">
        <v>0.01</v>
      </c>
      <c r="F2" t="n">
        <v>0.01</v>
      </c>
    </row>
    <row r="3">
      <c r="A3" t="inlineStr">
        <is>
          <t>GF_3</t>
        </is>
      </c>
      <c r="B3" t="inlineStr">
        <is>
          <t>desc</t>
        </is>
      </c>
      <c r="C3" t="n">
        <v>0.01</v>
      </c>
      <c r="D3" t="inlineStr">
        <is>
          <t>unit</t>
        </is>
      </c>
      <c r="E3" t="n">
        <v>0.01</v>
      </c>
      <c r="F3" t="n">
        <v>0.01</v>
      </c>
    </row>
    <row r="4">
      <c r="A4" t="inlineStr">
        <is>
          <t>GF_4</t>
        </is>
      </c>
      <c r="B4" t="inlineStr">
        <is>
          <t>desc</t>
        </is>
      </c>
      <c r="C4" t="n">
        <v>0.01</v>
      </c>
      <c r="D4" t="inlineStr">
        <is>
          <t>unit</t>
        </is>
      </c>
      <c r="E4" t="n">
        <v>0.01</v>
      </c>
      <c r="F4" t="n">
        <v>0.01</v>
      </c>
    </row>
    <row r="5">
      <c r="A5" t="inlineStr">
        <is>
          <t>GF_5</t>
        </is>
      </c>
      <c r="B5" t="inlineStr">
        <is>
          <t>desc</t>
        </is>
      </c>
      <c r="C5" t="n">
        <v>0.01</v>
      </c>
      <c r="D5" t="inlineStr">
        <is>
          <t>unit</t>
        </is>
      </c>
      <c r="E5" t="n">
        <v>0.01</v>
      </c>
      <c r="F5" t="n">
        <v>0.01</v>
      </c>
    </row>
    <row r="6">
      <c r="A6" t="inlineStr">
        <is>
          <t>GF_6</t>
        </is>
      </c>
      <c r="B6" t="inlineStr">
        <is>
          <t>desc</t>
        </is>
      </c>
      <c r="C6" t="n">
        <v>0.01</v>
      </c>
      <c r="D6" t="inlineStr">
        <is>
          <t>unit</t>
        </is>
      </c>
      <c r="E6" t="n">
        <v>0.01</v>
      </c>
      <c r="F6" t="n">
        <v>0.01</v>
      </c>
    </row>
    <row r="7">
      <c r="A7" t="inlineStr">
        <is>
          <t>GF_7</t>
        </is>
      </c>
      <c r="B7" t="inlineStr">
        <is>
          <t>desc</t>
        </is>
      </c>
      <c r="C7" t="n">
        <v>0.01</v>
      </c>
      <c r="D7" t="inlineStr">
        <is>
          <t>unit</t>
        </is>
      </c>
      <c r="E7" t="n">
        <v>0.01</v>
      </c>
      <c r="F7" t="n">
        <v>0.01</v>
      </c>
    </row>
    <row r="8">
      <c r="A8" t="inlineStr">
        <is>
          <t>GF_8</t>
        </is>
      </c>
      <c r="B8" t="inlineStr">
        <is>
          <t>desc</t>
        </is>
      </c>
      <c r="C8" t="n">
        <v>0.01</v>
      </c>
      <c r="D8" t="inlineStr">
        <is>
          <t>unit</t>
        </is>
      </c>
      <c r="E8" t="n">
        <v>0.01</v>
      </c>
      <c r="F8" t="n">
        <v>0.01</v>
      </c>
    </row>
    <row r="9">
      <c r="A9" t="inlineStr">
        <is>
          <t>GF_9</t>
        </is>
      </c>
      <c r="B9" t="inlineStr">
        <is>
          <t>desc</t>
        </is>
      </c>
      <c r="C9" t="n">
        <v>0.01</v>
      </c>
      <c r="D9" t="inlineStr">
        <is>
          <t>unit</t>
        </is>
      </c>
      <c r="E9" t="n">
        <v>0.01</v>
      </c>
      <c r="F9" t="n">
        <v>0.01</v>
      </c>
    </row>
    <row r="10">
      <c r="A10" t="inlineStr">
        <is>
          <t>GF_10</t>
        </is>
      </c>
      <c r="B10" t="inlineStr">
        <is>
          <t>desc</t>
        </is>
      </c>
      <c r="C10" t="n">
        <v>0.01</v>
      </c>
      <c r="D10" t="inlineStr">
        <is>
          <t>unit</t>
        </is>
      </c>
      <c r="E10" t="n">
        <v>0.01</v>
      </c>
      <c r="F10" t="n">
        <v>0.01</v>
      </c>
    </row>
    <row r="11">
      <c r="A11" t="inlineStr">
        <is>
          <t>GF_11</t>
        </is>
      </c>
      <c r="B11" t="inlineStr">
        <is>
          <t>desc</t>
        </is>
      </c>
      <c r="C11" t="n">
        <v>0.01</v>
      </c>
      <c r="D11" t="inlineStr">
        <is>
          <t>unit</t>
        </is>
      </c>
      <c r="E11" t="n">
        <v>0.01</v>
      </c>
      <c r="F11" t="n">
        <v>0.01</v>
      </c>
    </row>
    <row r="12">
      <c r="A12" t="inlineStr">
        <is>
          <t>GF_12</t>
        </is>
      </c>
      <c r="B12" t="inlineStr">
        <is>
          <t>desc</t>
        </is>
      </c>
      <c r="C12" t="n">
        <v>0.01</v>
      </c>
      <c r="D12" t="inlineStr">
        <is>
          <t>unit</t>
        </is>
      </c>
      <c r="E12" t="n">
        <v>0.01</v>
      </c>
      <c r="F12" t="n">
        <v>0.01</v>
      </c>
    </row>
    <row r="13">
      <c r="A13" t="inlineStr">
        <is>
          <t>GF_13</t>
        </is>
      </c>
      <c r="B13" t="inlineStr">
        <is>
          <t>desc</t>
        </is>
      </c>
      <c r="C13" t="n">
        <v>0.1405</v>
      </c>
      <c r="D13" t="inlineStr">
        <is>
          <t>unit</t>
        </is>
      </c>
      <c r="E13" t="n">
        <v>0.01</v>
      </c>
      <c r="F13" t="n">
        <v>0.01</v>
      </c>
    </row>
    <row r="14">
      <c r="A14" t="inlineStr">
        <is>
          <t>GF_14</t>
        </is>
      </c>
      <c r="B14" t="inlineStr">
        <is>
          <t>desc</t>
        </is>
      </c>
      <c r="C14" t="n">
        <v>0.15</v>
      </c>
      <c r="D14" t="inlineStr">
        <is>
          <t>unit</t>
        </is>
      </c>
      <c r="E14" t="n">
        <v>0.01</v>
      </c>
      <c r="F14" t="n">
        <v>0.01</v>
      </c>
    </row>
    <row r="15">
      <c r="A15" t="inlineStr">
        <is>
          <t>GF_15</t>
        </is>
      </c>
      <c r="B15" t="inlineStr">
        <is>
          <t>desc</t>
        </is>
      </c>
      <c r="C15" t="n">
        <v>0.01</v>
      </c>
      <c r="D15" t="inlineStr">
        <is>
          <t>unit</t>
        </is>
      </c>
      <c r="E15" t="n">
        <v>0.01</v>
      </c>
      <c r="F15" t="n">
        <v>0.01</v>
      </c>
    </row>
    <row r="16">
      <c r="A16" t="inlineStr">
        <is>
          <t>GF_16</t>
        </is>
      </c>
      <c r="B16" t="inlineStr">
        <is>
          <t>desc</t>
        </is>
      </c>
      <c r="C16" t="n">
        <v>0.01</v>
      </c>
      <c r="D16" t="inlineStr">
        <is>
          <t>unit</t>
        </is>
      </c>
      <c r="E16" t="n">
        <v>0.01</v>
      </c>
      <c r="F16" t="n">
        <v>0.01</v>
      </c>
    </row>
    <row r="17">
      <c r="A17" t="inlineStr">
        <is>
          <t>GF_17</t>
        </is>
      </c>
      <c r="B17" t="inlineStr">
        <is>
          <t>desc</t>
        </is>
      </c>
      <c r="C17" t="n">
        <v>0.01</v>
      </c>
      <c r="D17" t="inlineStr">
        <is>
          <t>unit</t>
        </is>
      </c>
      <c r="E17" t="n">
        <v>0.01</v>
      </c>
      <c r="F17" t="n">
        <v>0.01</v>
      </c>
    </row>
    <row r="18">
      <c r="A18" t="inlineStr">
        <is>
          <t>GF_18</t>
        </is>
      </c>
      <c r="B18" t="inlineStr">
        <is>
          <t>desc</t>
        </is>
      </c>
      <c r="C18" t="n">
        <v>0.01</v>
      </c>
      <c r="D18" t="inlineStr">
        <is>
          <t>unit</t>
        </is>
      </c>
      <c r="E18" t="n">
        <v>0.01</v>
      </c>
      <c r="F18" t="n">
        <v>0.01</v>
      </c>
    </row>
    <row r="19">
      <c r="A19" t="inlineStr">
        <is>
          <t>GF_19</t>
        </is>
      </c>
      <c r="B19" t="inlineStr">
        <is>
          <t>desc</t>
        </is>
      </c>
      <c r="C19" t="n">
        <v>0.01</v>
      </c>
      <c r="D19" t="inlineStr">
        <is>
          <t>unit</t>
        </is>
      </c>
      <c r="E19" t="n">
        <v>0.01</v>
      </c>
      <c r="F19" t="n">
        <v>0.01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282"/>
  <sheetViews>
    <sheetView showGridLines="1" workbookViewId="0">
      <selection activeCell="A1" sqref="A1"/>
    </sheetView>
  </sheetViews>
  <sheetFormatPr baseColWidth="8" defaultRowHeight="15"/>
  <cols>
    <col width="10" customWidth="1" min="1" max="1"/>
    <col width="26" customWidth="1" min="2" max="2"/>
    <col width="34" customWidth="1" min="3" max="3"/>
    <col width="34" customWidth="1" min="4" max="4"/>
    <col width="14" customWidth="1" min="5" max="5"/>
    <col width="16" customWidth="1" min="6" max="6"/>
    <col width="16" customWidth="1" min="7" max="7"/>
    <col width="18" customWidth="1" min="8" max="8"/>
    <col width="14" customWidth="1" min="9" max="9"/>
    <col width="16" customWidth="1" min="10" max="10"/>
    <col width="18" customWidth="1" min="11" max="11"/>
    <col width="16" customWidth="1" min="12" max="12"/>
    <col width="20" customWidth="1" min="13" max="13"/>
    <col width="44" customWidth="1" min="14" max="14"/>
    <col width="56" customWidth="1" min="15" max="15"/>
    <col width="40" customWidth="1" min="16" max="16"/>
    <col width="10" customWidth="1" min="17" max="17"/>
    <col width="12" customWidth="1" min="18" max="18"/>
    <col width="12" customWidth="1" min="19" max="19"/>
    <col width="14" customWidth="1" min="20" max="20"/>
    <col width="30" customWidth="1" min="21" max="21"/>
    <col width="30" customWidth="1" min="22" max="22"/>
    <col width="30" customWidth="1" min="23" max="23"/>
    <col width="30" customWidth="1" min="24" max="24"/>
    <col width="30" customWidth="1" min="25" max="25"/>
    <col width="45" customWidth="1" min="27" max="27"/>
    <col width="35" customWidth="1" min="28" max="28"/>
    <col width="12" customWidth="1" min="29" max="29"/>
    <col width="12" customWidth="1" min="30" max="30"/>
    <col width="14" customWidth="1" min="31" max="31"/>
    <col width="60" customWidth="1" min="32" max="32"/>
    <col width="30" customWidth="1" min="33" max="33"/>
    <col width="30" customWidth="1" min="34" max="34"/>
    <col width="30" customWidth="1" min="35" max="35"/>
    <col width="30" customWidth="1" min="36" max="36"/>
    <col width="30" customWidth="1" min="37" max="37"/>
    <col width="45" customWidth="1" min="38" max="38"/>
  </cols>
  <sheetData>
    <row r="1" ht="30" customHeight="1">
      <c r="A1" s="1" t="inlineStr">
        <is>
          <t>CPWD DAR 2019 — SUB-HEAD 02: EARTH WORK (CUSTOM ITEM BUILDER)</t>
        </is>
      </c>
    </row>
    <row r="2" ht="20" customHeight="1">
      <c r="A2" s="2" t="inlineStr">
        <is>
          <t>LEGEND:</t>
        </is>
      </c>
      <c r="B2" s="3" t="inlineStr">
        <is>
          <t>INPUT - you type it</t>
        </is>
      </c>
      <c r="C2" s="4" t="inlineStr">
        <is>
          <t>OVERRIDE - optional</t>
        </is>
      </c>
      <c r="D2" s="5" t="inlineStr">
        <is>
          <t>LOOKUP - fetched</t>
        </is>
      </c>
      <c r="E2" s="6" t="inlineStr">
        <is>
          <t>DERIVED - calculated</t>
        </is>
      </c>
      <c r="F2" s="7" t="inlineStr">
        <is>
          <t>RESULT - subtotal</t>
        </is>
      </c>
      <c r="G2" s="8" t="inlineStr">
        <is>
          <t>SAY - final rate</t>
        </is>
      </c>
      <c r="H2" s="9" t="inlineStr">
        <is>
          <t>CPWD rule / note</t>
        </is>
      </c>
      <c r="I2" s="10" t="inlineStr">
        <is>
          <t>Not editable</t>
        </is>
      </c>
    </row>
    <row r="3" ht="30" customHeight="1">
      <c r="A3" s="11" t="inlineStr">
        <is>
          <t>CPWD DAR Sub-head 02: Earthwork operations (surface excavation, trench excavation, filling, compaction). Operates without raw material inputs, applying labour crews and earthmoving machinery hire with standard 5-step compounding statutory markups.</t>
        </is>
      </c>
      <c r="B3" s="92" t="n"/>
      <c r="C3" s="92" t="n"/>
      <c r="D3" s="92" t="n"/>
      <c r="E3" s="92" t="n"/>
      <c r="F3" s="92" t="n"/>
      <c r="G3" s="92" t="n"/>
      <c r="H3" s="92" t="n"/>
      <c r="I3" s="93" t="n"/>
    </row>
    <row r="4" ht="26" customHeight="1">
      <c r="A4" s="12" t="inlineStr">
        <is>
          <t>1. RATE ANALYSIS CONFIGURATION &amp; OPERATIONAL PROFILE (Select parameters in D6, D7, D8, D9 to drive rate analysis)</t>
        </is>
      </c>
    </row>
    <row r="5" ht="24" customHeight="1">
      <c r="A5" s="13" t="inlineStr">
        <is>
          <t>Parameter</t>
        </is>
      </c>
      <c r="B5" s="14" t="n"/>
      <c r="C5" s="15" t="n"/>
      <c r="D5" s="13" t="inlineStr">
        <is>
          <t>Selected Value / Parameter Input</t>
        </is>
      </c>
      <c r="E5" s="13" t="inlineStr">
        <is>
          <t>Unit</t>
        </is>
      </c>
      <c r="F5" s="13" t="inlineStr">
        <is>
          <t>Cell Role</t>
        </is>
      </c>
      <c r="G5" s="13" t="inlineStr">
        <is>
          <t>CPWD DAR 2019 Engineering Specification &amp; Practical Field Guidance Notes</t>
        </is>
      </c>
      <c r="H5" s="14" t="n"/>
      <c r="I5" s="14" t="n"/>
      <c r="J5" s="14" t="n"/>
      <c r="K5" s="14" t="n"/>
      <c r="L5" s="14" t="n"/>
      <c r="M5" s="14" t="n"/>
      <c r="N5" s="14" t="n"/>
      <c r="O5" s="15" t="n"/>
    </row>
    <row r="6" ht="24" customHeight="1">
      <c r="A6" s="16" t="inlineStr">
        <is>
          <t>Primary Work Scope</t>
        </is>
      </c>
      <c r="B6" s="92" t="n"/>
      <c r="C6" s="93" t="n"/>
      <c r="D6" s="3" t="inlineStr">
        <is>
          <t>Surface Excavation (≤30 cm)</t>
        </is>
      </c>
      <c r="E6" s="18" t="inlineStr">
        <is>
          <t>—</t>
        </is>
      </c>
      <c r="F6" s="3" t="inlineStr">
        <is>
          <t>INPUT</t>
        </is>
      </c>
      <c r="G6" s="19" t="inlineStr">
        <is>
          <t>Core civil work category: Surface excavation, Foundation/trenching, Embankment, Backfilling, Site clearance, Timbering, or Anti-termite.</t>
        </is>
      </c>
      <c r="H6" s="92" t="n"/>
      <c r="I6" s="92" t="n"/>
      <c r="J6" s="92" t="n"/>
      <c r="K6" s="92" t="n"/>
      <c r="L6" s="92" t="n"/>
      <c r="M6" s="92" t="n"/>
      <c r="N6" s="92" t="n"/>
      <c r="O6" s="93" t="n"/>
    </row>
    <row r="7" ht="24" customHeight="1">
      <c r="A7" s="16" t="inlineStr">
        <is>
          <t>Ground Strata / Material</t>
        </is>
      </c>
      <c r="B7" s="92" t="n"/>
      <c r="C7" s="93" t="n"/>
      <c r="D7" s="3" t="inlineStr">
        <is>
          <t>All kinds of soil</t>
        </is>
      </c>
      <c r="E7" s="18" t="inlineStr">
        <is>
          <t>—</t>
        </is>
      </c>
      <c r="F7" s="3" t="inlineStr">
        <is>
          <t>INPUT</t>
        </is>
      </c>
      <c r="G7" s="19" t="inlineStr">
        <is>
          <t>Strata classification: All kinds of soil, Ordinary rock, Hard rock (blasting permitted), or Hard rock (blasting prohibited).</t>
        </is>
      </c>
      <c r="H7" s="92" t="n"/>
      <c r="I7" s="92" t="n"/>
      <c r="J7" s="92" t="n"/>
      <c r="K7" s="92" t="n"/>
      <c r="L7" s="92" t="n"/>
      <c r="M7" s="92" t="n"/>
      <c r="N7" s="92" t="n"/>
      <c r="O7" s="93" t="n"/>
    </row>
    <row r="8" ht="24" customHeight="1">
      <c r="A8" s="16" t="inlineStr">
        <is>
          <t>Execution Method &amp; Depth Condition</t>
        </is>
      </c>
      <c r="B8" s="92" t="n"/>
      <c r="C8" s="93" t="n"/>
      <c r="D8" s="3" t="inlineStr">
        <is>
          <t>Manual labor (depth ≤1.5m)</t>
        </is>
      </c>
      <c r="E8" s="18" t="inlineStr">
        <is>
          <t>—</t>
        </is>
      </c>
      <c r="F8" s="3" t="inlineStr">
        <is>
          <t>INPUT</t>
        </is>
      </c>
      <c r="G8" s="19" t="inlineStr">
        <is>
          <t>Execution technique: Manual labor (≤1.5m), Mechanical (Hydraulic Excavator 0.9 cum), Extra depth 1.5-3.0m, or Extra depth 3.0-4.5m.</t>
        </is>
      </c>
      <c r="H8" s="92" t="n"/>
      <c r="I8" s="92" t="n"/>
      <c r="J8" s="92" t="n"/>
      <c r="K8" s="92" t="n"/>
      <c r="L8" s="92" t="n"/>
      <c r="M8" s="92" t="n"/>
      <c r="N8" s="92" t="n"/>
      <c r="O8" s="93" t="n"/>
    </row>
    <row r="9" ht="24" customHeight="1">
      <c r="A9" s="16" t="inlineStr">
        <is>
          <t>Operation / Task Specification</t>
        </is>
      </c>
      <c r="B9" s="92" t="n"/>
      <c r="C9" s="93" t="n"/>
      <c r="D9" s="3" t="inlineStr">
        <is>
          <t>General surface cut (≤30 cm deep)</t>
        </is>
      </c>
      <c r="E9" s="18" t="inlineStr">
        <is>
          <t>—</t>
        </is>
      </c>
      <c r="F9" s="3" t="inlineStr">
        <is>
          <t>INPUT</t>
        </is>
      </c>
      <c r="G9" s="19" t="inlineStr">
        <is>
          <t>Specific activity variant or application subtype (e.g. open areas, pipe trenches, post holes, tree girth band, chemical barrier stage).</t>
        </is>
      </c>
      <c r="H9" s="92" t="n"/>
      <c r="I9" s="92" t="n"/>
      <c r="J9" s="92" t="n"/>
      <c r="K9" s="92" t="n"/>
      <c r="L9" s="92" t="n"/>
      <c r="M9" s="92" t="n"/>
      <c r="N9" s="92" t="n"/>
      <c r="O9" s="93" t="n"/>
    </row>
    <row r="10" ht="24" customHeight="1">
      <c r="A10" s="16" t="inlineStr">
        <is>
          <t>Standard Output Batch Quantity</t>
        </is>
      </c>
      <c r="B10" s="92" t="n"/>
      <c r="C10" s="93" t="n"/>
      <c r="D10" s="20" t="n">
        <v>1</v>
      </c>
      <c r="E10" s="18" t="inlineStr">
        <is>
          <t>units</t>
        </is>
      </c>
      <c r="F10" s="21" t="inlineStr">
        <is>
          <t>LOOKUP</t>
        </is>
      </c>
      <c r="G10" s="19" t="inlineStr">
        <is>
          <t>Standard output batch volume or area defined in CPWD DAR 2019 (100 sqm, 10 cum, 1 m, 1 tree, 10 holes).</t>
        </is>
      </c>
      <c r="H10" s="92" t="n"/>
      <c r="I10" s="92" t="n"/>
      <c r="J10" s="92" t="n"/>
      <c r="K10" s="92" t="n"/>
      <c r="L10" s="92" t="n"/>
      <c r="M10" s="92" t="n"/>
      <c r="N10" s="92" t="n"/>
      <c r="O10" s="93" t="n"/>
    </row>
    <row r="11" ht="24" customHeight="1">
      <c r="A11" s="16" t="inlineStr">
        <is>
          <t>Standard Output Measurement Unit</t>
        </is>
      </c>
      <c r="B11" s="92" t="n"/>
      <c r="C11" s="93" t="n"/>
      <c r="D11" s="21" t="n">
        <v>1</v>
      </c>
      <c r="E11" s="18" t="inlineStr">
        <is>
          <t>—</t>
        </is>
      </c>
      <c r="F11" s="21" t="inlineStr">
        <is>
          <t>LOOKUP</t>
        </is>
      </c>
      <c r="G11" s="19" t="inlineStr">
        <is>
          <t>Billing measurement unit for work output (cum, sqm, metre, tree, hole).</t>
        </is>
      </c>
      <c r="H11" s="92" t="n"/>
      <c r="I11" s="92" t="n"/>
      <c r="J11" s="92" t="n"/>
      <c r="K11" s="92" t="n"/>
      <c r="L11" s="92" t="n"/>
      <c r="M11" s="92" t="n"/>
      <c r="N11" s="92" t="n"/>
      <c r="O11" s="93" t="n"/>
    </row>
    <row r="12" ht="24" customHeight="1">
      <c r="A12" s="16" t="inlineStr">
        <is>
          <t>Custom Project Rate Reference Code</t>
        </is>
      </c>
      <c r="B12" s="92" t="n"/>
      <c r="C12" s="93" t="n"/>
      <c r="D12" s="3" t="inlineStr">
        <is>
          <t>C-02.01</t>
        </is>
      </c>
      <c r="E12" s="18" t="inlineStr">
        <is>
          <t>—</t>
        </is>
      </c>
      <c r="F12" s="3" t="inlineStr">
        <is>
          <t>INPUT</t>
        </is>
      </c>
      <c r="G12" s="19" t="inlineStr">
        <is>
          <t>Project-specific non-DSR reference code when saving custom rate variations.</t>
        </is>
      </c>
      <c r="H12" s="92" t="n"/>
      <c r="I12" s="92" t="n"/>
      <c r="J12" s="92" t="n"/>
      <c r="K12" s="92" t="n"/>
      <c r="L12" s="92" t="n"/>
      <c r="M12" s="92" t="n"/>
      <c r="N12" s="92" t="n"/>
      <c r="O12" s="93" t="n"/>
    </row>
    <row r="13" ht="40" customHeight="1">
      <c r="A13" s="22" t="inlineStr">
        <is>
          <t>Official Work Specification Nomenclature:</t>
        </is>
      </c>
      <c r="B13" s="92" t="n"/>
      <c r="C13" s="93" t="n"/>
      <c r="D13" s="23" t="n">
        <v>1</v>
      </c>
      <c r="E13" s="92" t="n"/>
      <c r="F13" s="92" t="n"/>
      <c r="G13" s="92" t="n"/>
      <c r="H13" s="92" t="n"/>
      <c r="I13" s="92" t="n"/>
      <c r="J13" s="92" t="n"/>
      <c r="K13" s="92" t="n"/>
      <c r="L13" s="92" t="n"/>
      <c r="M13" s="92" t="n"/>
      <c r="N13" s="92" t="n"/>
      <c r="O13" s="93" t="n"/>
    </row>
    <row r="14" ht="24" customHeight="1">
      <c r="A14" s="16" t="inlineStr">
        <is>
          <t>Published Reference Say Rate (Benchmark)</t>
        </is>
      </c>
      <c r="B14" s="92" t="n"/>
      <c r="C14" s="93" t="n"/>
      <c r="D14" s="24" t="n">
        <v>1</v>
      </c>
      <c r="E14" s="18" t="n">
        <v>1</v>
      </c>
      <c r="F14" s="21" t="inlineStr">
        <is>
          <t>LOOKUP</t>
        </is>
      </c>
      <c r="G14" s="19" t="inlineStr">
        <is>
          <t>Official CPWD DAR 2019 Volume 1 published rate for identical scope and strata.</t>
        </is>
      </c>
      <c r="H14" s="92" t="n"/>
      <c r="I14" s="92" t="n"/>
      <c r="J14" s="92" t="n"/>
      <c r="K14" s="92" t="n"/>
      <c r="L14" s="92" t="n"/>
      <c r="M14" s="92" t="n"/>
      <c r="N14" s="92" t="n"/>
      <c r="O14" s="93" t="n"/>
    </row>
    <row r="15" ht="24" customHeight="1">
      <c r="A15" s="25" t="inlineStr">
        <is>
          <t>AUDIT VERIFICATION STATUS:</t>
        </is>
      </c>
      <c r="B15" s="92" t="n"/>
      <c r="C15" s="93" t="n"/>
      <c r="D15" s="26" t="n">
        <v>1</v>
      </c>
      <c r="E15" s="27" t="inlineStr">
        <is>
          <t>Cost Base:</t>
        </is>
      </c>
      <c r="F15" s="28" t="n">
        <v>1</v>
      </c>
      <c r="G15" s="29" t="inlineStr">
        <is>
          <t>Live variance check against published CPWD DAR 2019 Volume 1 Say Rate. Target variance: ₹ 0.00.</t>
        </is>
      </c>
      <c r="H15" s="92" t="n"/>
      <c r="I15" s="92" t="n"/>
      <c r="J15" s="92" t="n"/>
      <c r="K15" s="92" t="n"/>
      <c r="L15" s="92" t="n"/>
      <c r="M15" s="92" t="n"/>
      <c r="N15" s="92" t="n"/>
      <c r="O15" s="93" t="n"/>
    </row>
    <row r="17" ht="24" customHeight="1">
      <c r="A17" s="12" t="inlineStr">
        <is>
          <t>1B. PARAMETRIC OPERATIONAL SPECIFICATION PROFILE (5 CORE CIVIL WORK LEVERS)</t>
        </is>
      </c>
    </row>
    <row r="18" ht="24" customHeight="1">
      <c r="A18" s="13" t="inlineStr">
        <is>
          <t>Operational Work Lever</t>
        </is>
      </c>
      <c r="B18" s="14" t="n"/>
      <c r="C18" s="15" t="n"/>
      <c r="D18" s="13" t="inlineStr">
        <is>
          <t>Active Execution Mechanism / Field Technique</t>
        </is>
      </c>
      <c r="E18" s="13" t="inlineStr">
        <is>
          <t>CPWD Standard Field Specification &amp; Practical Engineering Scope Notes</t>
        </is>
      </c>
      <c r="F18" s="14" t="n"/>
      <c r="G18" s="14" t="n"/>
      <c r="H18" s="14" t="n"/>
      <c r="I18" s="14" t="n"/>
      <c r="J18" s="14" t="n"/>
      <c r="K18" s="14" t="n"/>
      <c r="L18" s="14" t="n"/>
      <c r="M18" s="14" t="n"/>
      <c r="N18" s="14" t="n"/>
      <c r="O18" s="15" t="n"/>
    </row>
    <row r="19" ht="22" customHeight="1">
      <c r="A19" s="22" t="inlineStr">
        <is>
          <t>1. Loosening / Digging Mode</t>
        </is>
      </c>
      <c r="B19" s="92" t="n"/>
      <c r="C19" s="93" t="n"/>
      <c r="D19" s="30" t="n">
        <v>1</v>
      </c>
      <c r="E19" s="19" t="inlineStr">
        <is>
          <t>Loosening of soil/rock crust to required formation level or trench invert.</t>
        </is>
      </c>
      <c r="F19" s="92" t="n"/>
      <c r="G19" s="92" t="n"/>
      <c r="H19" s="92" t="n"/>
      <c r="I19" s="92" t="n"/>
      <c r="J19" s="92" t="n"/>
      <c r="K19" s="92" t="n"/>
      <c r="L19" s="92" t="n"/>
      <c r="M19" s="92" t="n"/>
      <c r="N19" s="92" t="n"/>
      <c r="O19" s="93" t="n"/>
    </row>
    <row r="20" ht="22" customHeight="1">
      <c r="A20" s="22" t="inlineStr">
        <is>
          <t>2. Handling &amp; Haulage Boundary</t>
        </is>
      </c>
      <c r="B20" s="92" t="n"/>
      <c r="C20" s="93" t="n"/>
      <c r="D20" s="30" t="n">
        <v>1</v>
      </c>
      <c r="E20" s="19" t="inlineStr">
        <is>
          <t>Haulage boundary: lead up to 50 m and lift up to 1.5 m from excavation face.</t>
        </is>
      </c>
      <c r="F20" s="92" t="n"/>
      <c r="G20" s="92" t="n"/>
      <c r="H20" s="92" t="n"/>
      <c r="I20" s="92" t="n"/>
      <c r="J20" s="92" t="n"/>
      <c r="K20" s="92" t="n"/>
      <c r="L20" s="92" t="n"/>
      <c r="M20" s="92" t="n"/>
      <c r="N20" s="92" t="n"/>
      <c r="O20" s="93" t="n"/>
    </row>
    <row r="21" ht="22" customHeight="1">
      <c r="A21" s="22" t="inlineStr">
        <is>
          <t>3. Layer Placement &amp; Spreading</t>
        </is>
      </c>
      <c r="B21" s="92" t="n"/>
      <c r="C21" s="93" t="n"/>
      <c r="D21" s="30" t="n">
        <v>1</v>
      </c>
      <c r="E21" s="19" t="inlineStr">
        <is>
          <t>Depositing excavated earth in uniform layers ≤20 cm depth, breaking clods and shaping slopes.</t>
        </is>
      </c>
      <c r="F21" s="92" t="n"/>
      <c r="G21" s="92" t="n"/>
      <c r="H21" s="92" t="n"/>
      <c r="I21" s="92" t="n"/>
      <c r="J21" s="92" t="n"/>
      <c r="K21" s="92" t="n"/>
      <c r="L21" s="92" t="n"/>
      <c r="M21" s="92" t="n"/>
      <c r="N21" s="92" t="n"/>
      <c r="O21" s="93" t="n"/>
    </row>
    <row r="22" ht="26" customHeight="1">
      <c r="A22" s="22" t="inlineStr">
        <is>
          <t>4. Compaction Watering to OMC</t>
        </is>
      </c>
      <c r="B22" s="92" t="n"/>
      <c r="C22" s="93" t="n"/>
      <c r="D22" s="3" t="inlineStr">
        <is>
          <t>YES</t>
        </is>
      </c>
      <c r="E22" s="19" t="n">
        <v>1</v>
      </c>
      <c r="F22" s="92" t="n"/>
      <c r="G22" s="92" t="n"/>
      <c r="H22" s="92" t="n"/>
      <c r="I22" s="92" t="n"/>
      <c r="J22" s="92" t="n"/>
      <c r="K22" s="92" t="n"/>
      <c r="L22" s="92" t="n"/>
      <c r="M22" s="92" t="n"/>
      <c r="N22" s="92" t="n"/>
      <c r="O22" s="93" t="n"/>
    </row>
    <row r="23" ht="26" customHeight="1">
      <c r="A23" s="22" t="inlineStr">
        <is>
          <t>5. Compaction Mechanism</t>
        </is>
      </c>
      <c r="B23" s="92" t="n"/>
      <c r="C23" s="93" t="n"/>
      <c r="D23" s="3" t="inlineStr">
        <is>
          <t>YES</t>
        </is>
      </c>
      <c r="E23" s="19" t="n">
        <v>1</v>
      </c>
      <c r="F23" s="92" t="n"/>
      <c r="G23" s="92" t="n"/>
      <c r="H23" s="92" t="n"/>
      <c r="I23" s="92" t="n"/>
      <c r="J23" s="92" t="n"/>
      <c r="K23" s="92" t="n"/>
      <c r="L23" s="92" t="n"/>
      <c r="M23" s="92" t="n"/>
      <c r="N23" s="92" t="n"/>
      <c r="O23" s="93" t="n"/>
    </row>
    <row r="25" ht="24" customHeight="1">
      <c r="A25" s="12" t="inlineStr">
        <is>
          <t>2. ACTIVE RESOURCE BUILD-UP (Auto-populated from Table 5E Ground-Truth Norms; Equipment codes include fuel &amp; crew)</t>
        </is>
      </c>
    </row>
    <row r="26" ht="24" customHeight="1">
      <c r="A26" s="13" t="inlineStr">
        <is>
          <t>Line</t>
        </is>
      </c>
      <c r="B26" s="13" t="inlineStr">
        <is>
          <t>Resource Code</t>
        </is>
      </c>
      <c r="C26" s="13" t="inlineStr">
        <is>
          <t>Resource Name &amp; Description</t>
        </is>
      </c>
      <c r="D26" s="13" t="inlineStr">
        <is>
          <t>Resource Category</t>
        </is>
      </c>
      <c r="E26" s="13" t="inlineStr">
        <is>
          <t>Unit</t>
        </is>
      </c>
      <c r="F26" s="13" t="inlineStr">
        <is>
          <t>Norm Input Qty</t>
        </is>
      </c>
      <c r="G26" s="13" t="inlineStr">
        <is>
          <t>Unit Rate (₹)</t>
        </is>
      </c>
      <c r="H26" s="13" t="inlineStr">
        <is>
          <t>Line Amount (₹)</t>
        </is>
      </c>
      <c r="I26" s="13" t="inlineStr">
        <is>
          <t>Include? / Apply</t>
        </is>
      </c>
      <c r="J26" s="13" t="inlineStr">
        <is>
          <t>Cost Share %</t>
        </is>
      </c>
      <c r="K26" s="13" t="inlineStr">
        <is>
          <t>Daily Productivity Norm</t>
        </is>
      </c>
      <c r="L26" s="13" t="inlineStr">
        <is>
          <t>Specific Effort</t>
        </is>
      </c>
      <c r="M26" s="13" t="inlineStr">
        <is>
          <t>Hourly Pace</t>
        </is>
      </c>
      <c r="N26" s="13" t="inlineStr">
        <is>
          <t>Field Guidance Note</t>
        </is>
      </c>
      <c r="O26" s="13" t="inlineStr">
        <is>
          <t>Engineering First-Principles &amp; 8-Hour Shift Logic</t>
        </is>
      </c>
    </row>
    <row r="27" ht="22" customHeight="1">
      <c r="A27" s="28" t="n">
        <v>1</v>
      </c>
      <c r="B27" s="21" t="n">
        <v>1</v>
      </c>
      <c r="C27" s="31" t="n">
        <v>1</v>
      </c>
      <c r="D27" s="32" t="n">
        <v>1</v>
      </c>
      <c r="E27" s="18" t="n">
        <v>1</v>
      </c>
      <c r="F27" s="33" t="n">
        <v>1</v>
      </c>
      <c r="G27" s="34" t="n">
        <v>1</v>
      </c>
      <c r="H27" s="35" t="n">
        <v>1</v>
      </c>
      <c r="I27" s="21" t="n">
        <v>1</v>
      </c>
      <c r="J27" s="36" t="n">
        <v>1</v>
      </c>
      <c r="K27" s="37" t="n">
        <v>1</v>
      </c>
      <c r="L27" s="38" t="n">
        <v>1</v>
      </c>
      <c r="M27" s="37" t="n">
        <v>1</v>
      </c>
      <c r="N27" s="39" t="n">
        <v>1</v>
      </c>
      <c r="O27" s="39" t="n">
        <v>1</v>
      </c>
    </row>
    <row r="28" ht="22" customHeight="1">
      <c r="A28" s="28" t="n">
        <v>2</v>
      </c>
      <c r="B28" s="21" t="n">
        <v>1</v>
      </c>
      <c r="C28" s="31" t="n">
        <v>1</v>
      </c>
      <c r="D28" s="32" t="n">
        <v>1</v>
      </c>
      <c r="E28" s="18" t="n">
        <v>1</v>
      </c>
      <c r="F28" s="33" t="n">
        <v>1</v>
      </c>
      <c r="G28" s="34" t="n">
        <v>1</v>
      </c>
      <c r="H28" s="35" t="n">
        <v>1</v>
      </c>
      <c r="I28" s="21" t="n">
        <v>1</v>
      </c>
      <c r="J28" s="36" t="n">
        <v>1</v>
      </c>
      <c r="K28" s="37" t="n">
        <v>1</v>
      </c>
      <c r="L28" s="38" t="n">
        <v>1</v>
      </c>
      <c r="M28" s="37" t="n">
        <v>1</v>
      </c>
      <c r="N28" s="39" t="n">
        <v>1</v>
      </c>
      <c r="O28" s="39" t="n">
        <v>1</v>
      </c>
    </row>
    <row r="29" ht="22" customHeight="1">
      <c r="A29" s="28" t="n">
        <v>3</v>
      </c>
      <c r="B29" s="21" t="n">
        <v>1</v>
      </c>
      <c r="C29" s="31" t="n">
        <v>1</v>
      </c>
      <c r="D29" s="32" t="n">
        <v>1</v>
      </c>
      <c r="E29" s="18" t="n">
        <v>1</v>
      </c>
      <c r="F29" s="33" t="n">
        <v>1</v>
      </c>
      <c r="G29" s="34" t="n">
        <v>1</v>
      </c>
      <c r="H29" s="35" t="n">
        <v>1</v>
      </c>
      <c r="I29" s="21" t="n">
        <v>1</v>
      </c>
      <c r="J29" s="36" t="n">
        <v>1</v>
      </c>
      <c r="K29" s="37" t="n">
        <v>1</v>
      </c>
      <c r="L29" s="38" t="n">
        <v>1</v>
      </c>
      <c r="M29" s="37" t="n">
        <v>1</v>
      </c>
      <c r="N29" s="39" t="n">
        <v>1</v>
      </c>
      <c r="O29" s="39" t="n">
        <v>1</v>
      </c>
    </row>
    <row r="30" ht="22" customHeight="1">
      <c r="A30" s="28" t="n">
        <v>4</v>
      </c>
      <c r="B30" s="21" t="n">
        <v>1</v>
      </c>
      <c r="C30" s="31" t="n">
        <v>1</v>
      </c>
      <c r="D30" s="32" t="n">
        <v>1</v>
      </c>
      <c r="E30" s="18" t="n">
        <v>1</v>
      </c>
      <c r="F30" s="33" t="n">
        <v>1</v>
      </c>
      <c r="G30" s="34" t="n">
        <v>1</v>
      </c>
      <c r="H30" s="35" t="n">
        <v>1</v>
      </c>
      <c r="I30" s="21" t="n">
        <v>1</v>
      </c>
      <c r="J30" s="36" t="n">
        <v>1</v>
      </c>
      <c r="K30" s="37" t="n">
        <v>1</v>
      </c>
      <c r="L30" s="38" t="n">
        <v>1</v>
      </c>
      <c r="M30" s="37" t="n">
        <v>1</v>
      </c>
      <c r="N30" s="39" t="n">
        <v>1</v>
      </c>
      <c r="O30" s="39" t="n">
        <v>1</v>
      </c>
    </row>
    <row r="31" ht="22" customHeight="1">
      <c r="A31" s="28" t="n">
        <v>5</v>
      </c>
      <c r="B31" s="21" t="n">
        <v>1</v>
      </c>
      <c r="C31" s="31" t="n">
        <v>1</v>
      </c>
      <c r="D31" s="32" t="n">
        <v>1</v>
      </c>
      <c r="E31" s="18" t="n">
        <v>1</v>
      </c>
      <c r="F31" s="33" t="n">
        <v>1</v>
      </c>
      <c r="G31" s="34" t="n">
        <v>1</v>
      </c>
      <c r="H31" s="35" t="n">
        <v>1</v>
      </c>
      <c r="I31" s="21" t="n">
        <v>1</v>
      </c>
      <c r="J31" s="36" t="n">
        <v>1</v>
      </c>
      <c r="K31" s="37" t="n">
        <v>1</v>
      </c>
      <c r="L31" s="38" t="n">
        <v>1</v>
      </c>
      <c r="M31" s="37" t="n">
        <v>1</v>
      </c>
      <c r="N31" s="39" t="n">
        <v>1</v>
      </c>
      <c r="O31" s="39" t="n">
        <v>1</v>
      </c>
    </row>
    <row r="32" ht="22" customHeight="1">
      <c r="A32" s="28" t="n">
        <v>6</v>
      </c>
      <c r="B32" s="21" t="n">
        <v>1</v>
      </c>
      <c r="C32" s="31" t="n">
        <v>1</v>
      </c>
      <c r="D32" s="32" t="n">
        <v>1</v>
      </c>
      <c r="E32" s="18" t="n">
        <v>1</v>
      </c>
      <c r="F32" s="33" t="n">
        <v>1</v>
      </c>
      <c r="G32" s="34" t="n">
        <v>1</v>
      </c>
      <c r="H32" s="35" t="n">
        <v>1</v>
      </c>
      <c r="I32" s="21" t="n">
        <v>1</v>
      </c>
      <c r="J32" s="36" t="n">
        <v>1</v>
      </c>
      <c r="K32" s="37" t="n">
        <v>1</v>
      </c>
      <c r="L32" s="38" t="n">
        <v>1</v>
      </c>
      <c r="M32" s="37" t="n">
        <v>1</v>
      </c>
      <c r="N32" s="39" t="n">
        <v>1</v>
      </c>
      <c r="O32" s="39" t="n">
        <v>1</v>
      </c>
    </row>
    <row r="33" ht="22" customHeight="1">
      <c r="A33" s="28" t="n">
        <v>7</v>
      </c>
      <c r="B33" s="21" t="n">
        <v>1</v>
      </c>
      <c r="C33" s="31" t="n">
        <v>1</v>
      </c>
      <c r="D33" s="32" t="n">
        <v>1</v>
      </c>
      <c r="E33" s="18" t="n">
        <v>1</v>
      </c>
      <c r="F33" s="33" t="n">
        <v>1</v>
      </c>
      <c r="G33" s="34" t="n">
        <v>1</v>
      </c>
      <c r="H33" s="35" t="n">
        <v>1</v>
      </c>
      <c r="I33" s="21" t="n">
        <v>1</v>
      </c>
      <c r="J33" s="36" t="n">
        <v>1</v>
      </c>
      <c r="K33" s="37" t="n">
        <v>1</v>
      </c>
      <c r="L33" s="38" t="n">
        <v>1</v>
      </c>
      <c r="M33" s="37" t="n">
        <v>1</v>
      </c>
      <c r="N33" s="39" t="n">
        <v>1</v>
      </c>
      <c r="O33" s="39" t="n">
        <v>1</v>
      </c>
    </row>
    <row r="34" ht="22" customHeight="1">
      <c r="A34" s="28" t="n">
        <v>8</v>
      </c>
      <c r="B34" s="21" t="n">
        <v>1</v>
      </c>
      <c r="C34" s="31" t="n">
        <v>1</v>
      </c>
      <c r="D34" s="32" t="n">
        <v>1</v>
      </c>
      <c r="E34" s="18" t="n">
        <v>1</v>
      </c>
      <c r="F34" s="33" t="n">
        <v>1</v>
      </c>
      <c r="G34" s="34" t="n">
        <v>1</v>
      </c>
      <c r="H34" s="35" t="n">
        <v>1</v>
      </c>
      <c r="I34" s="21" t="n">
        <v>1</v>
      </c>
      <c r="J34" s="36" t="n">
        <v>1</v>
      </c>
      <c r="K34" s="37" t="n">
        <v>1</v>
      </c>
      <c r="L34" s="38" t="n">
        <v>1</v>
      </c>
      <c r="M34" s="37" t="n">
        <v>1</v>
      </c>
      <c r="N34" s="39" t="n">
        <v>1</v>
      </c>
      <c r="O34" s="39" t="n">
        <v>1</v>
      </c>
    </row>
    <row r="35" ht="22" customHeight="1">
      <c r="A35" s="28" t="n">
        <v>9</v>
      </c>
      <c r="B35" s="21" t="n">
        <v>1</v>
      </c>
      <c r="C35" s="31" t="n">
        <v>1</v>
      </c>
      <c r="D35" s="32" t="n">
        <v>1</v>
      </c>
      <c r="E35" s="18" t="n">
        <v>1</v>
      </c>
      <c r="F35" s="33" t="n">
        <v>1</v>
      </c>
      <c r="G35" s="34" t="n">
        <v>1</v>
      </c>
      <c r="H35" s="35" t="n">
        <v>1</v>
      </c>
      <c r="I35" s="21" t="n">
        <v>1</v>
      </c>
      <c r="J35" s="36" t="n">
        <v>1</v>
      </c>
      <c r="K35" s="37" t="n">
        <v>1</v>
      </c>
      <c r="L35" s="38" t="n">
        <v>1</v>
      </c>
      <c r="M35" s="37" t="n">
        <v>1</v>
      </c>
      <c r="N35" s="39" t="n">
        <v>1</v>
      </c>
      <c r="O35" s="39" t="n">
        <v>1</v>
      </c>
    </row>
    <row r="36" ht="22" customHeight="1">
      <c r="A36" s="28" t="n">
        <v>10</v>
      </c>
      <c r="B36" s="21" t="n">
        <v>1</v>
      </c>
      <c r="C36" s="31" t="n">
        <v>1</v>
      </c>
      <c r="D36" s="32" t="n">
        <v>1</v>
      </c>
      <c r="E36" s="18" t="n">
        <v>1</v>
      </c>
      <c r="F36" s="33" t="n">
        <v>1</v>
      </c>
      <c r="G36" s="34" t="n">
        <v>1</v>
      </c>
      <c r="H36" s="35" t="n">
        <v>1</v>
      </c>
      <c r="I36" s="21" t="n">
        <v>1</v>
      </c>
      <c r="J36" s="36" t="n">
        <v>1</v>
      </c>
      <c r="K36" s="37" t="n">
        <v>1</v>
      </c>
      <c r="L36" s="38" t="n">
        <v>1</v>
      </c>
      <c r="M36" s="37" t="n">
        <v>1</v>
      </c>
      <c r="N36" s="39" t="n">
        <v>1</v>
      </c>
      <c r="O36" s="39" t="n">
        <v>1</v>
      </c>
    </row>
    <row r="37" ht="22" customHeight="1">
      <c r="A37" s="28" t="n">
        <v>11</v>
      </c>
      <c r="B37" s="21" t="n">
        <v>1</v>
      </c>
      <c r="C37" s="31" t="n">
        <v>1</v>
      </c>
      <c r="D37" s="32" t="n">
        <v>1</v>
      </c>
      <c r="E37" s="18" t="n">
        <v>1</v>
      </c>
      <c r="F37" s="33" t="n">
        <v>1</v>
      </c>
      <c r="G37" s="34" t="n">
        <v>1</v>
      </c>
      <c r="H37" s="35" t="n">
        <v>1</v>
      </c>
      <c r="I37" s="21" t="n">
        <v>1</v>
      </c>
      <c r="J37" s="36" t="n">
        <v>1</v>
      </c>
      <c r="K37" s="37" t="n">
        <v>1</v>
      </c>
      <c r="L37" s="38" t="n">
        <v>1</v>
      </c>
      <c r="M37" s="37" t="n">
        <v>1</v>
      </c>
      <c r="N37" s="39" t="n">
        <v>1</v>
      </c>
      <c r="O37" s="39" t="n">
        <v>1</v>
      </c>
    </row>
    <row r="38" ht="22" customHeight="1">
      <c r="A38" s="28" t="n">
        <v>12</v>
      </c>
      <c r="B38" s="21" t="n">
        <v>1</v>
      </c>
      <c r="C38" s="31" t="n">
        <v>1</v>
      </c>
      <c r="D38" s="32" t="n">
        <v>1</v>
      </c>
      <c r="E38" s="18" t="n">
        <v>1</v>
      </c>
      <c r="F38" s="33" t="n">
        <v>1</v>
      </c>
      <c r="G38" s="34" t="n">
        <v>1</v>
      </c>
      <c r="H38" s="35" t="n">
        <v>1</v>
      </c>
      <c r="I38" s="21" t="n">
        <v>1</v>
      </c>
      <c r="J38" s="36" t="n">
        <v>1</v>
      </c>
      <c r="K38" s="37" t="n">
        <v>1</v>
      </c>
      <c r="L38" s="38" t="n">
        <v>1</v>
      </c>
      <c r="M38" s="37" t="n">
        <v>1</v>
      </c>
      <c r="N38" s="39" t="n">
        <v>1</v>
      </c>
      <c r="O38" s="39" t="n">
        <v>1</v>
      </c>
    </row>
    <row r="39" ht="22" customHeight="1">
      <c r="A39" s="28" t="n">
        <v>13</v>
      </c>
      <c r="B39" s="21" t="n">
        <v>1</v>
      </c>
      <c r="C39" s="31" t="n">
        <v>1</v>
      </c>
      <c r="D39" s="32" t="n">
        <v>1</v>
      </c>
      <c r="E39" s="18" t="n">
        <v>1</v>
      </c>
      <c r="F39" s="33" t="n">
        <v>1</v>
      </c>
      <c r="G39" s="34" t="n">
        <v>1</v>
      </c>
      <c r="H39" s="35" t="n">
        <v>1</v>
      </c>
      <c r="I39" s="21" t="n">
        <v>1</v>
      </c>
      <c r="J39" s="36" t="n">
        <v>1</v>
      </c>
      <c r="K39" s="37" t="n">
        <v>1</v>
      </c>
      <c r="L39" s="38" t="n">
        <v>1</v>
      </c>
      <c r="M39" s="37" t="n">
        <v>1</v>
      </c>
      <c r="N39" s="39" t="n">
        <v>1</v>
      </c>
      <c r="O39" s="39" t="n">
        <v>1</v>
      </c>
    </row>
    <row r="40" ht="22" customHeight="1">
      <c r="A40" s="28" t="n">
        <v>14</v>
      </c>
      <c r="B40" s="21" t="n">
        <v>1</v>
      </c>
      <c r="C40" s="31" t="n">
        <v>1</v>
      </c>
      <c r="D40" s="32" t="n">
        <v>1</v>
      </c>
      <c r="E40" s="18" t="n">
        <v>1</v>
      </c>
      <c r="F40" s="33" t="n">
        <v>1</v>
      </c>
      <c r="G40" s="34" t="n">
        <v>1</v>
      </c>
      <c r="H40" s="35" t="n">
        <v>1</v>
      </c>
      <c r="I40" s="21" t="n">
        <v>1</v>
      </c>
      <c r="J40" s="36" t="n">
        <v>1</v>
      </c>
      <c r="K40" s="37" t="n">
        <v>1</v>
      </c>
      <c r="L40" s="38" t="n">
        <v>1</v>
      </c>
      <c r="M40" s="37" t="n">
        <v>1</v>
      </c>
      <c r="N40" s="39" t="n">
        <v>1</v>
      </c>
      <c r="O40" s="39" t="n">
        <v>1</v>
      </c>
    </row>
    <row r="41" ht="24" customHeight="1">
      <c r="A41" s="40" t="inlineStr">
        <is>
          <t>Direct Production Cost W = Σ Amount (all active resource lines):</t>
        </is>
      </c>
      <c r="B41" s="92" t="n"/>
      <c r="C41" s="92" t="n"/>
      <c r="D41" s="92" t="n"/>
      <c r="E41" s="92" t="n"/>
      <c r="F41" s="92" t="n"/>
      <c r="G41" s="93" t="n"/>
      <c r="H41" s="42" t="n">
        <v>1</v>
      </c>
      <c r="I41" s="43" t="inlineStr">
        <is>
          <t>W</t>
        </is>
      </c>
      <c r="J41" s="44" t="inlineStr">
        <is>
          <t>Base for statutory markup calculations before exclusion of pre-marked reference items.</t>
        </is>
      </c>
      <c r="K41" s="92" t="n"/>
      <c r="L41" s="92" t="n"/>
      <c r="M41" s="92" t="n"/>
      <c r="N41" s="92" t="n"/>
      <c r="O41" s="93" t="n"/>
    </row>
    <row r="42" ht="24" customHeight="1">
      <c r="A42" s="45" t="inlineStr">
        <is>
          <t>A-tagged Total (pre-marked composite reference items excluded from markups):</t>
        </is>
      </c>
      <c r="B42" s="94" t="n"/>
      <c r="C42" s="94" t="n"/>
      <c r="D42" s="94" t="n"/>
      <c r="E42" s="94" t="n"/>
      <c r="F42" s="94" t="n"/>
      <c r="G42" s="95" t="n"/>
      <c r="H42" s="47" t="n">
        <v>1</v>
      </c>
      <c r="I42" s="48" t="inlineStr">
        <is>
          <t>A</t>
        </is>
      </c>
      <c r="J42" s="49" t="inlineStr">
        <is>
          <t>Uses robust SUMIF to guarantee error-free evaluation even with empty slots.</t>
        </is>
      </c>
      <c r="K42" s="94" t="n"/>
      <c r="L42" s="94" t="n"/>
      <c r="M42" s="94" t="n"/>
      <c r="N42" s="94" t="n"/>
      <c r="O42" s="95" t="n"/>
    </row>
    <row r="44" ht="24" customHeight="1">
      <c r="A44" s="12" t="inlineStr">
        <is>
          <t>3. STATUTORY MARKUPS &amp; FINAL RATE DERIVATION (CPWD DAR Standard Compounded Markup Chain)</t>
        </is>
      </c>
    </row>
    <row r="45" ht="24" customHeight="1">
      <c r="A45" s="13" t="inlineStr">
        <is>
          <t>Step</t>
        </is>
      </c>
      <c r="B45" s="13" t="inlineStr">
        <is>
          <t>Component / Markup Description</t>
        </is>
      </c>
      <c r="C45" s="13" t="inlineStr">
        <is>
          <t>Apply?</t>
        </is>
      </c>
      <c r="D45" s="13" t="inlineStr">
        <is>
          <t>Basis Applied</t>
        </is>
      </c>
      <c r="E45" s="13" t="inlineStr">
        <is>
          <t>Base Amount (₹)</t>
        </is>
      </c>
      <c r="F45" s="13" t="inlineStr">
        <is>
          <t>Factor / %</t>
        </is>
      </c>
      <c r="G45" s="13" t="inlineStr">
        <is>
          <t>Added (₹)</t>
        </is>
      </c>
      <c r="H45" s="13" t="inlineStr">
        <is>
          <t>Running Total (₹)</t>
        </is>
      </c>
      <c r="I45" s="13" t="inlineStr">
        <is>
          <t>Cell Role</t>
        </is>
      </c>
      <c r="J45" s="13" t="inlineStr">
        <is>
          <t>CPWD Statutory Guidance Rule &amp; Practical Field Note</t>
        </is>
      </c>
      <c r="K45" s="14" t="n"/>
      <c r="L45" s="14" t="n"/>
      <c r="M45" s="14" t="n"/>
      <c r="N45" s="14" t="n"/>
      <c r="O45" s="15" t="n"/>
    </row>
    <row r="46" ht="22" customHeight="1">
      <c r="A46" s="28" t="inlineStr">
        <is>
          <t>W</t>
        </is>
      </c>
      <c r="B46" s="31" t="inlineStr">
        <is>
          <t>Direct Production Cost W (all resources)</t>
        </is>
      </c>
      <c r="C46" s="50" t="inlineStr">
        <is>
          <t>—</t>
        </is>
      </c>
      <c r="D46" s="50" t="inlineStr">
        <is>
          <t>Direct Sum</t>
        </is>
      </c>
      <c r="E46" s="51" t="n">
        <v>1</v>
      </c>
      <c r="F46" s="52" t="inlineStr">
        <is>
          <t>—</t>
        </is>
      </c>
      <c r="G46" s="51" t="n">
        <v>1</v>
      </c>
      <c r="H46" s="53" t="n">
        <v>1</v>
      </c>
      <c r="I46" s="28" t="inlineStr">
        <is>
          <t>DERIVED</t>
        </is>
      </c>
      <c r="J46" s="19" t="inlineStr">
        <is>
          <t>Sum of all direct labour, machinery and sundries from Section 2.</t>
        </is>
      </c>
      <c r="K46" s="92" t="n"/>
      <c r="L46" s="92" t="n"/>
      <c r="M46" s="92" t="n"/>
      <c r="N46" s="92" t="n"/>
      <c r="O46" s="93" t="n"/>
    </row>
    <row r="47" ht="22" customHeight="1">
      <c r="A47" s="28" t="inlineStr">
        <is>
          <t>X1</t>
        </is>
      </c>
      <c r="B47" s="31" t="inlineStr">
        <is>
          <t>Add: Water Charges (1% on W-A)</t>
        </is>
      </c>
      <c r="C47" s="3" t="inlineStr">
        <is>
          <t>YES</t>
        </is>
      </c>
      <c r="D47" s="50" t="inlineStr">
        <is>
          <t>On (W - A)</t>
        </is>
      </c>
      <c r="E47" s="51" t="n">
        <v>1</v>
      </c>
      <c r="F47" s="54" t="n">
        <v>1</v>
      </c>
      <c r="G47" s="51" t="n">
        <v>1</v>
      </c>
      <c r="H47" s="53" t="n">
        <v>1</v>
      </c>
      <c r="I47" s="28" t="inlineStr">
        <is>
          <t>INPUT</t>
        </is>
      </c>
      <c r="J47" s="19" t="inlineStr">
        <is>
          <t>CPWD standard: 1% for site compaction watering, trench dampening and dust control. Live-linked to Factor_Water.</t>
        </is>
      </c>
      <c r="K47" s="92" t="n"/>
      <c r="L47" s="92" t="n"/>
      <c r="M47" s="92" t="n"/>
      <c r="N47" s="92" t="n"/>
      <c r="O47" s="93" t="n"/>
    </row>
    <row r="48" ht="22" customHeight="1">
      <c r="A48" s="55" t="inlineStr">
        <is>
          <t>X</t>
        </is>
      </c>
      <c r="B48" s="56" t="inlineStr">
        <is>
          <t>Subtotal X (W + Water Charges)</t>
        </is>
      </c>
      <c r="C48" s="43" t="inlineStr">
        <is>
          <t>—</t>
        </is>
      </c>
      <c r="D48" s="43" t="inlineStr">
        <is>
          <t>W + Water</t>
        </is>
      </c>
      <c r="E48" s="57" t="n">
        <v>1</v>
      </c>
      <c r="F48" s="58" t="inlineStr">
        <is>
          <t>—</t>
        </is>
      </c>
      <c r="G48" s="57" t="n">
        <v>1</v>
      </c>
      <c r="H48" s="59" t="n">
        <v>1</v>
      </c>
      <c r="I48" s="55" t="inlineStr">
        <is>
          <t>DERIVED</t>
        </is>
      </c>
      <c r="J48" s="60" t="inlineStr">
        <is>
          <t>Compounded base passed to Works Contract GST calculation.</t>
        </is>
      </c>
      <c r="K48" s="92" t="n"/>
      <c r="L48" s="92" t="n"/>
      <c r="M48" s="92" t="n"/>
      <c r="N48" s="92" t="n"/>
      <c r="O48" s="93" t="n"/>
    </row>
    <row r="49" ht="22" customHeight="1">
      <c r="A49" s="28" t="inlineStr">
        <is>
          <t>Y1</t>
        </is>
      </c>
      <c r="B49" s="31" t="inlineStr">
        <is>
          <t>Add: GST on Works Contract (14.05% on X-A)</t>
        </is>
      </c>
      <c r="C49" s="3" t="inlineStr">
        <is>
          <t>YES</t>
        </is>
      </c>
      <c r="D49" s="50" t="inlineStr">
        <is>
          <t>On (X - A)</t>
        </is>
      </c>
      <c r="E49" s="51" t="n">
        <v>1</v>
      </c>
      <c r="F49" s="54" t="n">
        <v>1</v>
      </c>
      <c r="G49" s="51" t="n">
        <v>1</v>
      </c>
      <c r="H49" s="53" t="n">
        <v>1</v>
      </c>
      <c r="I49" s="28" t="inlineStr">
        <is>
          <t>INPUT</t>
        </is>
      </c>
      <c r="J49" s="19" t="inlineStr">
        <is>
          <t>CPWD DAR statutory works contract tax factor (0.1405). Live-linked to Factor_GST on Global_Factors.</t>
        </is>
      </c>
      <c r="K49" s="92" t="n"/>
      <c r="L49" s="92" t="n"/>
      <c r="M49" s="92" t="n"/>
      <c r="N49" s="92" t="n"/>
      <c r="O49" s="93" t="n"/>
    </row>
    <row r="50" ht="22" customHeight="1">
      <c r="A50" s="55" t="inlineStr">
        <is>
          <t>Y</t>
        </is>
      </c>
      <c r="B50" s="56" t="inlineStr">
        <is>
          <t>Subtotal Y (X + GST)</t>
        </is>
      </c>
      <c r="C50" s="43" t="inlineStr">
        <is>
          <t>—</t>
        </is>
      </c>
      <c r="D50" s="43" t="inlineStr">
        <is>
          <t>X + GST</t>
        </is>
      </c>
      <c r="E50" s="57" t="n">
        <v>1</v>
      </c>
      <c r="F50" s="58" t="inlineStr">
        <is>
          <t>—</t>
        </is>
      </c>
      <c r="G50" s="57" t="n">
        <v>1</v>
      </c>
      <c r="H50" s="59" t="n">
        <v>1</v>
      </c>
      <c r="I50" s="55" t="inlineStr">
        <is>
          <t>DERIVED</t>
        </is>
      </c>
      <c r="J50" s="60" t="inlineStr">
        <is>
          <t>Compounded base passed to Contractor Profit &amp; Overheads calculation.</t>
        </is>
      </c>
      <c r="K50" s="92" t="n"/>
      <c r="L50" s="92" t="n"/>
      <c r="M50" s="92" t="n"/>
      <c r="N50" s="92" t="n"/>
      <c r="O50" s="93" t="n"/>
    </row>
    <row r="51" ht="22" customHeight="1">
      <c r="A51" s="28" t="inlineStr">
        <is>
          <t>Z1</t>
        </is>
      </c>
      <c r="B51" s="31" t="inlineStr">
        <is>
          <t>Add: Contractor Profit &amp; Overheads (15% CPOH on Y-A)</t>
        </is>
      </c>
      <c r="C51" s="3" t="inlineStr">
        <is>
          <t>YES</t>
        </is>
      </c>
      <c r="D51" s="50" t="inlineStr">
        <is>
          <t>On (Y - A)</t>
        </is>
      </c>
      <c r="E51" s="51" t="n">
        <v>1</v>
      </c>
      <c r="F51" s="54" t="n">
        <v>1</v>
      </c>
      <c r="G51" s="51" t="n">
        <v>1</v>
      </c>
      <c r="H51" s="53" t="n">
        <v>1</v>
      </c>
      <c r="I51" s="28" t="inlineStr">
        <is>
          <t>INPUT</t>
        </is>
      </c>
      <c r="J51" s="19" t="inlineStr">
        <is>
          <t>Standard 15% allowance for contractor overheads, plant depreciation and profit. Live-linked to Factor_CPOH.</t>
        </is>
      </c>
      <c r="K51" s="92" t="n"/>
      <c r="L51" s="92" t="n"/>
      <c r="M51" s="92" t="n"/>
      <c r="N51" s="92" t="n"/>
      <c r="O51" s="93" t="n"/>
    </row>
    <row r="52" ht="22" customHeight="1">
      <c r="A52" s="55" t="inlineStr">
        <is>
          <t>Z</t>
        </is>
      </c>
      <c r="B52" s="56" t="inlineStr">
        <is>
          <t>Subtotal Z (Y + CPOH)</t>
        </is>
      </c>
      <c r="C52" s="43" t="inlineStr">
        <is>
          <t>—</t>
        </is>
      </c>
      <c r="D52" s="43" t="inlineStr">
        <is>
          <t>Y + CPOH</t>
        </is>
      </c>
      <c r="E52" s="57" t="n">
        <v>1</v>
      </c>
      <c r="F52" s="58" t="inlineStr">
        <is>
          <t>—</t>
        </is>
      </c>
      <c r="G52" s="57" t="n">
        <v>1</v>
      </c>
      <c r="H52" s="59" t="n">
        <v>1</v>
      </c>
      <c r="I52" s="55" t="inlineStr">
        <is>
          <t>DERIVED</t>
        </is>
      </c>
      <c r="J52" s="60" t="inlineStr">
        <is>
          <t>Compounded base passed to Building and Other Construction Workers Welfare Cess calculation.</t>
        </is>
      </c>
      <c r="K52" s="92" t="n"/>
      <c r="L52" s="92" t="n"/>
      <c r="M52" s="92" t="n"/>
      <c r="N52" s="92" t="n"/>
      <c r="O52" s="93" t="n"/>
    </row>
    <row r="53" ht="22" customHeight="1">
      <c r="A53" s="28" t="inlineStr">
        <is>
          <t>Z2</t>
        </is>
      </c>
      <c r="B53" s="31" t="inlineStr">
        <is>
          <t>Add: Building and Other Construction Workers Welfare Cess (1% on Z)</t>
        </is>
      </c>
      <c r="C53" s="3" t="inlineStr">
        <is>
          <t>YES</t>
        </is>
      </c>
      <c r="D53" s="50" t="inlineStr">
        <is>
          <t>On Z</t>
        </is>
      </c>
      <c r="E53" s="51" t="n">
        <v>1</v>
      </c>
      <c r="F53" s="54" t="n">
        <v>1</v>
      </c>
      <c r="G53" s="51" t="n">
        <v>1</v>
      </c>
      <c r="H53" s="53" t="n">
        <v>1</v>
      </c>
      <c r="I53" s="28" t="inlineStr">
        <is>
          <t>INPUT</t>
        </is>
      </c>
      <c r="J53" s="19" t="inlineStr">
        <is>
          <t>Statutory 1% BOCW Welfare Cess levied on overall cost including CPOH. Live-linked to Factor_Cess.</t>
        </is>
      </c>
      <c r="K53" s="92" t="n"/>
      <c r="L53" s="92" t="n"/>
      <c r="M53" s="92" t="n"/>
      <c r="N53" s="92" t="n"/>
      <c r="O53" s="93" t="n"/>
    </row>
    <row r="54" ht="24" customHeight="1">
      <c r="A54" s="7" t="inlineStr">
        <is>
          <t>Cost</t>
        </is>
      </c>
      <c r="B54" s="61" t="n">
        <v>1</v>
      </c>
      <c r="C54" s="62" t="inlineStr">
        <is>
          <t>—</t>
        </is>
      </c>
      <c r="D54" s="62" t="inlineStr">
        <is>
          <t>Standard Output Batch</t>
        </is>
      </c>
      <c r="E54" s="63" t="n">
        <v>1</v>
      </c>
      <c r="F54" s="64" t="inlineStr">
        <is>
          <t>—</t>
        </is>
      </c>
      <c r="G54" s="63" t="n">
        <v>1</v>
      </c>
      <c r="H54" s="65" t="n">
        <v>1</v>
      </c>
      <c r="I54" s="7" t="inlineStr">
        <is>
          <t>RESULT</t>
        </is>
      </c>
      <c r="J54" s="66" t="inlineStr">
        <is>
          <t>Fully compounded cost for the standard DAR batch quantity before unit-rate derivation.</t>
        </is>
      </c>
      <c r="K54" s="92" t="n"/>
      <c r="L54" s="92" t="n"/>
      <c r="M54" s="92" t="n"/>
      <c r="N54" s="92" t="n"/>
      <c r="O54" s="93" t="n"/>
    </row>
    <row r="55" ht="22" customHeight="1">
      <c r="A55" s="28" t="inlineStr">
        <is>
          <t>Rate</t>
        </is>
      </c>
      <c r="B55" s="31" t="n">
        <v>1</v>
      </c>
      <c r="C55" s="50" t="inlineStr">
        <is>
          <t>—</t>
        </is>
      </c>
      <c r="D55" s="50" t="n">
        <v>1</v>
      </c>
      <c r="E55" s="51" t="n">
        <v>1</v>
      </c>
      <c r="F55" s="52" t="inlineStr">
        <is>
          <t>—</t>
        </is>
      </c>
      <c r="G55" s="51" t="n">
        <v>1</v>
      </c>
      <c r="H55" s="53" t="n">
        <v>1</v>
      </c>
      <c r="I55" s="28" t="inlineStr">
        <is>
          <t>DERIVED</t>
        </is>
      </c>
      <c r="J55" s="19" t="inlineStr">
        <is>
          <t>Exact rate per unit output (Cost / Batch Qty) carried into statutory rounding.</t>
        </is>
      </c>
      <c r="K55" s="92" t="n"/>
      <c r="L55" s="92" t="n"/>
      <c r="M55" s="92" t="n"/>
      <c r="N55" s="92" t="n"/>
      <c r="O55" s="93" t="n"/>
    </row>
    <row r="56" ht="30" customHeight="1">
      <c r="A56" s="8" t="inlineStr">
        <is>
          <t>SAY</t>
        </is>
      </c>
      <c r="B56" s="68" t="n">
        <v>1</v>
      </c>
      <c r="C56" s="69" t="inlineStr">
        <is>
          <t>—</t>
        </is>
      </c>
      <c r="D56" s="69" t="inlineStr">
        <is>
          <t>MROUND 0.05</t>
        </is>
      </c>
      <c r="E56" s="70" t="n">
        <v>1</v>
      </c>
      <c r="F56" s="71" t="inlineStr">
        <is>
          <t>—</t>
        </is>
      </c>
      <c r="G56" s="70" t="n">
        <v>1</v>
      </c>
      <c r="H56" s="72" t="n">
        <v>1</v>
      </c>
      <c r="I56" s="8" t="inlineStr">
        <is>
          <t>SAY</t>
        </is>
      </c>
      <c r="J56" s="73" t="inlineStr">
        <is>
          <t>Final published billing rate rounded to the nearest 5 paise in accordance with CPWD DAR Section 0 conventions.</t>
        </is>
      </c>
      <c r="K56" s="92" t="n"/>
      <c r="L56" s="92" t="n"/>
      <c r="M56" s="92" t="n"/>
      <c r="N56" s="92" t="n"/>
      <c r="O56" s="93" t="n"/>
    </row>
    <row r="57" ht="22" customHeight="1">
      <c r="A57" s="28" t="inlineStr">
        <is>
          <t>REF</t>
        </is>
      </c>
      <c r="B57" s="31" t="n">
        <v>1</v>
      </c>
      <c r="C57" s="50" t="inlineStr">
        <is>
          <t>—</t>
        </is>
      </c>
      <c r="D57" s="50" t="inlineStr">
        <is>
          <t>Benchmark</t>
        </is>
      </c>
      <c r="E57" s="51" t="n">
        <v>1</v>
      </c>
      <c r="F57" s="52" t="inlineStr">
        <is>
          <t>—</t>
        </is>
      </c>
      <c r="G57" s="51" t="n">
        <v>1</v>
      </c>
      <c r="H57" s="53" t="n">
        <v>1</v>
      </c>
      <c r="I57" s="28" t="inlineStr">
        <is>
          <t>LOOKUP</t>
        </is>
      </c>
      <c r="J57" s="19" t="inlineStr">
        <is>
          <t>Official CPWD DAR 2019 Volume 1 published rate for verification.</t>
        </is>
      </c>
      <c r="K57" s="92" t="n"/>
      <c r="L57" s="92" t="n"/>
      <c r="M57" s="92" t="n"/>
      <c r="N57" s="92" t="n"/>
      <c r="O57" s="93" t="n"/>
    </row>
    <row r="58" ht="24" customHeight="1">
      <c r="A58" s="7" t="inlineStr">
        <is>
          <t>DIFF</t>
        </is>
      </c>
      <c r="B58" s="61" t="inlineStr">
        <is>
          <t>Audit Variance (Analysed Say - Published Say):</t>
        </is>
      </c>
      <c r="C58" s="62" t="inlineStr">
        <is>
          <t>—</t>
        </is>
      </c>
      <c r="D58" s="62" t="inlineStr">
        <is>
          <t>Say - Ref</t>
        </is>
      </c>
      <c r="E58" s="63" t="n">
        <v>1</v>
      </c>
      <c r="F58" s="64" t="inlineStr">
        <is>
          <t>—</t>
        </is>
      </c>
      <c r="G58" s="63" t="n">
        <v>1</v>
      </c>
      <c r="H58" s="65" t="n">
        <v>1</v>
      </c>
      <c r="I58" s="7" t="inlineStr">
        <is>
          <t>RESULT</t>
        </is>
      </c>
      <c r="J58" s="66" t="inlineStr">
        <is>
          <t>Discrepancy audit against published benchmark. Target = ₹ 0.00.</t>
        </is>
      </c>
      <c r="K58" s="92" t="n"/>
      <c r="L58" s="92" t="n"/>
      <c r="M58" s="92" t="n"/>
      <c r="N58" s="92" t="n"/>
      <c r="O58" s="93" t="n"/>
    </row>
    <row r="60" ht="24" customHeight="1">
      <c r="A60" s="12" t="inlineStr">
        <is>
          <t>4. FIRST-PRINCIPLES LABOUR &amp; MACHINERY PRODUCTIVITY BENCHMARK MATRIX (8-Hour Working Shift Basis)</t>
        </is>
      </c>
    </row>
    <row r="61" ht="36" customHeight="1">
      <c r="A61" s="75" t="inlineStr">
        <is>
          <t>FIRST-PRINCIPLES DERIVATION MECHANICS: Shows how physical labour and equipment operations in an 8-hour shift translate into CPWD norm factors. Standard Gang (G) × Task Duration (H) = Total Man-Hours (MH) → Day Coeff (D) = MH / 8.00 h → Daily Output (P) = Batch Q / D → Specific Effort (SE) = MH / Q → Hourly Pace = P / 8.00. Every calculation cell is a live Excel formula. No CPWD code numbering; Resource Code is placed in its own dedicated column (Col C).</t>
        </is>
      </c>
    </row>
    <row r="62" ht="24" customHeight="1">
      <c r="A62" s="13" t="inlineStr">
        <is>
          <t>Civil Work Scope / Operation</t>
        </is>
      </c>
      <c r="B62" s="13" t="inlineStr">
        <is>
          <t>Operation / Sub-Task</t>
        </is>
      </c>
      <c r="C62" s="13" t="inlineStr">
        <is>
          <t>Resource Code</t>
        </is>
      </c>
      <c r="D62" s="13" t="inlineStr">
        <is>
          <t>Resource Trade / Fleet Role</t>
        </is>
      </c>
      <c r="E62" s="13" t="inlineStr">
        <is>
          <t>Batch Qty (Q)</t>
        </is>
      </c>
      <c r="F62" s="13" t="inlineStr">
        <is>
          <t>Unit</t>
        </is>
      </c>
      <c r="G62" s="13" t="inlineStr">
        <is>
          <t>Gang Size (G)</t>
        </is>
      </c>
      <c r="H62" s="13" t="inlineStr">
        <is>
          <t>Duration (H hrs)</t>
        </is>
      </c>
      <c r="I62" s="13" t="inlineStr">
        <is>
          <t>Total Man-Hours (MH)</t>
        </is>
      </c>
      <c r="J62" s="13" t="inlineStr">
        <is>
          <t>Shift (h)</t>
        </is>
      </c>
      <c r="K62" s="13" t="inlineStr">
        <is>
          <t>Day Coeff (D)</t>
        </is>
      </c>
      <c r="L62" s="13" t="inlineStr">
        <is>
          <t>Daily Output (P)</t>
        </is>
      </c>
      <c r="M62" s="13" t="inlineStr">
        <is>
          <t>Unit Effort (SE)</t>
        </is>
      </c>
      <c r="N62" s="13" t="inlineStr">
        <is>
          <t>Hourly Pace</t>
        </is>
      </c>
      <c r="O62" s="13" t="inlineStr">
        <is>
          <t>Engineering Task Breakdown &amp; First-Principles 8-Hour Logic</t>
        </is>
      </c>
    </row>
    <row r="63" ht="24" customHeight="1">
      <c r="A63" s="16" t="inlineStr">
        <is>
          <t>Surface excavation &lt;= 30cm depth (100 sqm)</t>
        </is>
      </c>
      <c r="B63" s="76" t="inlineStr">
        <is>
          <t>Pickaxe &amp; phowrah loosening hard crust</t>
        </is>
      </c>
      <c r="C63" s="21" t="inlineStr">
        <is>
          <t>0114</t>
        </is>
      </c>
      <c r="D63" s="16" t="inlineStr">
        <is>
          <t>Beldar (Semi-Skilled / Operational Earthwork)</t>
        </is>
      </c>
      <c r="E63" s="77" t="n">
        <v>100</v>
      </c>
      <c r="F63" s="50" t="inlineStr">
        <is>
          <t>sqm</t>
        </is>
      </c>
      <c r="G63" s="78" t="n">
        <v>4</v>
      </c>
      <c r="H63" s="79" t="n">
        <v>13.6</v>
      </c>
      <c r="I63" s="80">
        <f>ROUND(G63 * H63, 3)</f>
        <v/>
      </c>
      <c r="J63" s="81" t="n">
        <v>8</v>
      </c>
      <c r="K63" s="80">
        <f>ROUND(I63 / J63, 4)</f>
        <v/>
      </c>
      <c r="L63" s="82">
        <f>IFERROR(ROUND(E63 / K63, 2), "")</f>
        <v/>
      </c>
      <c r="M63" s="83">
        <f>IFERROR(ROUND(I63 / E63, 4), "")</f>
        <v/>
      </c>
      <c r="N63" s="82">
        <f>IFERROR(ROUND(L63 / J63, 2), "")</f>
        <v/>
      </c>
      <c r="O63" s="39" t="inlineStr">
        <is>
          <t>Pickaxe loosening of hard dry soil crust up to 30 cm depth. 1 Beldar loosens 14.71 sqm per 8-hr shift (1.84 sqm/hr). Total 54.40 man-hrs.</t>
        </is>
      </c>
    </row>
    <row r="64" ht="24" customHeight="1">
      <c r="A64" s="16" t="inlineStr">
        <is>
          <t>Surface excavation &lt;= 30cm depth (100 sqm)</t>
        </is>
      </c>
      <c r="B64" s="76" t="inlineStr">
        <is>
          <t>Basket loading, haulage &amp; 50m disposal</t>
        </is>
      </c>
      <c r="C64" s="21" t="inlineStr">
        <is>
          <t>0115</t>
        </is>
      </c>
      <c r="D64" s="16" t="inlineStr">
        <is>
          <t>Coolie (Unskilled / Haulage &amp; Spoil Handling)</t>
        </is>
      </c>
      <c r="E64" s="77" t="n">
        <v>100</v>
      </c>
      <c r="F64" s="50" t="inlineStr">
        <is>
          <t>sqm</t>
        </is>
      </c>
      <c r="G64" s="78" t="n">
        <v>4</v>
      </c>
      <c r="H64" s="79" t="n">
        <v>11.2</v>
      </c>
      <c r="I64" s="80">
        <f>ROUND(G64 * H64, 3)</f>
        <v/>
      </c>
      <c r="J64" s="81" t="n">
        <v>8</v>
      </c>
      <c r="K64" s="80">
        <f>ROUND(I64 / J64, 4)</f>
        <v/>
      </c>
      <c r="L64" s="82">
        <f>IFERROR(ROUND(E64 / K64, 2), "")</f>
        <v/>
      </c>
      <c r="M64" s="83">
        <f>IFERROR(ROUND(I64 / E64, 4), "")</f>
        <v/>
      </c>
      <c r="N64" s="82">
        <f>IFERROR(ROUND(L64 / J64, 2), "")</f>
        <v/>
      </c>
      <c r="O64" s="39" t="inlineStr">
        <is>
          <t>Shoveling into iron tagaris, basket haulage and dumping up to 50 m lead and 1.5 m lift. 1 Coolie moves 17.86 sqm per 8-hr shift.</t>
        </is>
      </c>
    </row>
    <row r="65" ht="24" customHeight="1">
      <c r="A65" s="16" t="inlineStr">
        <is>
          <t>Rough excav, banking, water &amp; roll (10 cum)</t>
        </is>
      </c>
      <c r="B65" s="76" t="inlineStr">
        <is>
          <t>Rough soil digging &amp; heavy clod breaking</t>
        </is>
      </c>
      <c r="C65" s="21" t="inlineStr">
        <is>
          <t>0114</t>
        </is>
      </c>
      <c r="D65" s="16" t="inlineStr">
        <is>
          <t>Beldar (Semi-Skilled / Operational Earthwork)</t>
        </is>
      </c>
      <c r="E65" s="77" t="n">
        <v>10</v>
      </c>
      <c r="F65" s="50" t="inlineStr">
        <is>
          <t>cum</t>
        </is>
      </c>
      <c r="G65" s="78" t="n">
        <v>4</v>
      </c>
      <c r="H65" s="79" t="n">
        <v>11.8</v>
      </c>
      <c r="I65" s="80">
        <f>ROUND(G65 * H65, 3)</f>
        <v/>
      </c>
      <c r="J65" s="81" t="n">
        <v>8</v>
      </c>
      <c r="K65" s="80">
        <f>ROUND(I65 / J65, 4)</f>
        <v/>
      </c>
      <c r="L65" s="82">
        <f>IFERROR(ROUND(E65 / K65, 2), "")</f>
        <v/>
      </c>
      <c r="M65" s="83">
        <f>IFERROR(ROUND(I65 / E65, 4), "")</f>
        <v/>
      </c>
      <c r="N65" s="82">
        <f>IFERROR(ROUND(L65 / J65, 2), "")</f>
        <v/>
      </c>
      <c r="O65" s="39" t="inlineStr">
        <is>
          <t>Rough digging in soil + breaking heavy clods + dressing embankment slope profile. 1 Beldar yields 1.695 cum per 8-hr shift.</t>
        </is>
      </c>
    </row>
    <row r="66" ht="24" customHeight="1">
      <c r="A66" s="16" t="inlineStr">
        <is>
          <t>Rough excav, banking, water &amp; roll (10 cum)</t>
        </is>
      </c>
      <c r="B66" s="76" t="inlineStr">
        <is>
          <t>Basket haulage 50m &amp; 20cm layer spread</t>
        </is>
      </c>
      <c r="C66" s="21" t="inlineStr">
        <is>
          <t>0115</t>
        </is>
      </c>
      <c r="D66" s="16" t="inlineStr">
        <is>
          <t>Coolie (Unskilled / Haulage &amp; Spoil Handling)</t>
        </is>
      </c>
      <c r="E66" s="77" t="n">
        <v>10</v>
      </c>
      <c r="F66" s="50" t="inlineStr">
        <is>
          <t>cum</t>
        </is>
      </c>
      <c r="G66" s="78" t="n">
        <v>3</v>
      </c>
      <c r="H66" s="79" t="n">
        <v>9.6</v>
      </c>
      <c r="I66" s="80">
        <f>ROUND(G66 * H66, 3)</f>
        <v/>
      </c>
      <c r="J66" s="81" t="n">
        <v>8</v>
      </c>
      <c r="K66" s="80">
        <f>ROUND(I66 / J66, 4)</f>
        <v/>
      </c>
      <c r="L66" s="82">
        <f>IFERROR(ROUND(E66 / K66, 2), "")</f>
        <v/>
      </c>
      <c r="M66" s="83">
        <f>IFERROR(ROUND(I66 / E66, 4), "")</f>
        <v/>
      </c>
      <c r="N66" s="82">
        <f>IFERROR(ROUND(L66 / J66, 2), "")</f>
        <v/>
      </c>
      <c r="O66" s="39" t="inlineStr">
        <is>
          <t>Basket haulage within 50 m lead, tipping and uniform spreading in layers not exceeding 20 cm depth.</t>
        </is>
      </c>
    </row>
    <row r="67" ht="24" customHeight="1">
      <c r="A67" s="16" t="inlineStr">
        <is>
          <t>Rough excav, banking, water &amp; roll (10 cum)</t>
        </is>
      </c>
      <c r="B67" s="76" t="inlineStr">
        <is>
          <t>OMC compaction layer watering</t>
        </is>
      </c>
      <c r="C67" s="21" t="inlineStr">
        <is>
          <t>0101</t>
        </is>
      </c>
      <c r="D67" s="16" t="inlineStr">
        <is>
          <t>Bhishti (Compaction Layer Watering to OMC)</t>
        </is>
      </c>
      <c r="E67" s="77" t="n">
        <v>10</v>
      </c>
      <c r="F67" s="50" t="inlineStr">
        <is>
          <t>cum</t>
        </is>
      </c>
      <c r="G67" s="78" t="n">
        <v>1</v>
      </c>
      <c r="H67" s="79" t="n">
        <v>3.2</v>
      </c>
      <c r="I67" s="80">
        <f>ROUND(G67 * H67, 3)</f>
        <v/>
      </c>
      <c r="J67" s="81" t="n">
        <v>8</v>
      </c>
      <c r="K67" s="80">
        <f>ROUND(I67 / J67, 4)</f>
        <v/>
      </c>
      <c r="L67" s="82">
        <f>IFERROR(ROUND(E67 / K67, 2), "")</f>
        <v/>
      </c>
      <c r="M67" s="83">
        <f>IFERROR(ROUND(I67 / E67, 4), "")</f>
        <v/>
      </c>
      <c r="N67" s="82">
        <f>IFERROR(ROUND(L67 / J67, 2), "")</f>
        <v/>
      </c>
      <c r="O67" s="39" t="inlineStr">
        <is>
          <t>Spraying water over loose 20 cm layers from mashak/hose to optimum moisture content (OMC) before rolling. 25 cum per 8-hr day.</t>
        </is>
      </c>
    </row>
    <row r="68" ht="24" customHeight="1">
      <c r="A68" s="16" t="inlineStr">
        <is>
          <t>Rough excav, banking, water &amp; roll (10 cum)</t>
        </is>
      </c>
      <c r="B68" s="76" t="inlineStr">
        <is>
          <t>8-10t power roller 6 passes on 20cm layer</t>
        </is>
      </c>
      <c r="C68" s="21" t="inlineStr">
        <is>
          <t>0011</t>
        </is>
      </c>
      <c r="D68" s="16" t="inlineStr">
        <is>
          <t>Road Roller 8-10t Diesel Power (incl Fuel &amp; Crew)</t>
        </is>
      </c>
      <c r="E68" s="77" t="n">
        <v>10</v>
      </c>
      <c r="F68" s="50" t="inlineStr">
        <is>
          <t>cum</t>
        </is>
      </c>
      <c r="G68" s="78" t="n">
        <v>1</v>
      </c>
      <c r="H68" s="79" t="n">
        <v>0.064</v>
      </c>
      <c r="I68" s="80">
        <f>ROUND(G68 * H68, 3)</f>
        <v/>
      </c>
      <c r="J68" s="81" t="n">
        <v>8</v>
      </c>
      <c r="K68" s="80">
        <f>ROUND(I68 / J68, 4)</f>
        <v/>
      </c>
      <c r="L68" s="82">
        <f>IFERROR(ROUND(E68 / K68, 2), "")</f>
        <v/>
      </c>
      <c r="M68" s="83">
        <f>IFERROR(ROUND(I68 / E68, 4), "")</f>
        <v/>
      </c>
      <c r="N68" s="82">
        <f>IFERROR(ROUND(L68 / J68, 2), "")</f>
        <v/>
      </c>
      <c r="O68" s="39" t="inlineStr">
        <is>
          <t>Compacting loose 20 cm layers: 6 passes with 8-10t roller covering 1.8 m width at 2.5 km/h = 156.25 cum/hr (1250 cum per 8-hr shift).</t>
        </is>
      </c>
    </row>
    <row r="69" ht="24" customHeight="1">
      <c r="A69" s="16" t="inlineStr">
        <is>
          <t>Rough excavation only (10 cum)</t>
        </is>
      </c>
      <c r="B69" s="76" t="inlineStr">
        <is>
          <t>Rough soil digging &amp; loosening</t>
        </is>
      </c>
      <c r="C69" s="21" t="inlineStr">
        <is>
          <t>0114</t>
        </is>
      </c>
      <c r="D69" s="16" t="inlineStr">
        <is>
          <t>Beldar (Semi-Skilled / Operational Earthwork)</t>
        </is>
      </c>
      <c r="E69" s="77" t="n">
        <v>10</v>
      </c>
      <c r="F69" s="50" t="inlineStr">
        <is>
          <t>cum</t>
        </is>
      </c>
      <c r="G69" s="78" t="n">
        <v>2</v>
      </c>
      <c r="H69" s="79" t="n">
        <v>14.8</v>
      </c>
      <c r="I69" s="80">
        <f>ROUND(G69 * H69, 3)</f>
        <v/>
      </c>
      <c r="J69" s="81" t="n">
        <v>8</v>
      </c>
      <c r="K69" s="80">
        <f>ROUND(I69 / J69, 4)</f>
        <v/>
      </c>
      <c r="L69" s="82">
        <f>IFERROR(ROUND(E69 / K69, 2), "")</f>
        <v/>
      </c>
      <c r="M69" s="83">
        <f>IFERROR(ROUND(I69 / E69, 4), "")</f>
        <v/>
      </c>
      <c r="N69" s="82">
        <f>IFERROR(ROUND(L69 / J69, 2), "")</f>
        <v/>
      </c>
      <c r="O69" s="39" t="inlineStr">
        <is>
          <t>Pure rough soil digging and loosening without banking or clod pulverization: 29.60 man-hrs / 10 cum (3.70 bd). Daily output: 2.703 cum per 8-hr shift.</t>
        </is>
      </c>
    </row>
    <row r="70" ht="24" customHeight="1">
      <c r="A70" s="16" t="inlineStr">
        <is>
          <t>Embankment banking excl digging (10 cum)</t>
        </is>
      </c>
      <c r="B70" s="76" t="inlineStr">
        <is>
          <t>Breaking clods &amp; shaping slope profile</t>
        </is>
      </c>
      <c r="C70" s="21" t="inlineStr">
        <is>
          <t>0114</t>
        </is>
      </c>
      <c r="D70" s="16" t="inlineStr">
        <is>
          <t>Beldar (Semi-Skilled / Operational Earthwork)</t>
        </is>
      </c>
      <c r="E70" s="77" t="n">
        <v>10</v>
      </c>
      <c r="F70" s="50" t="inlineStr">
        <is>
          <t>cum</t>
        </is>
      </c>
      <c r="G70" s="78" t="n">
        <v>2</v>
      </c>
      <c r="H70" s="79" t="n">
        <v>8.800000000000001</v>
      </c>
      <c r="I70" s="80">
        <f>ROUND(G70 * H70, 3)</f>
        <v/>
      </c>
      <c r="J70" s="81" t="n">
        <v>8</v>
      </c>
      <c r="K70" s="80">
        <f>ROUND(I70 / J70, 4)</f>
        <v/>
      </c>
      <c r="L70" s="82">
        <f>IFERROR(ROUND(E70 / K70, 2), "")</f>
        <v/>
      </c>
      <c r="M70" s="83">
        <f>IFERROR(ROUND(I70 / E70, 4), "")</f>
        <v/>
      </c>
      <c r="N70" s="82">
        <f>IFERROR(ROUND(L70 / J70, 2), "")</f>
        <v/>
      </c>
      <c r="O70" s="39" t="inlineStr">
        <is>
          <t>Pulverizing clods, leveling into 20 cm layers and shaping embankment slope profiles: 17.60 man-hrs / 10 cum (2.20 bd). Daily output: 4.545 cum per 8-hr shift. (Full cycle = 3.70 dig + 2.20 bank = 5.90 bd).</t>
        </is>
      </c>
    </row>
    <row r="71" ht="24" customHeight="1">
      <c r="A71" s="16" t="inlineStr">
        <is>
          <t>Embankment banking excl digging (10 cum)</t>
        </is>
      </c>
      <c r="B71" s="76" t="inlineStr">
        <is>
          <t>Haulage &amp; layer spreading</t>
        </is>
      </c>
      <c r="C71" s="21" t="inlineStr">
        <is>
          <t>0115</t>
        </is>
      </c>
      <c r="D71" s="16" t="inlineStr">
        <is>
          <t>Coolie (Unskilled / Haulage &amp; Spoil Handling)</t>
        </is>
      </c>
      <c r="E71" s="77" t="n">
        <v>10</v>
      </c>
      <c r="F71" s="50" t="inlineStr">
        <is>
          <t>cum</t>
        </is>
      </c>
      <c r="G71" s="78" t="n">
        <v>3</v>
      </c>
      <c r="H71" s="79" t="n">
        <v>9.6</v>
      </c>
      <c r="I71" s="80">
        <f>ROUND(G71 * H71, 3)</f>
        <v/>
      </c>
      <c r="J71" s="81" t="n">
        <v>8</v>
      </c>
      <c r="K71" s="80">
        <f>ROUND(I71 / J71, 4)</f>
        <v/>
      </c>
      <c r="L71" s="82">
        <f>IFERROR(ROUND(E71 / K71, 2), "")</f>
        <v/>
      </c>
      <c r="M71" s="83">
        <f>IFERROR(ROUND(I71 / E71, 4), "")</f>
        <v/>
      </c>
      <c r="N71" s="82">
        <f>IFERROR(ROUND(L71 / J71, 2), "")</f>
        <v/>
      </c>
      <c r="O71" s="39" t="inlineStr">
        <is>
          <t>Haulage within 50m lead and spreading in layers not exceeding 20cm.</t>
        </is>
      </c>
    </row>
    <row r="72" ht="24" customHeight="1">
      <c r="A72" s="16" t="inlineStr">
        <is>
          <t>Embankment banking excl digging (10 cum)</t>
        </is>
      </c>
      <c r="B72" s="76" t="inlineStr">
        <is>
          <t>OMC compaction layer watering</t>
        </is>
      </c>
      <c r="C72" s="21" t="inlineStr">
        <is>
          <t>0101</t>
        </is>
      </c>
      <c r="D72" s="16" t="inlineStr">
        <is>
          <t>Bhishti (Compaction Layer Watering to OMC)</t>
        </is>
      </c>
      <c r="E72" s="77" t="n">
        <v>10</v>
      </c>
      <c r="F72" s="50" t="inlineStr">
        <is>
          <t>cum</t>
        </is>
      </c>
      <c r="G72" s="78" t="n">
        <v>1</v>
      </c>
      <c r="H72" s="79" t="n">
        <v>3.2</v>
      </c>
      <c r="I72" s="80">
        <f>ROUND(G72 * H72, 3)</f>
        <v/>
      </c>
      <c r="J72" s="81" t="n">
        <v>8</v>
      </c>
      <c r="K72" s="80">
        <f>ROUND(I72 / J72, 4)</f>
        <v/>
      </c>
      <c r="L72" s="82">
        <f>IFERROR(ROUND(E72 / K72, 2), "")</f>
        <v/>
      </c>
      <c r="M72" s="83">
        <f>IFERROR(ROUND(I72 / E72, 4), "")</f>
        <v/>
      </c>
      <c r="N72" s="82">
        <f>IFERROR(ROUND(L72 / J72, 2), "")</f>
        <v/>
      </c>
      <c r="O72" s="39" t="inlineStr">
        <is>
          <t>Compaction watering: 25 cum conditioned per 8-hr shift.</t>
        </is>
      </c>
    </row>
    <row r="73" ht="24" customHeight="1">
      <c r="A73" s="16" t="inlineStr">
        <is>
          <t>Embankment banking excl digging (10 cum)</t>
        </is>
      </c>
      <c r="B73" s="76" t="inlineStr">
        <is>
          <t>8-10t power rolling 6 passes</t>
        </is>
      </c>
      <c r="C73" s="21" t="inlineStr">
        <is>
          <t>0011</t>
        </is>
      </c>
      <c r="D73" s="16" t="inlineStr">
        <is>
          <t>Road Roller 8-10t Diesel Power (incl Fuel &amp; Crew)</t>
        </is>
      </c>
      <c r="E73" s="77" t="n">
        <v>10</v>
      </c>
      <c r="F73" s="50" t="inlineStr">
        <is>
          <t>cum</t>
        </is>
      </c>
      <c r="G73" s="78" t="n">
        <v>1</v>
      </c>
      <c r="H73" s="79" t="n">
        <v>0.064</v>
      </c>
      <c r="I73" s="80">
        <f>ROUND(G73 * H73, 3)</f>
        <v/>
      </c>
      <c r="J73" s="81" t="n">
        <v>8</v>
      </c>
      <c r="K73" s="80">
        <f>ROUND(I73 / J73, 4)</f>
        <v/>
      </c>
      <c r="L73" s="82">
        <f>IFERROR(ROUND(E73 / K73, 2), "")</f>
        <v/>
      </c>
      <c r="M73" s="83">
        <f>IFERROR(ROUND(I73 / E73, 4), "")</f>
        <v/>
      </c>
      <c r="N73" s="82">
        <f>IFERROR(ROUND(L73 / J73, 2), "")</f>
        <v/>
      </c>
      <c r="O73" s="39" t="inlineStr">
        <is>
          <t>Layer consolidation: 1250 cum per 8-hr shift (0.008 machine-day per 10 cum).</t>
        </is>
      </c>
    </row>
    <row r="74" ht="24" customHeight="1">
      <c r="A74" s="16" t="inlineStr">
        <is>
          <t>Deduct not rolling embankment (10 cum)</t>
        </is>
      </c>
      <c r="B74" s="76" t="inlineStr">
        <is>
          <t>Omission of 8-10t power rolling</t>
        </is>
      </c>
      <c r="C74" s="21" t="inlineStr">
        <is>
          <t>0011</t>
        </is>
      </c>
      <c r="D74" s="16" t="inlineStr">
        <is>
          <t>Road Roller 8-10t Diesel Power (incl Fuel &amp; Crew)</t>
        </is>
      </c>
      <c r="E74" s="77" t="n">
        <v>10</v>
      </c>
      <c r="F74" s="50" t="inlineStr">
        <is>
          <t>cum</t>
        </is>
      </c>
      <c r="G74" s="78" t="n">
        <v>-1</v>
      </c>
      <c r="H74" s="79" t="n">
        <v>0.064</v>
      </c>
      <c r="I74" s="80">
        <f>ROUND(G74 * H74, 3)</f>
        <v/>
      </c>
      <c r="J74" s="81" t="n">
        <v>8</v>
      </c>
      <c r="K74" s="80">
        <f>ROUND(I74 / J74, 4)</f>
        <v/>
      </c>
      <c r="L74" s="82">
        <f>IFERROR(ROUND(E74 / K74, 2), "")</f>
        <v/>
      </c>
      <c r="M74" s="83">
        <f>IFERROR(ROUND(I74 / E74, 4), "")</f>
        <v/>
      </c>
      <c r="N74" s="82">
        <f>IFERROR(ROUND(L74 / J74, 2), "")</f>
        <v/>
      </c>
      <c r="O74" s="39" t="inlineStr">
        <is>
          <t>Reverses the 8-10t road roller compaction allowance where embankment rolling is omitted: -0.008 roller-day.</t>
        </is>
      </c>
    </row>
    <row r="75" ht="24" customHeight="1">
      <c r="A75" s="16" t="inlineStr">
        <is>
          <t>Deduct not watering embankment (10 cum)</t>
        </is>
      </c>
      <c r="B75" s="76" t="inlineStr">
        <is>
          <t>Omission of OMC compaction watering</t>
        </is>
      </c>
      <c r="C75" s="21" t="inlineStr">
        <is>
          <t>0101</t>
        </is>
      </c>
      <c r="D75" s="16" t="inlineStr">
        <is>
          <t>Bhishti (Compaction Layer Watering to OMC)</t>
        </is>
      </c>
      <c r="E75" s="77" t="n">
        <v>10</v>
      </c>
      <c r="F75" s="50" t="inlineStr">
        <is>
          <t>cum</t>
        </is>
      </c>
      <c r="G75" s="78" t="n">
        <v>-1</v>
      </c>
      <c r="H75" s="79" t="n">
        <v>3.2</v>
      </c>
      <c r="I75" s="80">
        <f>ROUND(G75 * H75, 3)</f>
        <v/>
      </c>
      <c r="J75" s="81" t="n">
        <v>8</v>
      </c>
      <c r="K75" s="80">
        <f>ROUND(I75 / J75, 4)</f>
        <v/>
      </c>
      <c r="L75" s="82">
        <f>IFERROR(ROUND(E75 / K75, 2), "")</f>
        <v/>
      </c>
      <c r="M75" s="83">
        <f>IFERROR(ROUND(I75 / E75, 4), "")</f>
        <v/>
      </c>
      <c r="N75" s="82">
        <f>IFERROR(ROUND(L75 / J75, 2), "")</f>
        <v/>
      </c>
      <c r="O75" s="39" t="inlineStr">
        <is>
          <t>Reverses the OMC compaction watering allowance where watering is omitted: -0.40 bhishti-day.</t>
        </is>
      </c>
    </row>
    <row r="76" ht="24" customHeight="1">
      <c r="A76" s="16" t="inlineStr">
        <is>
          <t>Excavator 0.9 cum bucket trenching (10 cum)</t>
        </is>
      </c>
      <c r="B76" s="76" t="inlineStr">
        <is>
          <t>Mechanical excavation 0.9 cum bucket</t>
        </is>
      </c>
      <c r="C76" s="21" t="inlineStr">
        <is>
          <t>0034</t>
        </is>
      </c>
      <c r="D76" s="16" t="inlineStr">
        <is>
          <t>Hydraulic Excavator 0.9 cum Shovel (incl Fuel &amp; Crew)</t>
        </is>
      </c>
      <c r="E76" s="77" t="n">
        <v>10</v>
      </c>
      <c r="F76" s="50" t="inlineStr">
        <is>
          <t>cum</t>
        </is>
      </c>
      <c r="G76" s="78" t="n">
        <v>1</v>
      </c>
      <c r="H76" s="79" t="n">
        <v>0.328</v>
      </c>
      <c r="I76" s="80">
        <f>ROUND(G76 * H76, 3)</f>
        <v/>
      </c>
      <c r="J76" s="81" t="n">
        <v>8</v>
      </c>
      <c r="K76" s="80">
        <f>ROUND(I76 / J76, 4)</f>
        <v/>
      </c>
      <c r="L76" s="82">
        <f>IFERROR(ROUND(E76 / K76, 2), "")</f>
        <v/>
      </c>
      <c r="M76" s="83">
        <f>IFERROR(ROUND(I76 / E76, 4), "")</f>
        <v/>
      </c>
      <c r="N76" s="82">
        <f>IFERROR(ROUND(L76 / J76, 2), "")</f>
        <v/>
      </c>
      <c r="O76" s="39" t="inlineStr">
        <is>
          <t>Hydraulic excavator (0.9 cum bucket) at 25-30s cycle, 60% job efficiency = 30.49 cum/hr. Digs 10 cum in 19.68 min (0.041 shift-day).</t>
        </is>
      </c>
    </row>
    <row r="77" ht="24" customHeight="1">
      <c r="A77" s="16" t="inlineStr">
        <is>
          <t>Excavator 0.9 cum bucket trenching (10 cum)</t>
        </is>
      </c>
      <c r="B77" s="76" t="inlineStr">
        <is>
          <t>Manual trench bottom &amp; corner trimming</t>
        </is>
      </c>
      <c r="C77" s="21" t="inlineStr">
        <is>
          <t>0114</t>
        </is>
      </c>
      <c r="D77" s="16" t="inlineStr">
        <is>
          <t>Beldar (Semi-Skilled / Operational Earthwork)</t>
        </is>
      </c>
      <c r="E77" s="77" t="n">
        <v>10</v>
      </c>
      <c r="F77" s="50" t="inlineStr">
        <is>
          <t>cum</t>
        </is>
      </c>
      <c r="G77" s="78" t="n">
        <v>1</v>
      </c>
      <c r="H77" s="79" t="n">
        <v>0.5600000000000001</v>
      </c>
      <c r="I77" s="80">
        <f>ROUND(G77 * H77, 3)</f>
        <v/>
      </c>
      <c r="J77" s="81" t="n">
        <v>8</v>
      </c>
      <c r="K77" s="80">
        <f>ROUND(I77 / J77, 4)</f>
        <v/>
      </c>
      <c r="L77" s="82">
        <f>IFERROR(ROUND(E77 / K77, 2), "")</f>
        <v/>
      </c>
      <c r="M77" s="83">
        <f>IFERROR(ROUND(I77 / E77, 4), "")</f>
        <v/>
      </c>
      <c r="N77" s="82">
        <f>IFERROR(ROUND(L77 / J77, 2), "")</f>
        <v/>
      </c>
      <c r="O77" s="39" t="inlineStr">
        <is>
          <t>Manual leveling and trimming of trench bottom and squaring corners where machine bucket cannot cleanly reach (33.6 mins).</t>
        </is>
      </c>
    </row>
    <row r="78" ht="24" customHeight="1">
      <c r="A78" s="16" t="inlineStr">
        <is>
          <t>Excavator 0.9 cum bucket trenching (10 cum)</t>
        </is>
      </c>
      <c r="B78" s="76" t="inlineStr">
        <is>
          <t>Corner cleanup &amp; shoveling to bucket</t>
        </is>
      </c>
      <c r="C78" s="21" t="inlineStr">
        <is>
          <t>0115</t>
        </is>
      </c>
      <c r="D78" s="16" t="inlineStr">
        <is>
          <t>Coolie (Unskilled / Haulage &amp; Spoil Handling)</t>
        </is>
      </c>
      <c r="E78" s="77" t="n">
        <v>10</v>
      </c>
      <c r="F78" s="50" t="inlineStr">
        <is>
          <t>cum</t>
        </is>
      </c>
      <c r="G78" s="78" t="n">
        <v>1</v>
      </c>
      <c r="H78" s="79" t="n">
        <v>0.5600000000000001</v>
      </c>
      <c r="I78" s="80">
        <f>ROUND(G78 * H78, 3)</f>
        <v/>
      </c>
      <c r="J78" s="81" t="n">
        <v>8</v>
      </c>
      <c r="K78" s="80">
        <f>ROUND(I78 / J78, 4)</f>
        <v/>
      </c>
      <c r="L78" s="82">
        <f>IFERROR(ROUND(E78 / K78, 2), "")</f>
        <v/>
      </c>
      <c r="M78" s="83">
        <f>IFERROR(ROUND(I78 / E78, 4), "")</f>
        <v/>
      </c>
      <c r="N78" s="82">
        <f>IFERROR(ROUND(L78 / J78, 2), "")</f>
        <v/>
      </c>
      <c r="O78" s="39" t="inlineStr">
        <is>
          <t>Shoveling corner spillage and trims back into excavator bucket reach radius (33.6 mins).</t>
        </is>
      </c>
    </row>
    <row r="79" ht="24" customHeight="1">
      <c r="A79" s="16" t="inlineStr">
        <is>
          <t>Foundation trench excavation soil (10 cum)</t>
        </is>
      </c>
      <c r="B79" s="76" t="inlineStr">
        <is>
          <t>Manual pickaxe digging &amp; trench bottoming</t>
        </is>
      </c>
      <c r="C79" s="21" t="inlineStr">
        <is>
          <t>0114</t>
        </is>
      </c>
      <c r="D79" s="16" t="inlineStr">
        <is>
          <t>Beldar (Semi-Skilled / Operational Earthwork)</t>
        </is>
      </c>
      <c r="E79" s="77" t="n">
        <v>10</v>
      </c>
      <c r="F79" s="50" t="inlineStr">
        <is>
          <t>cum</t>
        </is>
      </c>
      <c r="G79" s="78" t="n">
        <v>2</v>
      </c>
      <c r="H79" s="79" t="n">
        <v>7.6</v>
      </c>
      <c r="I79" s="80">
        <f>ROUND(G79 * H79, 3)</f>
        <v/>
      </c>
      <c r="J79" s="81" t="n">
        <v>8</v>
      </c>
      <c r="K79" s="80">
        <f>ROUND(I79 / J79, 4)</f>
        <v/>
      </c>
      <c r="L79" s="82">
        <f>IFERROR(ROUND(E79 / K79, 2), "")</f>
        <v/>
      </c>
      <c r="M79" s="83">
        <f>IFERROR(ROUND(I79 / E79, 4), "")</f>
        <v/>
      </c>
      <c r="N79" s="82">
        <f>IFERROR(ROUND(L79 / J79, 2), "")</f>
        <v/>
      </c>
      <c r="O79" s="39" t="inlineStr">
        <is>
          <t>Manual pickaxe and phowrah digging in foundation trenches. 1 Beldar loosens 5.263 cum per 8-hr shift (0.658 cum/hr).</t>
        </is>
      </c>
    </row>
    <row r="80" ht="24" customHeight="1">
      <c r="A80" s="16" t="inlineStr">
        <is>
          <t>Foundation trench excavation soil (10 cum)</t>
        </is>
      </c>
      <c r="B80" s="76" t="inlineStr">
        <is>
          <t>Shoveling &amp; lifting 1.5m clear of edge</t>
        </is>
      </c>
      <c r="C80" s="21" t="inlineStr">
        <is>
          <t>0115</t>
        </is>
      </c>
      <c r="D80" s="16" t="inlineStr">
        <is>
          <t>Coolie (Unskilled / Haulage &amp; Spoil Handling)</t>
        </is>
      </c>
      <c r="E80" s="77" t="n">
        <v>10</v>
      </c>
      <c r="F80" s="50" t="inlineStr">
        <is>
          <t>cum</t>
        </is>
      </c>
      <c r="G80" s="78" t="n">
        <v>2</v>
      </c>
      <c r="H80" s="79" t="n">
        <v>5.6</v>
      </c>
      <c r="I80" s="80">
        <f>ROUND(G80 * H80, 3)</f>
        <v/>
      </c>
      <c r="J80" s="81" t="n">
        <v>8</v>
      </c>
      <c r="K80" s="80">
        <f>ROUND(I80 / J80, 4)</f>
        <v/>
      </c>
      <c r="L80" s="82">
        <f>IFERROR(ROUND(E80 / K80, 2), "")</f>
        <v/>
      </c>
      <c r="M80" s="83">
        <f>IFERROR(ROUND(I80 / E80, 4), "")</f>
        <v/>
      </c>
      <c r="N80" s="82">
        <f>IFERROR(ROUND(L80 / J80, 2), "")</f>
        <v/>
      </c>
      <c r="O80" s="39" t="inlineStr">
        <is>
          <t>Shoveling loosened soil into pans, lifting out of trench up to 1.5 m lift, depositing 1 m clear of trench edge.</t>
        </is>
      </c>
    </row>
    <row r="81" ht="24" customHeight="1">
      <c r="A81" s="16" t="inlineStr">
        <is>
          <t>Foundation trench excavation soil (10 cum)</t>
        </is>
      </c>
      <c r="B81" s="76" t="inlineStr">
        <is>
          <t>Alignment, lines, levels &amp; supervision</t>
        </is>
      </c>
      <c r="C81" s="21" t="inlineStr">
        <is>
          <t>0128</t>
        </is>
      </c>
      <c r="D81" s="16" t="inlineStr">
        <is>
          <t>Mate (Crew Supervisor &amp; Alignment Checker)</t>
        </is>
      </c>
      <c r="E81" s="77" t="n">
        <v>10</v>
      </c>
      <c r="F81" s="50" t="inlineStr">
        <is>
          <t>cum</t>
        </is>
      </c>
      <c r="G81" s="78" t="n">
        <v>1</v>
      </c>
      <c r="H81" s="79" t="n">
        <v>1.28</v>
      </c>
      <c r="I81" s="80">
        <f>ROUND(G81 * H81, 3)</f>
        <v/>
      </c>
      <c r="J81" s="81" t="n">
        <v>8</v>
      </c>
      <c r="K81" s="80">
        <f>ROUND(I81 / J81, 4)</f>
        <v/>
      </c>
      <c r="L81" s="82">
        <f>IFERROR(ROUND(E81 / K81, 2), "")</f>
        <v/>
      </c>
      <c r="M81" s="83">
        <f>IFERROR(ROUND(I81 / E81, 4), "")</f>
        <v/>
      </c>
      <c r="N81" s="82">
        <f>IFERROR(ROUND(L81 / J81, 2), "")</f>
        <v/>
      </c>
      <c r="O81" s="39" t="inlineStr">
        <is>
          <t>Direct gang supervision, line alignment, levels and depth control (~5% of direct labour).</t>
        </is>
      </c>
    </row>
    <row r="82" ht="24" customHeight="1">
      <c r="A82" s="16" t="inlineStr">
        <is>
          <t>Foundation trench excavation soil (10 cum)</t>
        </is>
      </c>
      <c r="B82" s="76" t="inlineStr">
        <is>
          <t>Trench dampening &amp; dust suppression</t>
        </is>
      </c>
      <c r="C82" s="21" t="inlineStr">
        <is>
          <t>0101</t>
        </is>
      </c>
      <c r="D82" s="16" t="inlineStr">
        <is>
          <t>Bhishti (Compaction Layer Watering to OMC)</t>
        </is>
      </c>
      <c r="E82" s="77" t="n">
        <v>10</v>
      </c>
      <c r="F82" s="50" t="inlineStr">
        <is>
          <t>cum</t>
        </is>
      </c>
      <c r="G82" s="78" t="n">
        <v>1</v>
      </c>
      <c r="H82" s="79" t="n">
        <v>0.4</v>
      </c>
      <c r="I82" s="80">
        <f>ROUND(G82 * H82, 3)</f>
        <v/>
      </c>
      <c r="J82" s="81" t="n">
        <v>8</v>
      </c>
      <c r="K82" s="80">
        <f>ROUND(I82 / J82, 4)</f>
        <v/>
      </c>
      <c r="L82" s="82">
        <f>IFERROR(ROUND(E82 / K82, 2), "")</f>
        <v/>
      </c>
      <c r="M82" s="83">
        <f>IFERROR(ROUND(I82 / E82, 4), "")</f>
        <v/>
      </c>
      <c r="N82" s="82">
        <f>IFERROR(ROUND(L82 / J82, 2), "")</f>
        <v/>
      </c>
      <c r="O82" s="39" t="inlineStr">
        <is>
          <t>Dampening trench bottom to prevent rapid suction of concrete water during footing pour (24 min active work).</t>
        </is>
      </c>
    </row>
    <row r="83" ht="24" customHeight="1">
      <c r="A83" s="16" t="inlineStr">
        <is>
          <t>Backfilling trenches/plinth in layers (10 cum)</t>
        </is>
      </c>
      <c r="B83" s="76" t="inlineStr">
        <is>
          <t>Basket haulage from heaps within 50m</t>
        </is>
      </c>
      <c r="C83" s="21" t="inlineStr">
        <is>
          <t>0115</t>
        </is>
      </c>
      <c r="D83" s="16" t="inlineStr">
        <is>
          <t>Coolie (Unskilled / Haulage &amp; Spoil Handling)</t>
        </is>
      </c>
      <c r="E83" s="77" t="n">
        <v>10</v>
      </c>
      <c r="F83" s="50" t="inlineStr">
        <is>
          <t>cum</t>
        </is>
      </c>
      <c r="G83" s="78" t="n">
        <v>2</v>
      </c>
      <c r="H83" s="79" t="n">
        <v>6.8</v>
      </c>
      <c r="I83" s="80">
        <f>ROUND(G83 * H83, 3)</f>
        <v/>
      </c>
      <c r="J83" s="81" t="n">
        <v>8</v>
      </c>
      <c r="K83" s="80">
        <f>ROUND(I83 / J83, 4)</f>
        <v/>
      </c>
      <c r="L83" s="82">
        <f>IFERROR(ROUND(E83 / K83, 2), "")</f>
        <v/>
      </c>
      <c r="M83" s="83">
        <f>IFERROR(ROUND(I83 / E83, 4), "")</f>
        <v/>
      </c>
      <c r="N83" s="82">
        <f>IFERROR(ROUND(L83 / J83, 2), "")</f>
        <v/>
      </c>
      <c r="O83" s="39" t="inlineStr">
        <is>
          <t>Shoveling available excavated earth from heaps within 50 m lead, basket carrying and tipping into trenches/plinth.</t>
        </is>
      </c>
    </row>
    <row r="84" ht="24" customHeight="1">
      <c r="A84" s="16" t="inlineStr">
        <is>
          <t>Backfilling trenches/plinth in layers (10 cum)</t>
        </is>
      </c>
      <c r="B84" s="76" t="inlineStr">
        <is>
          <t>Spreading in 20cm layers &amp; durmat ramming</t>
        </is>
      </c>
      <c r="C84" s="21" t="inlineStr">
        <is>
          <t>0114</t>
        </is>
      </c>
      <c r="D84" s="16" t="inlineStr">
        <is>
          <t>Beldar (Semi-Skilled / Operational Earthwork)</t>
        </is>
      </c>
      <c r="E84" s="77" t="n">
        <v>10</v>
      </c>
      <c r="F84" s="50" t="inlineStr">
        <is>
          <t>cum</t>
        </is>
      </c>
      <c r="G84" s="78" t="n">
        <v>1</v>
      </c>
      <c r="H84" s="79" t="n">
        <v>6.4</v>
      </c>
      <c r="I84" s="80">
        <f>ROUND(G84 * H84, 3)</f>
        <v/>
      </c>
      <c r="J84" s="81" t="n">
        <v>8</v>
      </c>
      <c r="K84" s="80">
        <f>ROUND(I84 / J84, 4)</f>
        <v/>
      </c>
      <c r="L84" s="82">
        <f>IFERROR(ROUND(E84 / K84, 2), "")</f>
        <v/>
      </c>
      <c r="M84" s="83">
        <f>IFERROR(ROUND(I84 / E84, 4), "")</f>
        <v/>
      </c>
      <c r="N84" s="82">
        <f>IFERROR(ROUND(L84 / J84, 2), "")</f>
        <v/>
      </c>
      <c r="O84" s="39" t="inlineStr">
        <is>
          <t>Spreading loose earth in layers not exceeding 20 cm, thorough consolidation with iron/wooden rammers (durmats).</t>
        </is>
      </c>
    </row>
    <row r="85" ht="24" customHeight="1">
      <c r="A85" s="16" t="inlineStr">
        <is>
          <t>Backfilling trenches/plinth in layers (10 cum)</t>
        </is>
      </c>
      <c r="B85" s="76" t="inlineStr">
        <is>
          <t>Consolidation layer watering</t>
        </is>
      </c>
      <c r="C85" s="21" t="inlineStr">
        <is>
          <t>0101</t>
        </is>
      </c>
      <c r="D85" s="16" t="inlineStr">
        <is>
          <t>Bhishti (Compaction Layer Watering to OMC)</t>
        </is>
      </c>
      <c r="E85" s="77" t="n">
        <v>10</v>
      </c>
      <c r="F85" s="50" t="inlineStr">
        <is>
          <t>cum</t>
        </is>
      </c>
      <c r="G85" s="78" t="n">
        <v>1</v>
      </c>
      <c r="H85" s="79" t="n">
        <v>1.6</v>
      </c>
      <c r="I85" s="80">
        <f>ROUND(G85 * H85, 3)</f>
        <v/>
      </c>
      <c r="J85" s="81" t="n">
        <v>8</v>
      </c>
      <c r="K85" s="80">
        <f>ROUND(I85 / J85, 4)</f>
        <v/>
      </c>
      <c r="L85" s="82">
        <f>IFERROR(ROUND(E85 / K85, 2), "")</f>
        <v/>
      </c>
      <c r="M85" s="83">
        <f>IFERROR(ROUND(I85 / E85, 4), "")</f>
        <v/>
      </c>
      <c r="N85" s="82">
        <f>IFERROR(ROUND(L85 / J85, 2), "")</f>
        <v/>
      </c>
      <c r="O85" s="39" t="inlineStr">
        <is>
          <t>Watering each layer during ramming to attain optimum density (50 cum conditioned per 8-hr shift).</t>
        </is>
      </c>
    </row>
    <row r="86" ht="24" customHeight="1">
      <c r="A86" s="16" t="inlineStr">
        <is>
          <t>Surface dressing &lt;= 15cm deep (100 sqm)</t>
        </is>
      </c>
      <c r="B86" s="76" t="inlineStr">
        <is>
          <t>Cutting humps &amp; filling hollows &lt;= 15cm</t>
        </is>
      </c>
      <c r="C86" s="21" t="inlineStr">
        <is>
          <t>0114</t>
        </is>
      </c>
      <c r="D86" s="16" t="inlineStr">
        <is>
          <t>Beldar (Semi-Skilled / Operational Earthwork)</t>
        </is>
      </c>
      <c r="E86" s="77" t="n">
        <v>100</v>
      </c>
      <c r="F86" s="50" t="inlineStr">
        <is>
          <t>sqm</t>
        </is>
      </c>
      <c r="G86" s="78" t="n">
        <v>1</v>
      </c>
      <c r="H86" s="79" t="n">
        <v>7.2</v>
      </c>
      <c r="I86" s="80">
        <f>ROUND(G86 * H86, 3)</f>
        <v/>
      </c>
      <c r="J86" s="81" t="n">
        <v>8</v>
      </c>
      <c r="K86" s="80">
        <f>ROUND(I86 / J86, 4)</f>
        <v/>
      </c>
      <c r="L86" s="82">
        <f>IFERROR(ROUND(E86 / K86, 2), "")</f>
        <v/>
      </c>
      <c r="M86" s="83">
        <f>IFERROR(ROUND(I86 / E86, 4), "")</f>
        <v/>
      </c>
      <c r="N86" s="82">
        <f>IFERROR(ROUND(L86 / J86, 2), "")</f>
        <v/>
      </c>
      <c r="O86" s="39" t="inlineStr">
        <is>
          <t>Cutting high humps and filling low depressions not exceeding 15 cm depth to achieve uniform plane ground (111.11 sqm/day).</t>
        </is>
      </c>
    </row>
    <row r="87" ht="24" customHeight="1">
      <c r="A87" s="16" t="inlineStr">
        <is>
          <t>Surface dressing &lt;= 15cm deep (100 sqm)</t>
        </is>
      </c>
      <c r="B87" s="76" t="inlineStr">
        <is>
          <t>Collecting debris &amp; disposal up to 50m</t>
        </is>
      </c>
      <c r="C87" s="21" t="inlineStr">
        <is>
          <t>0115</t>
        </is>
      </c>
      <c r="D87" s="16" t="inlineStr">
        <is>
          <t>Coolie (Unskilled / Haulage &amp; Spoil Handling)</t>
        </is>
      </c>
      <c r="E87" s="77" t="n">
        <v>100</v>
      </c>
      <c r="F87" s="50" t="inlineStr">
        <is>
          <t>sqm</t>
        </is>
      </c>
      <c r="G87" s="78" t="n">
        <v>1</v>
      </c>
      <c r="H87" s="79" t="n">
        <v>5.6</v>
      </c>
      <c r="I87" s="80">
        <f>ROUND(G87 * H87, 3)</f>
        <v/>
      </c>
      <c r="J87" s="81" t="n">
        <v>8</v>
      </c>
      <c r="K87" s="80">
        <f>ROUND(I87 / J87, 4)</f>
        <v/>
      </c>
      <c r="L87" s="82">
        <f>IFERROR(ROUND(E87 / K87, 2), "")</f>
        <v/>
      </c>
      <c r="M87" s="83">
        <f>IFERROR(ROUND(I87 / E87, 4), "")</f>
        <v/>
      </c>
      <c r="N87" s="82">
        <f>IFERROR(ROUND(L87 / J87, 2), "")</f>
        <v/>
      </c>
      <c r="O87" s="39" t="inlineStr">
        <is>
          <t>Collecting uprooted weeds, grass roots and rubbish, disposing outside perimeter up to 50 m lead (142.86 sqm/day).</t>
        </is>
      </c>
    </row>
    <row r="88" ht="24" customHeight="1">
      <c r="A88" s="16" t="inlineStr">
        <is>
          <t>Clearing jungle &amp; rank vegetation (100 sqm)</t>
        </is>
      </c>
      <c r="B88" s="76" t="inlineStr">
        <is>
          <t>Slashing brush &amp; uprooting saplings &lt;=30cm</t>
        </is>
      </c>
      <c r="C88" s="21" t="inlineStr">
        <is>
          <t>0114</t>
        </is>
      </c>
      <c r="D88" s="16" t="inlineStr">
        <is>
          <t>Beldar (Semi-Skilled / Operational Earthwork)</t>
        </is>
      </c>
      <c r="E88" s="77" t="n">
        <v>100</v>
      </c>
      <c r="F88" s="50" t="inlineStr">
        <is>
          <t>sqm</t>
        </is>
      </c>
      <c r="G88" s="78" t="n">
        <v>1</v>
      </c>
      <c r="H88" s="79" t="n">
        <v>6.4</v>
      </c>
      <c r="I88" s="80">
        <f>ROUND(G88 * H88, 3)</f>
        <v/>
      </c>
      <c r="J88" s="81" t="n">
        <v>8</v>
      </c>
      <c r="K88" s="80">
        <f>ROUND(I88 / J88, 4)</f>
        <v/>
      </c>
      <c r="L88" s="82">
        <f>IFERROR(ROUND(E88 / K88, 2), "")</f>
        <v/>
      </c>
      <c r="M88" s="83">
        <f>IFERROR(ROUND(I88 / E88, 4), "")</f>
        <v/>
      </c>
      <c r="N88" s="82">
        <f>IFERROR(ROUND(L88 / J88, 2), "")</f>
        <v/>
      </c>
      <c r="O88" s="39" t="inlineStr">
        <is>
          <t>Slashing rank vegetation, clearing brushwood and uprooting small saplings up to 30 cm girth at 1 m height (125 sqm/day).</t>
        </is>
      </c>
    </row>
    <row r="89" ht="24" customHeight="1">
      <c r="A89" s="16" t="inlineStr">
        <is>
          <t>Clearing jungle &amp; rank vegetation (100 sqm)</t>
        </is>
      </c>
      <c r="B89" s="76" t="inlineStr">
        <is>
          <t>Stacking &amp; disposal outside 50m periphery</t>
        </is>
      </c>
      <c r="C89" s="21" t="inlineStr">
        <is>
          <t>0115</t>
        </is>
      </c>
      <c r="D89" s="16" t="inlineStr">
        <is>
          <t>Coolie (Unskilled / Haulage &amp; Spoil Handling)</t>
        </is>
      </c>
      <c r="E89" s="77" t="n">
        <v>100</v>
      </c>
      <c r="F89" s="50" t="inlineStr">
        <is>
          <t>sqm</t>
        </is>
      </c>
      <c r="G89" s="78" t="n">
        <v>1</v>
      </c>
      <c r="H89" s="79" t="n">
        <v>1.6</v>
      </c>
      <c r="I89" s="80">
        <f>ROUND(G89 * H89, 3)</f>
        <v/>
      </c>
      <c r="J89" s="81" t="n">
        <v>8</v>
      </c>
      <c r="K89" s="80">
        <f>ROUND(I89 / J89, 4)</f>
        <v/>
      </c>
      <c r="L89" s="82">
        <f>IFERROR(ROUND(E89 / K89, 2), "")</f>
        <v/>
      </c>
      <c r="M89" s="83">
        <f>IFERROR(ROUND(I89 / E89, 4), "")</f>
        <v/>
      </c>
      <c r="N89" s="82">
        <f>IFERROR(ROUND(L89 / J89, 2), "")</f>
        <v/>
      </c>
      <c r="O89" s="39" t="inlineStr">
        <is>
          <t>Stacking cut brushwood and carrying all unserviceable debris outside 50 m perimeter (500 sqm/day).</t>
        </is>
      </c>
    </row>
    <row r="90" ht="24" customHeight="1">
      <c r="A90" s="12" t="inlineStr">
        <is>
          <t>5. RUNNING CUSTOM NON-DSR ITEMS LIBRARY FOR EARTH WORK</t>
        </is>
      </c>
    </row>
    <row r="91" ht="20" customHeight="1">
      <c r="A91" s="75" t="inlineStr">
        <is>
          <t>Log custom non-DSR earthwork rate analyses below. Results generated above can be archived here for tender schedules.</t>
        </is>
      </c>
    </row>
    <row r="92" ht="24" customHeight="1">
      <c r="A92" s="13" t="inlineStr">
        <is>
          <t>Custom Code</t>
        </is>
      </c>
      <c r="B92" s="13" t="inlineStr">
        <is>
          <t>Item Nomenclature / Scope</t>
        </is>
      </c>
      <c r="C92" s="13" t="inlineStr">
        <is>
          <t>Unit</t>
        </is>
      </c>
      <c r="D92" s="13" t="inlineStr">
        <is>
          <t>Batch</t>
        </is>
      </c>
      <c r="E92" s="13" t="inlineStr">
        <is>
          <t>Mode</t>
        </is>
      </c>
      <c r="F92" s="13" t="inlineStr">
        <is>
          <t>CPOH Base</t>
        </is>
      </c>
      <c r="G92" s="13" t="inlineStr">
        <is>
          <t>Direct Cost W (₹)</t>
        </is>
      </c>
      <c r="H92" s="13" t="inlineStr">
        <is>
          <t>Unit Rate (₹)</t>
        </is>
      </c>
      <c r="I92" s="13" t="inlineStr">
        <is>
          <t>Say Rate (₹)</t>
        </is>
      </c>
      <c r="J92" s="13" t="inlineStr">
        <is>
          <t>Status</t>
        </is>
      </c>
      <c r="K92" s="13" t="inlineStr">
        <is>
          <t>Technical Basis &amp; Remarks</t>
        </is>
      </c>
      <c r="L92" s="14" t="n"/>
      <c r="M92" s="14" t="n"/>
      <c r="N92" s="14" t="n"/>
      <c r="O92" s="15" t="n"/>
    </row>
    <row r="93" ht="20" customHeight="1">
      <c r="A93" s="50" t="inlineStr">
        <is>
          <t>C-02.01</t>
        </is>
      </c>
      <c r="B93" s="76" t="inlineStr">
        <is>
          <t>Earth work surface excavation in soil ≤30cm depth (DAR baseline)</t>
        </is>
      </c>
      <c r="C93" s="50" t="inlineStr">
        <is>
          <t>sqm</t>
        </is>
      </c>
      <c r="D93" s="52" t="n">
        <v>100</v>
      </c>
      <c r="E93" s="50" t="inlineStr">
        <is>
          <t>DIRECT</t>
        </is>
      </c>
      <c r="F93" s="50" t="inlineStr">
        <is>
          <t>W</t>
        </is>
      </c>
      <c r="G93" s="51" t="n">
        <v>6919.2</v>
      </c>
      <c r="H93" s="51" t="n">
        <v>92.55</v>
      </c>
      <c r="I93" s="84" t="n">
        <v>92.55</v>
      </c>
      <c r="J93" s="50" t="inlineStr">
        <is>
          <t>COMPLETE</t>
        </is>
      </c>
      <c r="K93" s="39" t="inlineStr">
        <is>
          <t>Standard DAR surface excavation benchmark</t>
        </is>
      </c>
      <c r="L93" s="92" t="n"/>
      <c r="M93" s="92" t="n"/>
      <c r="N93" s="92" t="n"/>
      <c r="O93" s="93" t="n"/>
    </row>
    <row r="94" ht="20" customHeight="1">
      <c r="A94" s="50" t="inlineStr">
        <is>
          <t>C-02.02</t>
        </is>
      </c>
      <c r="B94" s="76" t="inlineStr">
        <is>
          <t>Earth work rough excavation, banking, watering &amp; rolling (DAR baseline)</t>
        </is>
      </c>
      <c r="C94" s="50" t="inlineStr">
        <is>
          <t>cum</t>
        </is>
      </c>
      <c r="D94" s="52" t="n">
        <v>10</v>
      </c>
      <c r="E94" s="50" t="inlineStr">
        <is>
          <t>DIRECT</t>
        </is>
      </c>
      <c r="F94" s="50" t="inlineStr">
        <is>
          <t>W</t>
        </is>
      </c>
      <c r="G94" s="51" t="n">
        <v>5581.72</v>
      </c>
      <c r="H94" s="51" t="n">
        <v>746.8</v>
      </c>
      <c r="I94" s="84" t="n">
        <v>746.8</v>
      </c>
      <c r="J94" s="50" t="inlineStr">
        <is>
          <t>COMPLETE</t>
        </is>
      </c>
      <c r="K94" s="39" t="inlineStr">
        <is>
          <t>Standard DAR embankment benchmark</t>
        </is>
      </c>
      <c r="L94" s="92" t="n"/>
      <c r="M94" s="92" t="n"/>
      <c r="N94" s="92" t="n"/>
      <c r="O94" s="93" t="n"/>
    </row>
    <row r="95" ht="20" customHeight="1">
      <c r="A95" s="50" t="inlineStr">
        <is>
          <t>C-02.03</t>
        </is>
      </c>
      <c r="B95" s="76" t="inlineStr">
        <is>
          <t>Hydraulic excavator 0.9 cum area excavation (DAR baseline)</t>
        </is>
      </c>
      <c r="C95" s="50" t="inlineStr">
        <is>
          <t>cum</t>
        </is>
      </c>
      <c r="D95" s="52" t="n">
        <v>10</v>
      </c>
      <c r="E95" s="50" t="inlineStr">
        <is>
          <t>DIRECT</t>
        </is>
      </c>
      <c r="F95" s="50" t="inlineStr">
        <is>
          <t>W</t>
        </is>
      </c>
      <c r="G95" s="51" t="n">
        <v>1358</v>
      </c>
      <c r="H95" s="51" t="n">
        <v>181.85</v>
      </c>
      <c r="I95" s="84" t="n">
        <v>181.85</v>
      </c>
      <c r="J95" s="50" t="inlineStr">
        <is>
          <t>COMPLETE</t>
        </is>
      </c>
      <c r="K95" s="39" t="inlineStr">
        <is>
          <t>Standard DAR excavator benchmark</t>
        </is>
      </c>
      <c r="L95" s="92" t="n"/>
      <c r="M95" s="92" t="n"/>
      <c r="N95" s="92" t="n"/>
      <c r="O95" s="93" t="n"/>
    </row>
    <row r="96" ht="20" customHeight="1">
      <c r="A96" s="50" t="inlineStr">
        <is>
          <t>C-02.04</t>
        </is>
      </c>
      <c r="B96" s="76" t="inlineStr">
        <is>
          <t>(Available for custom earthwork specification)</t>
        </is>
      </c>
      <c r="C96" s="50" t="inlineStr">
        <is>
          <t>cum</t>
        </is>
      </c>
      <c r="D96" s="52" t="n">
        <v>10</v>
      </c>
      <c r="E96" s="50" t="inlineStr">
        <is>
          <t>DIRECT</t>
        </is>
      </c>
      <c r="F96" s="50" t="inlineStr">
        <is>
          <t>W</t>
        </is>
      </c>
      <c r="G96" s="51" t="n"/>
      <c r="H96" s="51" t="n"/>
      <c r="I96" s="84" t="n"/>
      <c r="J96" s="50" t="inlineStr">
        <is>
          <t>DRAFT</t>
        </is>
      </c>
      <c r="K96" s="39" t="inlineStr">
        <is>
          <t>Custom item slot</t>
        </is>
      </c>
      <c r="L96" s="92" t="n"/>
      <c r="M96" s="92" t="n"/>
      <c r="N96" s="92" t="n"/>
      <c r="O96" s="93" t="n"/>
    </row>
    <row r="97" ht="20" customHeight="1">
      <c r="A97" s="50" t="inlineStr">
        <is>
          <t>C-02.05</t>
        </is>
      </c>
      <c r="B97" s="76" t="inlineStr">
        <is>
          <t>(Available for custom earthwork specification)</t>
        </is>
      </c>
      <c r="C97" s="50" t="inlineStr">
        <is>
          <t>cum</t>
        </is>
      </c>
      <c r="D97" s="52" t="n">
        <v>10</v>
      </c>
      <c r="E97" s="50" t="inlineStr">
        <is>
          <t>DIRECT</t>
        </is>
      </c>
      <c r="F97" s="50" t="inlineStr">
        <is>
          <t>W</t>
        </is>
      </c>
      <c r="G97" s="51" t="n"/>
      <c r="H97" s="51" t="n"/>
      <c r="I97" s="84" t="n"/>
      <c r="J97" s="50" t="inlineStr">
        <is>
          <t>DRAFT</t>
        </is>
      </c>
      <c r="K97" s="39" t="inlineStr">
        <is>
          <t>Custom item slot</t>
        </is>
      </c>
      <c r="L97" s="92" t="n"/>
      <c r="M97" s="92" t="n"/>
      <c r="N97" s="92" t="n"/>
      <c r="O97" s="93" t="n"/>
    </row>
    <row r="98" ht="20" customHeight="1">
      <c r="A98" s="50" t="inlineStr">
        <is>
          <t>C-02.06</t>
        </is>
      </c>
      <c r="B98" s="76" t="inlineStr">
        <is>
          <t>(Available for custom earthwork specification)</t>
        </is>
      </c>
      <c r="C98" s="50" t="inlineStr">
        <is>
          <t>sqm</t>
        </is>
      </c>
      <c r="D98" s="52" t="n">
        <v>100</v>
      </c>
      <c r="E98" s="50" t="inlineStr">
        <is>
          <t>DIRECT</t>
        </is>
      </c>
      <c r="F98" s="50" t="inlineStr">
        <is>
          <t>W</t>
        </is>
      </c>
      <c r="G98" s="51" t="n"/>
      <c r="H98" s="51" t="n"/>
      <c r="I98" s="84" t="n"/>
      <c r="J98" s="50" t="inlineStr">
        <is>
          <t>DRAFT</t>
        </is>
      </c>
      <c r="K98" s="39" t="inlineStr">
        <is>
          <t>Custom item slot</t>
        </is>
      </c>
      <c r="L98" s="92" t="n"/>
      <c r="M98" s="92" t="n"/>
      <c r="N98" s="92" t="n"/>
      <c r="O98" s="93" t="n"/>
    </row>
    <row r="99" ht="20" customHeight="1">
      <c r="A99" s="50" t="inlineStr">
        <is>
          <t>C-02.07</t>
        </is>
      </c>
      <c r="B99" s="76" t="inlineStr">
        <is>
          <t>(Available for custom earthwork specification)</t>
        </is>
      </c>
      <c r="C99" s="50" t="inlineStr">
        <is>
          <t>cum</t>
        </is>
      </c>
      <c r="D99" s="52" t="n">
        <v>10</v>
      </c>
      <c r="E99" s="50" t="inlineStr">
        <is>
          <t>DIRECT</t>
        </is>
      </c>
      <c r="F99" s="50" t="inlineStr">
        <is>
          <t>W</t>
        </is>
      </c>
      <c r="G99" s="51" t="n"/>
      <c r="H99" s="51" t="n"/>
      <c r="I99" s="84" t="n"/>
      <c r="J99" s="50" t="inlineStr">
        <is>
          <t>DRAFT</t>
        </is>
      </c>
      <c r="K99" s="39" t="inlineStr">
        <is>
          <t>Custom item slot</t>
        </is>
      </c>
      <c r="L99" s="92" t="n"/>
      <c r="M99" s="92" t="n"/>
      <c r="N99" s="92" t="n"/>
      <c r="O99" s="93" t="n"/>
    </row>
    <row r="100" ht="20" customHeight="1">
      <c r="A100" s="50" t="inlineStr">
        <is>
          <t>C-02.08</t>
        </is>
      </c>
      <c r="B100" s="76" t="inlineStr">
        <is>
          <t>(Available for custom earthwork specification)</t>
        </is>
      </c>
      <c r="C100" s="50" t="inlineStr">
        <is>
          <t>m</t>
        </is>
      </c>
      <c r="D100" s="52" t="n">
        <v>100</v>
      </c>
      <c r="E100" s="50" t="inlineStr">
        <is>
          <t>DIRECT</t>
        </is>
      </c>
      <c r="F100" s="50" t="inlineStr">
        <is>
          <t>W</t>
        </is>
      </c>
      <c r="G100" s="51" t="n"/>
      <c r="H100" s="51" t="n"/>
      <c r="I100" s="84" t="n"/>
      <c r="J100" s="50" t="inlineStr">
        <is>
          <t>DRAFT</t>
        </is>
      </c>
      <c r="K100" s="39" t="inlineStr">
        <is>
          <t>Custom item slot</t>
        </is>
      </c>
      <c r="L100" s="92" t="n"/>
      <c r="M100" s="92" t="n"/>
      <c r="N100" s="92" t="n"/>
      <c r="O100" s="93" t="n"/>
    </row>
    <row r="102" ht="24" customHeight="1">
      <c r="A102" s="12" t="inlineStr">
        <is>
          <t>TABLE 5E — GROUND-TRUTH RESOURCE NORMS &amp; ACTIVITY SPECIFICATION CATALOG (178 Verified Records)</t>
        </is>
      </c>
    </row>
    <row r="103" ht="24" customHeight="1">
      <c r="A103" s="75" t="inlineStr">
        <is>
          <t>Ground-truth reference norms transcribed from official CPWD DAR 2019 Volume 1 (Sub-Head 02: Earth Work, PDF pages 88-140). Organized into 15 high-value engineering columns. Cost Contribution (%) identifies equipment- vs. labor-heavy activities. All rate analysis builds directly from this database.</t>
        </is>
      </c>
    </row>
    <row r="104" ht="24" customHeight="1">
      <c r="A104" s="13" t="inlineStr">
        <is>
          <t>Primary Work Scope</t>
        </is>
      </c>
      <c r="B104" s="13" t="inlineStr">
        <is>
          <t>Ground Strata / Material</t>
        </is>
      </c>
      <c r="C104" s="13" t="inlineStr">
        <is>
          <t>Execution Method &amp; Depth Condition</t>
        </is>
      </c>
      <c r="D104" s="13" t="inlineStr">
        <is>
          <t>Operation / Task Specification</t>
        </is>
      </c>
      <c r="E104" s="13" t="inlineStr">
        <is>
          <t>Standard Batch Output</t>
        </is>
      </c>
      <c r="F104" s="13" t="inlineStr">
        <is>
          <t>Resource Category</t>
        </is>
      </c>
      <c r="G104" s="13" t="inlineStr">
        <is>
          <t>Resource Code</t>
        </is>
      </c>
      <c r="H104" s="13" t="inlineStr">
        <is>
          <t>Resource Description &amp; Role</t>
        </is>
      </c>
      <c r="I104" s="13" t="inlineStr">
        <is>
          <t>Norm Input Qty</t>
        </is>
      </c>
      <c r="J104" s="13" t="inlineStr">
        <is>
          <t>Resource Unit</t>
        </is>
      </c>
      <c r="K104" s="13" t="inlineStr">
        <is>
          <t>Unit Rate (₹)</t>
        </is>
      </c>
      <c r="L104" s="13" t="inlineStr">
        <is>
          <t>Line Amount (₹)</t>
        </is>
      </c>
      <c r="M104" s="13" t="inlineStr">
        <is>
          <t>Cost Share %</t>
        </is>
      </c>
      <c r="N104" s="13" t="inlineStr">
        <is>
          <t>Productivity &amp; Daily Output Norm</t>
        </is>
      </c>
      <c r="O104" s="13" t="inlineStr">
        <is>
          <t>Engineering First-Principles &amp; CPWD 8-Hour Shift Logic</t>
        </is>
      </c>
      <c r="AA104" s="85" t="inlineStr">
        <is>
          <t>Master Activity Full Key</t>
        </is>
      </c>
      <c r="AB104" s="85" t="inlineStr">
        <is>
          <t>Master Fallback Key</t>
        </is>
      </c>
      <c r="AC104" s="85" t="inlineStr">
        <is>
          <t>Batch Qty</t>
        </is>
      </c>
      <c r="AD104" s="85" t="inlineStr">
        <is>
          <t>Batch Unit</t>
        </is>
      </c>
      <c r="AE104" s="85" t="inlineStr">
        <is>
          <t>Published Say Rate (₹)</t>
        </is>
      </c>
      <c r="AF104" s="85" t="inlineStr">
        <is>
          <t>Official Nomenclature</t>
        </is>
      </c>
      <c r="AG104" s="85" t="inlineStr">
        <is>
          <t>Loosening Lever</t>
        </is>
      </c>
      <c r="AH104" s="85" t="inlineStr">
        <is>
          <t>Handling Lever</t>
        </is>
      </c>
      <c r="AI104" s="85" t="inlineStr">
        <is>
          <t>Spreading Lever</t>
        </is>
      </c>
      <c r="AJ104" s="85" t="inlineStr">
        <is>
          <t>Watering Lever</t>
        </is>
      </c>
      <c r="AK104" s="85" t="inlineStr">
        <is>
          <t>Compaction Lever</t>
        </is>
      </c>
      <c r="AL104" s="85" t="inlineStr">
        <is>
          <t>Task / Operation Specification Options (D9 Dropdown Source)</t>
        </is>
      </c>
    </row>
    <row r="105" ht="22" customHeight="1">
      <c r="A105" s="16" t="inlineStr">
        <is>
          <t>Surface Excavation (≤30 cm)</t>
        </is>
      </c>
      <c r="B105" s="76" t="inlineStr">
        <is>
          <t>All kinds of soil</t>
        </is>
      </c>
      <c r="C105" s="76" t="inlineStr">
        <is>
          <t>Manual labor (depth ≤1.5m)</t>
        </is>
      </c>
      <c r="D105" s="76" t="inlineStr">
        <is>
          <t>General surface cut (≤30 cm deep)</t>
        </is>
      </c>
      <c r="E105" s="28" t="inlineStr">
        <is>
          <t>100 sqm</t>
        </is>
      </c>
      <c r="F105" s="32" t="inlineStr">
        <is>
          <t>Labour (Semi-Skilled / Operational)</t>
        </is>
      </c>
      <c r="G105" s="21" t="inlineStr">
        <is>
          <t>0114</t>
        </is>
      </c>
      <c r="H105" s="76" t="inlineStr">
        <is>
          <t>Beldar</t>
        </is>
      </c>
      <c r="I105" s="86" t="n">
        <v>6.8</v>
      </c>
      <c r="J105" s="50" t="inlineStr">
        <is>
          <t>day</t>
        </is>
      </c>
      <c r="K105" s="51" t="n">
        <v>558</v>
      </c>
      <c r="L105" s="84" t="n">
        <v>3794.4</v>
      </c>
      <c r="M105" s="52" t="n">
        <v>54.8</v>
      </c>
      <c r="N105" s="87" t="n">
        <v>14.70588235294118</v>
      </c>
      <c r="O105" s="39" t="inlineStr">
        <is>
          <t>4 men × 13.60 h = 54.40 man-hrs ÷ 8 = 6.80 bd. Pickaxe crust loosening: 14.71 sqm/8-hr day (0.544 hr/sqm, 32.6 min/sqm pace).</t>
        </is>
      </c>
      <c r="P105" t="inlineStr">
        <is>
          <t>Surface Excavation (≤30 cm)|All kinds of soil|Manual labor (depth ≤1.5m)|General surface cut (≤30 cm deep)|1</t>
        </is>
      </c>
      <c r="Q105" t="n">
        <v>1</v>
      </c>
      <c r="R105" t="n">
        <v>100</v>
      </c>
      <c r="S105" t="inlineStr">
        <is>
          <t>sqm</t>
        </is>
      </c>
      <c r="T105" t="n">
        <v>92.55</v>
      </c>
      <c r="U105" t="inlineStr">
        <is>
          <t>Manual Pickaxe / Beldar</t>
        </is>
      </c>
      <c r="V105" t="inlineStr">
        <is>
          <t>Manual Basket (≤50m lead, ≤1.5m lift)</t>
        </is>
      </c>
      <c r="W105" t="inlineStr">
        <is>
          <t>Dressing &amp; grading surface</t>
        </is>
      </c>
      <c r="X105" t="inlineStr">
        <is>
          <t>None</t>
        </is>
      </c>
      <c r="Y105" t="inlineStr">
        <is>
          <t>None</t>
        </is>
      </c>
      <c r="AA105" t="inlineStr">
        <is>
          <t>Surface Excavation (≤30 cm)|All kinds of soil|Manual labor (depth ≤1.5m)|General surface cut (≤30 cm deep)</t>
        </is>
      </c>
      <c r="AB105" t="inlineStr">
        <is>
          <t>Surface Excavation (≤30 cm)|All kinds of soil|Manual labor (depth ≤1.5m)</t>
        </is>
      </c>
      <c r="AC105" t="n">
        <v>100</v>
      </c>
      <c r="AD105" t="inlineStr">
        <is>
          <t>sqm</t>
        </is>
      </c>
      <c r="AE105" t="n">
        <v>92.55</v>
      </c>
      <c r="AF105" t="inlineStr">
        <is>
          <t>Earth work in surface excavation not exceeding 30 cm in depth but exceeding 1.5 m in width as well as 10 sqm on plan including getting out and disposal of excavated earth upto 50 m and lift upto 1.5 m, as directed by Engineer-in- Charge:: All kinds of soil Details of cost for 100 Sqm LABOUR</t>
        </is>
      </c>
      <c r="AG105" t="inlineStr">
        <is>
          <t>Manual Pickaxe / Beldar</t>
        </is>
      </c>
      <c r="AH105" t="inlineStr">
        <is>
          <t>Manual Basket (≤50m lead, ≤1.5m lift)</t>
        </is>
      </c>
      <c r="AI105" t="inlineStr">
        <is>
          <t>Dressing &amp; grading surface</t>
        </is>
      </c>
      <c r="AJ105" t="inlineStr">
        <is>
          <t>None</t>
        </is>
      </c>
      <c r="AK105" t="inlineStr">
        <is>
          <t>None</t>
        </is>
      </c>
      <c r="AL105" s="88" t="inlineStr">
        <is>
          <t>Banking &amp; rolling only (excavation excluded)</t>
        </is>
      </c>
    </row>
    <row r="106" ht="22" customHeight="1">
      <c r="A106" s="16" t="inlineStr">
        <is>
          <t>Surface Excavation (≤30 cm)</t>
        </is>
      </c>
      <c r="B106" s="76" t="inlineStr">
        <is>
          <t>All kinds of soil</t>
        </is>
      </c>
      <c r="C106" s="76" t="inlineStr">
        <is>
          <t>Manual labor (depth ≤1.5m)</t>
        </is>
      </c>
      <c r="D106" s="76" t="inlineStr">
        <is>
          <t>General surface cut (≤30 cm deep)</t>
        </is>
      </c>
      <c r="E106" s="28" t="inlineStr">
        <is>
          <t>100 sqm</t>
        </is>
      </c>
      <c r="F106" s="32" t="inlineStr">
        <is>
          <t>Labour (Unskilled / Haulage)</t>
        </is>
      </c>
      <c r="G106" s="21" t="inlineStr">
        <is>
          <t>0115</t>
        </is>
      </c>
      <c r="H106" s="76" t="inlineStr">
        <is>
          <t>Coolie</t>
        </is>
      </c>
      <c r="I106" s="86" t="n">
        <v>5.6</v>
      </c>
      <c r="J106" s="50" t="inlineStr">
        <is>
          <t>day</t>
        </is>
      </c>
      <c r="K106" s="51" t="n">
        <v>558</v>
      </c>
      <c r="L106" s="84" t="n">
        <v>3124.8</v>
      </c>
      <c r="M106" s="52" t="n">
        <v>45.2</v>
      </c>
      <c r="N106" s="87" t="n">
        <v>17.85714285714286</v>
      </c>
      <c r="O106" s="39" t="inlineStr">
        <is>
          <t>4 men × 11.20 h = 44.80 man-hrs ÷ 8 = 5.60 cd. Basket haulage &amp; 50m disposal: 17.86 sqm/8-hr day (0.448 hr/sqm, 26.9 min/sqm pace).</t>
        </is>
      </c>
      <c r="P106" t="inlineStr">
        <is>
          <t>Surface Excavation (≤30 cm)|All kinds of soil|Manual labor (depth ≤1.5m)|General surface cut (≤30 cm deep)|2</t>
        </is>
      </c>
      <c r="Q106" t="n">
        <v>2</v>
      </c>
      <c r="R106" t="n">
        <v>100</v>
      </c>
      <c r="S106" t="inlineStr">
        <is>
          <t>sqm</t>
        </is>
      </c>
      <c r="T106" t="n">
        <v>92.55</v>
      </c>
      <c r="U106" t="inlineStr">
        <is>
          <t>Manual Pickaxe / Beldar</t>
        </is>
      </c>
      <c r="V106" t="inlineStr">
        <is>
          <t>Manual Basket (≤50m lead, ≤1.5m lift)</t>
        </is>
      </c>
      <c r="W106" t="inlineStr">
        <is>
          <t>Dressing &amp; grading surface</t>
        </is>
      </c>
      <c r="X106" t="inlineStr">
        <is>
          <t>None</t>
        </is>
      </c>
      <c r="Y106" t="inlineStr">
        <is>
          <t>None</t>
        </is>
      </c>
      <c r="AA106" t="inlineStr">
        <is>
          <t>Foundation &amp; Pipeline Trenching|All kinds of soil|Manual labor (depth ≤1.5m)|Pipe / Cable trenches (dia ≤ 80 mm)</t>
        </is>
      </c>
      <c r="AB106" t="inlineStr">
        <is>
          <t>Foundation &amp; Pipeline Trenching|All kinds of soil|Manual labor (depth ≤1.5m)</t>
        </is>
      </c>
      <c r="AC106" t="n">
        <v>1</v>
      </c>
      <c r="AD106" t="inlineStr">
        <is>
          <t>m</t>
        </is>
      </c>
      <c r="AE106" t="n">
        <v>223</v>
      </c>
      <c r="AF106" t="inlineStr">
        <is>
          <t>CPWD DAR Item 2.10.1.1 - Earth Work</t>
        </is>
      </c>
      <c r="AG106" t="inlineStr">
        <is>
          <t>Narrow trench spade / pickaxe</t>
        </is>
      </c>
      <c r="AH106" t="inlineStr">
        <is>
          <t>Basket Coolie along trench edge</t>
        </is>
      </c>
      <c r="AI106" t="inlineStr">
        <is>
          <t>Trench bank disposal</t>
        </is>
      </c>
      <c r="AJ106" t="inlineStr">
        <is>
          <t>None</t>
        </is>
      </c>
      <c r="AK106" t="inlineStr">
        <is>
          <t>None</t>
        </is>
      </c>
      <c r="AL106" s="88" t="inlineStr">
        <is>
          <t>Clearing grass &amp; removal of rubbish</t>
        </is>
      </c>
    </row>
    <row r="107" ht="22" customHeight="1">
      <c r="A107" s="16" t="inlineStr">
        <is>
          <t>Embankment Banking &amp; Dressing</t>
        </is>
      </c>
      <c r="B107" s="76" t="inlineStr">
        <is>
          <t>All kinds of soil</t>
        </is>
      </c>
      <c r="C107" s="76" t="inlineStr">
        <is>
          <t>Manual labor (depth ≤1.5m)</t>
        </is>
      </c>
      <c r="D107" s="76" t="inlineStr">
        <is>
          <t>Full cycle: rough excavation + banking + roll</t>
        </is>
      </c>
      <c r="E107" s="28" t="inlineStr">
        <is>
          <t>10 cum</t>
        </is>
      </c>
      <c r="F107" s="32" t="inlineStr">
        <is>
          <t>Labour (Semi-Skilled / Operational)</t>
        </is>
      </c>
      <c r="G107" s="21" t="inlineStr">
        <is>
          <t>0114</t>
        </is>
      </c>
      <c r="H107" s="76" t="inlineStr">
        <is>
          <t>Beldar</t>
        </is>
      </c>
      <c r="I107" s="86" t="n">
        <v>5.9</v>
      </c>
      <c r="J107" s="50" t="inlineStr">
        <is>
          <t>day</t>
        </is>
      </c>
      <c r="K107" s="51" t="n">
        <v>558</v>
      </c>
      <c r="L107" s="84" t="n">
        <v>3292.2</v>
      </c>
      <c r="M107" s="52" t="n">
        <v>59</v>
      </c>
      <c r="N107" s="89" t="n">
        <v>1.694915254237288</v>
      </c>
      <c r="O107" s="39" t="inlineStr">
        <is>
          <t>4 men × 11.80 h = 47.20 man-hrs ÷ 8 = 5.90 bd. Digging (3.70 bd) + clod breaking &amp; slope dressing (2.20 bd) = 5.90 bd. Daily output: 1.695 cum/8-hr day.</t>
        </is>
      </c>
      <c r="P107" t="inlineStr">
        <is>
          <t>Embankment Banking &amp; Dressing|All kinds of soil|Manual labor (depth ≤1.5m)|Full cycle: rough excavation + banking + roll|1</t>
        </is>
      </c>
      <c r="Q107" t="n">
        <v>1</v>
      </c>
      <c r="R107" t="n">
        <v>10</v>
      </c>
      <c r="S107" t="inlineStr">
        <is>
          <t>cum</t>
        </is>
      </c>
      <c r="T107" t="n">
        <v>746.8</v>
      </c>
      <c r="U107" t="inlineStr">
        <is>
          <t>Rough excavation by Beldar</t>
        </is>
      </c>
      <c r="V107" t="inlineStr">
        <is>
          <t>Basket Coolie (50m lead / 1.5m lift)</t>
        </is>
      </c>
      <c r="W107" t="inlineStr">
        <is>
          <t>Spreading in 20cm layers &amp; breaking clods</t>
        </is>
      </c>
      <c r="X107" t="inlineStr">
        <is>
          <t>Watering to OMC by Bhishti</t>
        </is>
      </c>
      <c r="Y107" t="inlineStr">
        <is>
          <t>8-10t Power Roller (every 3rd &amp; top layer)</t>
        </is>
      </c>
      <c r="AA107" t="inlineStr">
        <is>
          <t>Foundation &amp; Pipeline Trenching|All kinds of soil|Manual labor (depth ≤1.5m)|Pipe / Cable trenches (dia 80-300 mm)</t>
        </is>
      </c>
      <c r="AB107" t="inlineStr">
        <is>
          <t>Foundation &amp; Pipeline Trenching|All kinds of soil|Manual labor (depth ≤1.5m)</t>
        </is>
      </c>
      <c r="AC107" t="n">
        <v>1</v>
      </c>
      <c r="AD107" t="inlineStr">
        <is>
          <t>m</t>
        </is>
      </c>
      <c r="AE107" t="n">
        <v>364.2</v>
      </c>
      <c r="AF107" t="inlineStr">
        <is>
          <t>CPWD DAR Item 2.10.1.2 - Earth Work</t>
        </is>
      </c>
      <c r="AG107" t="inlineStr">
        <is>
          <t>Narrow trench spade / pickaxe</t>
        </is>
      </c>
      <c r="AH107" t="inlineStr">
        <is>
          <t>Basket Coolie along trench edge</t>
        </is>
      </c>
      <c r="AI107" t="inlineStr">
        <is>
          <t>Trench bank disposal</t>
        </is>
      </c>
      <c r="AJ107" t="inlineStr">
        <is>
          <t>None</t>
        </is>
      </c>
      <c r="AK107" t="inlineStr">
        <is>
          <t>None</t>
        </is>
      </c>
      <c r="AL107" s="88" t="inlineStr">
        <is>
          <t>Clearing jungle &amp; rank vegetation uprooting</t>
        </is>
      </c>
    </row>
    <row r="108" ht="22" customHeight="1">
      <c r="A108" s="16" t="inlineStr">
        <is>
          <t>Embankment Banking &amp; Dressing</t>
        </is>
      </c>
      <c r="B108" s="76" t="inlineStr">
        <is>
          <t>All kinds of soil</t>
        </is>
      </c>
      <c r="C108" s="76" t="inlineStr">
        <is>
          <t>Manual labor (depth ≤1.5m)</t>
        </is>
      </c>
      <c r="D108" s="76" t="inlineStr">
        <is>
          <t>Full cycle: rough excavation + banking + roll</t>
        </is>
      </c>
      <c r="E108" s="28" t="inlineStr">
        <is>
          <t>10 cum</t>
        </is>
      </c>
      <c r="F108" s="32" t="inlineStr">
        <is>
          <t>Labour (Unskilled / Haulage)</t>
        </is>
      </c>
      <c r="G108" s="21" t="inlineStr">
        <is>
          <t>0115</t>
        </is>
      </c>
      <c r="H108" s="76" t="inlineStr">
        <is>
          <t>Coolie</t>
        </is>
      </c>
      <c r="I108" s="86" t="n">
        <v>3.6</v>
      </c>
      <c r="J108" s="50" t="inlineStr">
        <is>
          <t>day</t>
        </is>
      </c>
      <c r="K108" s="51" t="n">
        <v>558</v>
      </c>
      <c r="L108" s="84" t="n">
        <v>2008.8</v>
      </c>
      <c r="M108" s="52" t="n">
        <v>36</v>
      </c>
      <c r="N108" s="89" t="n">
        <v>2.777777777777778</v>
      </c>
      <c r="O108" s="39" t="inlineStr">
        <is>
          <t>3 men × 9.60 h = 28.80 man-hrs ÷ 8 = 3.60 cd. 50m haulage &amp; 20cm layer spreading: 1 Coolie moves 2.778 cum/8-hr day (2.88 hr/cum).</t>
        </is>
      </c>
      <c r="P108" t="inlineStr">
        <is>
          <t>Embankment Banking &amp; Dressing|All kinds of soil|Manual labor (depth ≤1.5m)|Full cycle: rough excavation + banking + roll|2</t>
        </is>
      </c>
      <c r="Q108" t="n">
        <v>2</v>
      </c>
      <c r="R108" t="n">
        <v>10</v>
      </c>
      <c r="S108" t="inlineStr">
        <is>
          <t>cum</t>
        </is>
      </c>
      <c r="T108" t="n">
        <v>746.8</v>
      </c>
      <c r="U108" t="inlineStr">
        <is>
          <t>Rough excavation by Beldar</t>
        </is>
      </c>
      <c r="V108" t="inlineStr">
        <is>
          <t>Basket Coolie (50m lead / 1.5m lift)</t>
        </is>
      </c>
      <c r="W108" t="inlineStr">
        <is>
          <t>Spreading in 20cm layers &amp; breaking clods</t>
        </is>
      </c>
      <c r="X108" t="inlineStr">
        <is>
          <t>Watering to OMC by Bhishti</t>
        </is>
      </c>
      <c r="Y108" t="inlineStr">
        <is>
          <t>8-10t Power Roller (every 3rd &amp; top layer)</t>
        </is>
      </c>
      <c r="AA108" t="inlineStr">
        <is>
          <t>Foundation &amp; Pipeline Trenching|All kinds of soil|Manual labor (depth ≤1.5m)|Pipe / Cable trenches (dia &gt; 300 mm)</t>
        </is>
      </c>
      <c r="AB108" t="inlineStr">
        <is>
          <t>Foundation &amp; Pipeline Trenching|All kinds of soil|Manual labor (depth ≤1.5m)</t>
        </is>
      </c>
      <c r="AC108" t="n">
        <v>1</v>
      </c>
      <c r="AD108" t="inlineStr">
        <is>
          <t>m</t>
        </is>
      </c>
      <c r="AE108" t="n">
        <v>568.8</v>
      </c>
      <c r="AF108" t="inlineStr">
        <is>
          <t>CPWD DAR Item 2.10.1.3 - Earth Work</t>
        </is>
      </c>
      <c r="AG108" t="inlineStr">
        <is>
          <t>Pickaxe &amp; shovel Beldar</t>
        </is>
      </c>
      <c r="AH108" t="inlineStr">
        <is>
          <t>Basket Coolie along trench edge</t>
        </is>
      </c>
      <c r="AI108" t="inlineStr">
        <is>
          <t>Trench bank disposal</t>
        </is>
      </c>
      <c r="AJ108" t="inlineStr">
        <is>
          <t>None</t>
        </is>
      </c>
      <c r="AK108" t="inlineStr">
        <is>
          <t>None</t>
        </is>
      </c>
      <c r="AL108" s="88" t="inlineStr">
        <is>
          <t>Close timbering depth 1.5m-3.0m (90 sqm face)</t>
        </is>
      </c>
    </row>
    <row r="109" ht="22" customHeight="1">
      <c r="A109" s="16" t="inlineStr">
        <is>
          <t>Embankment Banking &amp; Dressing</t>
        </is>
      </c>
      <c r="B109" s="76" t="inlineStr">
        <is>
          <t>All kinds of soil</t>
        </is>
      </c>
      <c r="C109" s="76" t="inlineStr">
        <is>
          <t>Manual labor (depth ≤1.5m)</t>
        </is>
      </c>
      <c r="D109" s="76" t="inlineStr">
        <is>
          <t>Full cycle: rough excavation + banking + roll</t>
        </is>
      </c>
      <c r="E109" s="28" t="inlineStr">
        <is>
          <t>10 cum</t>
        </is>
      </c>
      <c r="F109" s="32" t="inlineStr">
        <is>
          <t>Labour (Operational / Bhishti)</t>
        </is>
      </c>
      <c r="G109" s="21" t="inlineStr">
        <is>
          <t>0101</t>
        </is>
      </c>
      <c r="H109" s="76" t="inlineStr">
        <is>
          <t>Bhisti</t>
        </is>
      </c>
      <c r="I109" s="86" t="n">
        <v>0.4</v>
      </c>
      <c r="J109" s="50" t="inlineStr">
        <is>
          <t>day</t>
        </is>
      </c>
      <c r="K109" s="51" t="n">
        <v>617</v>
      </c>
      <c r="L109" s="84" t="n">
        <v>246.8</v>
      </c>
      <c r="M109" s="52" t="n">
        <v>4.4</v>
      </c>
      <c r="N109" s="89" t="n">
        <v>25</v>
      </c>
      <c r="O109" s="39" t="inlineStr">
        <is>
          <t>1 man × 3.20 h = 3.20 man-hrs ÷ 8 = 0.40 bhisti-day. OMC compaction watering: 25 cum/8-hr day (0.32 hr/cum).</t>
        </is>
      </c>
      <c r="P109" t="inlineStr">
        <is>
          <t>Embankment Banking &amp; Dressing|All kinds of soil|Manual labor (depth ≤1.5m)|Full cycle: rough excavation + banking + roll|3</t>
        </is>
      </c>
      <c r="Q109" t="n">
        <v>3</v>
      </c>
      <c r="R109" t="n">
        <v>10</v>
      </c>
      <c r="S109" t="inlineStr">
        <is>
          <t>cum</t>
        </is>
      </c>
      <c r="T109" t="n">
        <v>746.8</v>
      </c>
      <c r="U109" t="inlineStr">
        <is>
          <t>Rough excavation by Beldar</t>
        </is>
      </c>
      <c r="V109" t="inlineStr">
        <is>
          <t>Basket Coolie (50m lead / 1.5m lift)</t>
        </is>
      </c>
      <c r="W109" t="inlineStr">
        <is>
          <t>Spreading in 20cm layers &amp; breaking clods</t>
        </is>
      </c>
      <c r="X109" t="inlineStr">
        <is>
          <t>Watering to OMC by Bhishti</t>
        </is>
      </c>
      <c r="Y109" t="inlineStr">
        <is>
          <t>8-10t Power Roller (every 3rd &amp; top layer)</t>
        </is>
      </c>
      <c r="AA109" t="inlineStr">
        <is>
          <t>Foundation &amp; Pipeline Trenching|All kinds of soil|Extra depth &gt;1.5m to 3.0m|Extra for pipe trench depth 1.5m to 3.0m</t>
        </is>
      </c>
      <c r="AB109" t="inlineStr">
        <is>
          <t>Foundation &amp; Pipeline Trenching|All kinds of soil|Extra depth &gt;1.5m to 3.0m</t>
        </is>
      </c>
      <c r="AC109" t="n">
        <v>1</v>
      </c>
      <c r="AD109" t="inlineStr">
        <is>
          <t>m</t>
        </is>
      </c>
      <c r="AE109" t="n">
        <v>127</v>
      </c>
      <c r="AF109" t="inlineStr">
        <is>
          <t>Extra for excavating trenches for pipes, cables etc. in all kinds of soil for depth exceeding 1.5 m, but not exceeding 3 m. (Rate is over corresponding basic item for depth upto 1.5 metre). Details of cost for 300m length of pipe of an average dia. say 200mm (rate in percentage), Slope assumed 1 in 200. 100x0.60x1.75 = 105.00 cum, 200x 0.60x2.00 = 240.00 cum. Total = 345.00 cum. Collars 5%= 17.25 cum. Total = 362.25 cum.</t>
        </is>
      </c>
      <c r="AG109" t="inlineStr">
        <is>
          <t>Deep trench pickaxe</t>
        </is>
      </c>
      <c r="AH109" t="inlineStr">
        <is>
          <t>Double handling stage lift</t>
        </is>
      </c>
      <c r="AI109" t="inlineStr">
        <is>
          <t>Trench bank disposal</t>
        </is>
      </c>
      <c r="AJ109" t="inlineStr">
        <is>
          <t>None</t>
        </is>
      </c>
      <c r="AK109" t="inlineStr">
        <is>
          <t>None</t>
        </is>
      </c>
      <c r="AL109" s="88" t="inlineStr">
        <is>
          <t>Close timbering depth 3.0m-4.5m (90 sqm face)</t>
        </is>
      </c>
    </row>
    <row r="110" ht="22" customHeight="1">
      <c r="A110" s="16" t="inlineStr">
        <is>
          <t>Embankment Banking &amp; Dressing</t>
        </is>
      </c>
      <c r="B110" s="76" t="inlineStr">
        <is>
          <t>All kinds of soil</t>
        </is>
      </c>
      <c r="C110" s="76" t="inlineStr">
        <is>
          <t>Manual labor (depth ≤1.5m)</t>
        </is>
      </c>
      <c r="D110" s="76" t="inlineStr">
        <is>
          <t>Full cycle: rough excavation + banking + roll</t>
        </is>
      </c>
      <c r="E110" s="28" t="inlineStr">
        <is>
          <t>10 cum</t>
        </is>
      </c>
      <c r="F110" s="32" t="inlineStr">
        <is>
          <t>Sundries &amp; Allowances</t>
        </is>
      </c>
      <c r="G110" s="21" t="inlineStr">
        <is>
          <t>0113</t>
        </is>
      </c>
      <c r="H110" s="76" t="inlineStr">
        <is>
          <t>Chowkidar</t>
        </is>
      </c>
      <c r="I110" s="86" t="n">
        <v>0.008</v>
      </c>
      <c r="J110" s="50" t="inlineStr">
        <is>
          <t>day</t>
        </is>
      </c>
      <c r="K110" s="51" t="n">
        <v>558</v>
      </c>
      <c r="L110" s="84" t="n">
        <v>4.46</v>
      </c>
      <c r="M110" s="52" t="n">
        <v>0.1</v>
      </c>
      <c r="N110" s="89" t="n">
        <v>1250</v>
      </c>
      <c r="O110" s="39" t="inlineStr">
        <is>
          <t>1 machine × 0.064 h (3.84 min) ÷ 8 = 0.008 roller-day. 6 passes at 2.5 km/h on 1.8m roll: 156.25 cum/hr (1250 cum/8-hr shift).</t>
        </is>
      </c>
      <c r="P110" t="inlineStr">
        <is>
          <t>Embankment Banking &amp; Dressing|All kinds of soil|Manual labor (depth ≤1.5m)|Full cycle: rough excavation + banking + roll|4</t>
        </is>
      </c>
      <c r="Q110" t="n">
        <v>4</v>
      </c>
      <c r="R110" t="n">
        <v>10</v>
      </c>
      <c r="S110" t="inlineStr">
        <is>
          <t>cum</t>
        </is>
      </c>
      <c r="T110" t="n">
        <v>746.8</v>
      </c>
      <c r="U110" t="inlineStr">
        <is>
          <t>Rough excavation by Beldar</t>
        </is>
      </c>
      <c r="V110" t="inlineStr">
        <is>
          <t>Basket Coolie (50m lead / 1.5m lift)</t>
        </is>
      </c>
      <c r="W110" t="inlineStr">
        <is>
          <t>Spreading in 20cm layers &amp; breaking clods</t>
        </is>
      </c>
      <c r="X110" t="inlineStr">
        <is>
          <t>Watering to OMC by Bhishti</t>
        </is>
      </c>
      <c r="Y110" t="inlineStr">
        <is>
          <t>8-10t Power Roller (every 3rd &amp; top layer)</t>
        </is>
      </c>
      <c r="AA110" t="inlineStr">
        <is>
          <t>Foundation &amp; Pipeline Trenching|All kinds of soil|Extra depth &gt;3.0m to 4.5m|Extra for pipe trench depth 3.0m to 4.5m</t>
        </is>
      </c>
      <c r="AB110" t="inlineStr">
        <is>
          <t>Foundation &amp; Pipeline Trenching|All kinds of soil|Extra depth &gt;3.0m to 4.5m</t>
        </is>
      </c>
      <c r="AC110" t="n">
        <v>1</v>
      </c>
      <c r="AD110" t="inlineStr">
        <is>
          <t>m</t>
        </is>
      </c>
      <c r="AE110" t="n">
        <v>315.05</v>
      </c>
      <c r="AF110" t="inlineStr">
        <is>
          <t>Extra for excavating trenches for pipes, cables, etc, in all kinds of soil for depth exceeding 3 m in depth, but not exceeding 4.5 m. (Rate is over corresponding basic item for depth upto 1.5 metre.) Details of cost for a 100m length of a pipe of an average dia. say 200mm Slope assumed 1 in 200. Earth work and filling- 1x100x0.60x2 = 120 cum Collars 5% = 6 cum. Total = 126 cum.</t>
        </is>
      </c>
      <c r="AG110" t="inlineStr">
        <is>
          <t>Deep trench pickaxe</t>
        </is>
      </c>
      <c r="AH110" t="inlineStr">
        <is>
          <t>Triple stage hoist / lift</t>
        </is>
      </c>
      <c r="AI110" t="inlineStr">
        <is>
          <t>Trench bank disposal</t>
        </is>
      </c>
      <c r="AJ110" t="inlineStr">
        <is>
          <t>None</t>
        </is>
      </c>
      <c r="AK110" t="inlineStr">
        <is>
          <t>None</t>
        </is>
      </c>
      <c r="AL110" s="88" t="inlineStr">
        <is>
          <t>Close timbering depth ≤1.5m (90 sqm face)</t>
        </is>
      </c>
    </row>
    <row r="111" ht="22" customHeight="1">
      <c r="A111" s="16" t="inlineStr">
        <is>
          <t>Embankment Banking &amp; Dressing</t>
        </is>
      </c>
      <c r="B111" s="76" t="inlineStr">
        <is>
          <t>All kinds of soil</t>
        </is>
      </c>
      <c r="C111" s="76" t="inlineStr">
        <is>
          <t>Manual labor (depth ≤1.5m)</t>
        </is>
      </c>
      <c r="D111" s="76" t="inlineStr">
        <is>
          <t>Full cycle: rough excavation + banking + roll</t>
        </is>
      </c>
      <c r="E111" s="28" t="inlineStr">
        <is>
          <t>10 cum</t>
        </is>
      </c>
      <c r="F111" s="32" t="inlineStr">
        <is>
          <t>Plant &amp; Machinery</t>
        </is>
      </c>
      <c r="G111" s="21" t="inlineStr">
        <is>
          <t>0003</t>
        </is>
      </c>
      <c r="H111" s="76" t="inlineStr">
        <is>
          <t>Hire – Diesel Road Roller 8-10t</t>
        </is>
      </c>
      <c r="I111" s="86" t="n">
        <v>0.008</v>
      </c>
      <c r="J111" s="50" t="inlineStr">
        <is>
          <t>day</t>
        </is>
      </c>
      <c r="K111" s="51" t="n">
        <v>3000</v>
      </c>
      <c r="L111" s="84" t="n">
        <v>24</v>
      </c>
      <c r="M111" s="52" t="n">
        <v>0.4</v>
      </c>
      <c r="N111" s="89" t="n">
        <v>1250</v>
      </c>
      <c r="O111" s="39" t="inlineStr">
        <is>
          <t>1 machine × 0.064 h (3.84 min) ÷ 8 = 0.008 roller-day. 6 passes with 8-10t roller: 1250 cum/8-hr shift.</t>
        </is>
      </c>
      <c r="P111" t="inlineStr">
        <is>
          <t>Embankment Banking &amp; Dressing|All kinds of soil|Manual labor (depth ≤1.5m)|Full cycle: rough excavation + banking + roll|5</t>
        </is>
      </c>
      <c r="Q111" t="n">
        <v>5</v>
      </c>
      <c r="R111" t="n">
        <v>10</v>
      </c>
      <c r="S111" t="inlineStr">
        <is>
          <t>cum</t>
        </is>
      </c>
      <c r="T111" t="n">
        <v>746.8</v>
      </c>
      <c r="U111" t="inlineStr">
        <is>
          <t>Rough excavation by Beldar</t>
        </is>
      </c>
      <c r="V111" t="inlineStr">
        <is>
          <t>Basket Coolie (50m lead / 1.5m lift)</t>
        </is>
      </c>
      <c r="W111" t="inlineStr">
        <is>
          <t>Spreading in 20cm layers &amp; breaking clods</t>
        </is>
      </c>
      <c r="X111" t="inlineStr">
        <is>
          <t>Watering to OMC by Bhishti</t>
        </is>
      </c>
      <c r="Y111" t="inlineStr">
        <is>
          <t>8-10t Power Roller (every 3rd &amp; top layer)</t>
        </is>
      </c>
      <c r="AA111" t="inlineStr">
        <is>
          <t>Foundation &amp; Pipeline Trenching|Ordinary rock|Manual labor (depth ≤1.5m)|Pipe trenches in ordinary rock (≤80mm)</t>
        </is>
      </c>
      <c r="AB111" t="inlineStr">
        <is>
          <t>Foundation &amp; Pipeline Trenching|Ordinary rock|Manual labor (depth ≤1.5m)</t>
        </is>
      </c>
      <c r="AC111" t="n">
        <v>1</v>
      </c>
      <c r="AD111" t="inlineStr">
        <is>
          <t>m</t>
        </is>
      </c>
      <c r="AE111" t="n">
        <v>323.85</v>
      </c>
      <c r="AF111" t="inlineStr">
        <is>
          <t>CPWD DAR Item 2.13.1.1 - Earth Work</t>
        </is>
      </c>
      <c r="AG111" t="inlineStr">
        <is>
          <t>Crowbar &amp; sledge hammer</t>
        </is>
      </c>
      <c r="AH111" t="inlineStr">
        <is>
          <t>Basket Coolie along trench edge</t>
        </is>
      </c>
      <c r="AI111" t="inlineStr">
        <is>
          <t>Trench bank disposal</t>
        </is>
      </c>
      <c r="AJ111" t="inlineStr">
        <is>
          <t>None</t>
        </is>
      </c>
      <c r="AK111" t="inlineStr">
        <is>
          <t>None</t>
        </is>
      </c>
      <c r="AL111" s="88" t="inlineStr">
        <is>
          <t>DEDUCT: Omission of 8-10t power rolling</t>
        </is>
      </c>
    </row>
    <row r="112" ht="22" customHeight="1">
      <c r="A112" s="16" t="inlineStr">
        <is>
          <t>Embankment Banking &amp; Dressing</t>
        </is>
      </c>
      <c r="B112" s="76" t="inlineStr">
        <is>
          <t>All kinds of soil</t>
        </is>
      </c>
      <c r="C112" s="76" t="inlineStr">
        <is>
          <t>Manual labor (depth ≤1.5m)</t>
        </is>
      </c>
      <c r="D112" s="76" t="inlineStr">
        <is>
          <t>Full cycle: rough excavation + banking + roll</t>
        </is>
      </c>
      <c r="E112" s="28" t="inlineStr">
        <is>
          <t>10 cum</t>
        </is>
      </c>
      <c r="F112" s="32" t="inlineStr">
        <is>
          <t>Sundries &amp; Allowances</t>
        </is>
      </c>
      <c r="G112" s="21" t="inlineStr">
        <is>
          <t>9999</t>
        </is>
      </c>
      <c r="H112" s="76" t="inlineStr">
        <is>
          <t>Sundries</t>
        </is>
      </c>
      <c r="I112" s="86" t="n">
        <v>2.73</v>
      </c>
      <c r="J112" s="50" t="inlineStr">
        <is>
          <t>L.S.</t>
        </is>
      </c>
      <c r="K112" s="51" t="n">
        <v>2</v>
      </c>
      <c r="L112" s="84" t="n">
        <v>5.46</v>
      </c>
      <c r="M112" s="52" t="n">
        <v>0.1</v>
      </c>
      <c r="N112" s="32" t="inlineStr"/>
      <c r="O112" s="39" t="inlineStr">
        <is>
          <t>Direct production cost W base allowance.</t>
        </is>
      </c>
      <c r="P112" t="inlineStr">
        <is>
          <t>Embankment Banking &amp; Dressing|All kinds of soil|Manual labor (depth ≤1.5m)|Full cycle: rough excavation + banking + roll|6</t>
        </is>
      </c>
      <c r="Q112" t="n">
        <v>6</v>
      </c>
      <c r="R112" t="n">
        <v>10</v>
      </c>
      <c r="S112" t="inlineStr">
        <is>
          <t>cum</t>
        </is>
      </c>
      <c r="T112" t="n">
        <v>746.8</v>
      </c>
      <c r="U112" t="inlineStr">
        <is>
          <t>Rough excavation by Beldar</t>
        </is>
      </c>
      <c r="V112" t="inlineStr">
        <is>
          <t>Basket Coolie (50m lead / 1.5m lift)</t>
        </is>
      </c>
      <c r="W112" t="inlineStr">
        <is>
          <t>Spreading in 20cm layers &amp; breaking clods</t>
        </is>
      </c>
      <c r="X112" t="inlineStr">
        <is>
          <t>Watering to OMC by Bhishti</t>
        </is>
      </c>
      <c r="Y112" t="inlineStr">
        <is>
          <t>8-10t Power Roller (every 3rd &amp; top layer)</t>
        </is>
      </c>
      <c r="AA112" t="inlineStr">
        <is>
          <t>Timbering &amp; Shoring|All kinds of soil|Manual labor (depth ≤1.5m)|Close timbering depth ≤1.5m (90 sqm face)</t>
        </is>
      </c>
      <c r="AB112" t="inlineStr">
        <is>
          <t>Timbering &amp; Shoring|All kinds of soil|Manual labor (depth ≤1.5m)</t>
        </is>
      </c>
      <c r="AC112" t="n">
        <v>90</v>
      </c>
      <c r="AD112" t="inlineStr">
        <is>
          <t>sqm</t>
        </is>
      </c>
      <c r="AE112" t="n">
        <v>129.95</v>
      </c>
      <c r="AF112" t="inlineStr">
        <is>
          <t>Close timbering in trenches including strutting, shoring and packing cavities (wherever required) complete. (Measurements to be taken of the face area timbered).: Depth not exceeding 1.5 m Details of cost for a trench 30m long and 1.5m deep area 2x30x1.50=90 sqm MATERIAL The Material can be used four times on the same work and after use of material credit is given @ 75% of cost Poling boards of</t>
        </is>
      </c>
      <c r="AG112" t="inlineStr">
        <is>
          <t>Sal wood runners, open/close poling boards</t>
        </is>
      </c>
      <c r="AH112" t="inlineStr">
        <is>
          <t>Lowering into trench &amp; positioning</t>
        </is>
      </c>
      <c r="AI112" t="inlineStr">
        <is>
          <t>Strutting with adjustable screw jacks / timber</t>
        </is>
      </c>
      <c r="AJ112" t="inlineStr">
        <is>
          <t>None</t>
        </is>
      </c>
      <c r="AK112" t="inlineStr">
        <is>
          <t>Tight wedge wedging against trench sides</t>
        </is>
      </c>
      <c r="AL112" s="88" t="inlineStr">
        <is>
          <t>DEDUCT: Omission of OMC compaction watering</t>
        </is>
      </c>
    </row>
    <row r="113" ht="22" customHeight="1">
      <c r="A113" s="16" t="inlineStr">
        <is>
          <t>Embankment Banking &amp; Dressing</t>
        </is>
      </c>
      <c r="B113" s="76" t="inlineStr">
        <is>
          <t>All kinds of soil</t>
        </is>
      </c>
      <c r="C113" s="76" t="inlineStr">
        <is>
          <t>Manual labor (depth ≤1.5m)</t>
        </is>
      </c>
      <c r="D113" s="76" t="inlineStr">
        <is>
          <t>Banking &amp; rolling only (excavation excluded)</t>
        </is>
      </c>
      <c r="E113" s="28" t="inlineStr">
        <is>
          <t>10 cum</t>
        </is>
      </c>
      <c r="F113" s="32" t="inlineStr">
        <is>
          <t>Labour (Semi-Skilled / Operational)</t>
        </is>
      </c>
      <c r="G113" s="21" t="inlineStr">
        <is>
          <t>0114</t>
        </is>
      </c>
      <c r="H113" s="76" t="inlineStr">
        <is>
          <t>Beldar</t>
        </is>
      </c>
      <c r="I113" s="86" t="n">
        <v>2.2</v>
      </c>
      <c r="J113" s="50" t="inlineStr">
        <is>
          <t>day</t>
        </is>
      </c>
      <c r="K113" s="51" t="n">
        <v>558</v>
      </c>
      <c r="L113" s="84" t="n">
        <v>1227.6</v>
      </c>
      <c r="M113" s="52" t="n">
        <v>34.9</v>
      </c>
      <c r="N113" s="89" t="n">
        <v>4.545454545454545</v>
      </c>
      <c r="O113" s="39" t="inlineStr">
        <is>
          <t>2 men × 8.80 h = 17.60 man-hrs ÷ 8 = 2.20 bd. Clod breaking, layer placement &amp; section profiling: 4.545 cum/8-hr day. (Excavation digging 3.70 bd excluded: 5.90 - 3.70 = 2.20 bd).</t>
        </is>
      </c>
      <c r="P113" t="inlineStr">
        <is>
          <t>Embankment Banking &amp; Dressing|All kinds of soil|Manual labor (depth ≤1.5m)|Banking &amp; rolling only (excavation excluded)|1</t>
        </is>
      </c>
      <c r="Q113" t="n">
        <v>1</v>
      </c>
      <c r="R113" t="n">
        <v>10</v>
      </c>
      <c r="S113" t="inlineStr">
        <is>
          <t>cum</t>
        </is>
      </c>
      <c r="T113" t="n">
        <v>470.55</v>
      </c>
      <c r="U113" t="inlineStr">
        <is>
          <t>Earth already excavated (excluded)</t>
        </is>
      </c>
      <c r="V113" t="inlineStr">
        <is>
          <t>Basket Coolie lead 50m / lift 1.5m</t>
        </is>
      </c>
      <c r="W113" t="inlineStr">
        <is>
          <t>Spreading in 20cm layers &amp; breaking clods</t>
        </is>
      </c>
      <c r="X113" t="inlineStr">
        <is>
          <t>Watering to OMC by Bhishti</t>
        </is>
      </c>
      <c r="Y113" t="inlineStr">
        <is>
          <t>8-10t Power Roller (every 3rd &amp; top layer)</t>
        </is>
      </c>
      <c r="AA113" t="inlineStr">
        <is>
          <t>Timbering &amp; Shoring|All kinds of soil|Extra depth &gt;1.5m to 3.0m|Close timbering depth 1.5m-3.0m (90 sqm face)</t>
        </is>
      </c>
      <c r="AB113" t="inlineStr">
        <is>
          <t>Timbering &amp; Shoring|All kinds of soil|Extra depth &gt;1.5m to 3.0m</t>
        </is>
      </c>
      <c r="AC113" t="n">
        <v>90</v>
      </c>
      <c r="AD113" t="inlineStr">
        <is>
          <t>sqm</t>
        </is>
      </c>
      <c r="AE113" t="n">
        <v>141.2</v>
      </c>
      <c r="AF113" t="inlineStr">
        <is>
          <t>Close timbering in trenches including strutting, shoring and packing cavities (wherever required) complete. (Measurements to be taken of the face area timbered).: Depth exceeding 1.5 m but not exceeding 3 m Details of cost for a trench 30m long and 1.5m deep Area 2x30x1.50=90 sqm MATERIAL The Material can be used four times on the same work and after use of material credit is given @ 75% of cost Poling boards of</t>
        </is>
      </c>
      <c r="AG113" t="inlineStr">
        <is>
          <t>Sal wood runners, open/close poling boards</t>
        </is>
      </c>
      <c r="AH113" t="inlineStr">
        <is>
          <t>Lowering into trench &amp; positioning</t>
        </is>
      </c>
      <c r="AI113" t="inlineStr">
        <is>
          <t>Strutting with adjustable screw jacks / timber</t>
        </is>
      </c>
      <c r="AJ113" t="inlineStr">
        <is>
          <t>None</t>
        </is>
      </c>
      <c r="AK113" t="inlineStr">
        <is>
          <t>Tight wedge wedging against trench sides</t>
        </is>
      </c>
      <c r="AL113" s="88" t="inlineStr">
        <is>
          <t>Excavating post holes 0.1-0.5 cum in hard rock blast</t>
        </is>
      </c>
    </row>
    <row r="114" ht="22" customHeight="1">
      <c r="A114" s="16" t="inlineStr">
        <is>
          <t>Embankment Banking &amp; Dressing</t>
        </is>
      </c>
      <c r="B114" s="76" t="inlineStr">
        <is>
          <t>All kinds of soil</t>
        </is>
      </c>
      <c r="C114" s="76" t="inlineStr">
        <is>
          <t>Manual labor (depth ≤1.5m)</t>
        </is>
      </c>
      <c r="D114" s="76" t="inlineStr">
        <is>
          <t>Banking &amp; rolling only (excavation excluded)</t>
        </is>
      </c>
      <c r="E114" s="28" t="inlineStr">
        <is>
          <t>10 cum</t>
        </is>
      </c>
      <c r="F114" s="32" t="inlineStr">
        <is>
          <t>Labour (Unskilled / Haulage)</t>
        </is>
      </c>
      <c r="G114" s="21" t="inlineStr">
        <is>
          <t>0115</t>
        </is>
      </c>
      <c r="H114" s="76" t="inlineStr">
        <is>
          <t>Coolie</t>
        </is>
      </c>
      <c r="I114" s="86" t="n">
        <v>3.6</v>
      </c>
      <c r="J114" s="50" t="inlineStr">
        <is>
          <t>day</t>
        </is>
      </c>
      <c r="K114" s="51" t="n">
        <v>558</v>
      </c>
      <c r="L114" s="84" t="n">
        <v>2008.8</v>
      </c>
      <c r="M114" s="52" t="n">
        <v>57.1</v>
      </c>
      <c r="N114" s="89" t="n">
        <v>2.777777777777778</v>
      </c>
      <c r="O114" s="39" t="inlineStr">
        <is>
          <t>3 men × 9.60 h = 28.80 man-hrs ÷ 8 = 3.60 cd. Haulage &amp; 20cm layer spreading: 2.778 cum/8-hr day.</t>
        </is>
      </c>
      <c r="P114" t="inlineStr">
        <is>
          <t>Embankment Banking &amp; Dressing|All kinds of soil|Manual labor (depth ≤1.5m)|Banking &amp; rolling only (excavation excluded)|2</t>
        </is>
      </c>
      <c r="Q114" t="n">
        <v>2</v>
      </c>
      <c r="R114" t="n">
        <v>10</v>
      </c>
      <c r="S114" t="inlineStr">
        <is>
          <t>cum</t>
        </is>
      </c>
      <c r="T114" t="n">
        <v>470.55</v>
      </c>
      <c r="U114" t="inlineStr">
        <is>
          <t>Earth already excavated (excluded)</t>
        </is>
      </c>
      <c r="V114" t="inlineStr">
        <is>
          <t>Basket Coolie lead 50m / lift 1.5m</t>
        </is>
      </c>
      <c r="W114" t="inlineStr">
        <is>
          <t>Spreading in 20cm layers &amp; breaking clods</t>
        </is>
      </c>
      <c r="X114" t="inlineStr">
        <is>
          <t>Watering to OMC by Bhishti</t>
        </is>
      </c>
      <c r="Y114" t="inlineStr">
        <is>
          <t>8-10t Power Roller (every 3rd &amp; top layer)</t>
        </is>
      </c>
      <c r="AA114" t="inlineStr">
        <is>
          <t>Timbering &amp; Shoring|All kinds of soil|Extra depth &gt;3.0m to 4.5m|Close timbering depth 3.0m-4.5m (90 sqm face)</t>
        </is>
      </c>
      <c r="AB114" t="inlineStr">
        <is>
          <t>Timbering &amp; Shoring|All kinds of soil|Extra depth &gt;3.0m to 4.5m</t>
        </is>
      </c>
      <c r="AC114" t="n">
        <v>90</v>
      </c>
      <c r="AD114" t="inlineStr">
        <is>
          <t>sqm</t>
        </is>
      </c>
      <c r="AE114" t="n">
        <v>166.55</v>
      </c>
      <c r="AF114" t="inlineStr">
        <is>
          <t>Close timbering in trenches including strutting, shoring and packing cavities (wherever required) complete. (Measurements to be taken of the face area timbered).: Depth exceeding 3 m but not exceeding 4.5 m Details of cost for a trench 30m long and 1.5m deep Area 2x30x1.5=90 sqm- MATERIAL The Material can be used four times on the same work and after use of material credit is given @ 75% of cost Poling boards of</t>
        </is>
      </c>
      <c r="AG114" t="inlineStr">
        <is>
          <t>Sal wood runners, open/close poling boards</t>
        </is>
      </c>
      <c r="AH114" t="inlineStr">
        <is>
          <t>Lowering into trench &amp; positioning</t>
        </is>
      </c>
      <c r="AI114" t="inlineStr">
        <is>
          <t>Strutting with adjustable screw jacks / timber</t>
        </is>
      </c>
      <c r="AJ114" t="inlineStr">
        <is>
          <t>None</t>
        </is>
      </c>
      <c r="AK114" t="inlineStr">
        <is>
          <t>Tight wedge wedging against trench sides</t>
        </is>
      </c>
      <c r="AL114" s="88" t="inlineStr">
        <is>
          <t>Excavating post holes 0.1-0.5 cum in hard rock chiseled</t>
        </is>
      </c>
    </row>
    <row r="115" ht="22" customHeight="1">
      <c r="A115" s="16" t="inlineStr">
        <is>
          <t>Embankment Banking &amp; Dressing</t>
        </is>
      </c>
      <c r="B115" s="76" t="inlineStr">
        <is>
          <t>All kinds of soil</t>
        </is>
      </c>
      <c r="C115" s="76" t="inlineStr">
        <is>
          <t>Manual labor (depth ≤1.5m)</t>
        </is>
      </c>
      <c r="D115" s="76" t="inlineStr">
        <is>
          <t>Banking &amp; rolling only (excavation excluded)</t>
        </is>
      </c>
      <c r="E115" s="28" t="inlineStr">
        <is>
          <t>10 cum</t>
        </is>
      </c>
      <c r="F115" s="32" t="inlineStr">
        <is>
          <t>Labour (Operational / Bhishti)</t>
        </is>
      </c>
      <c r="G115" s="21" t="inlineStr">
        <is>
          <t>0101</t>
        </is>
      </c>
      <c r="H115" s="76" t="inlineStr">
        <is>
          <t>Bhisti</t>
        </is>
      </c>
      <c r="I115" s="86" t="n">
        <v>0.4</v>
      </c>
      <c r="J115" s="50" t="inlineStr">
        <is>
          <t>day</t>
        </is>
      </c>
      <c r="K115" s="51" t="n">
        <v>617</v>
      </c>
      <c r="L115" s="84" t="n">
        <v>246.8</v>
      </c>
      <c r="M115" s="52" t="n">
        <v>7</v>
      </c>
      <c r="N115" s="89" t="n">
        <v>25</v>
      </c>
      <c r="O115" s="39" t="inlineStr">
        <is>
          <t>1 man × 3.20 h = 3.20 man-hrs ÷ 8 = 0.40 bhisti-day. Compaction watering: 25 cum/8-hr day.</t>
        </is>
      </c>
      <c r="P115" t="inlineStr">
        <is>
          <t>Embankment Banking &amp; Dressing|All kinds of soil|Manual labor (depth ≤1.5m)|Banking &amp; rolling only (excavation excluded)|3</t>
        </is>
      </c>
      <c r="Q115" t="n">
        <v>3</v>
      </c>
      <c r="R115" t="n">
        <v>10</v>
      </c>
      <c r="S115" t="inlineStr">
        <is>
          <t>cum</t>
        </is>
      </c>
      <c r="T115" t="n">
        <v>470.55</v>
      </c>
      <c r="U115" t="inlineStr">
        <is>
          <t>Earth already excavated (excluded)</t>
        </is>
      </c>
      <c r="V115" t="inlineStr">
        <is>
          <t>Basket Coolie lead 50m / lift 1.5m</t>
        </is>
      </c>
      <c r="W115" t="inlineStr">
        <is>
          <t>Spreading in 20cm layers &amp; breaking clods</t>
        </is>
      </c>
      <c r="X115" t="inlineStr">
        <is>
          <t>Watering to OMC by Bhishti</t>
        </is>
      </c>
      <c r="Y115" t="inlineStr">
        <is>
          <t>8-10t Power Roller (every 3rd &amp; top layer)</t>
        </is>
      </c>
      <c r="AA115" t="inlineStr">
        <is>
          <t>Embankment Banking &amp; Dressing|All kinds of soil|Manual labor (depth ≤1.5m)|Full cycle: rough excavation + banking + roll</t>
        </is>
      </c>
      <c r="AB115" t="inlineStr">
        <is>
          <t>Embankment Banking &amp; Dressing|All kinds of soil|Manual labor (depth ≤1.5m)</t>
        </is>
      </c>
      <c r="AC115" t="n">
        <v>10</v>
      </c>
      <c r="AD115" t="inlineStr">
        <is>
          <t>cum</t>
        </is>
      </c>
      <c r="AE115" t="n">
        <v>746.8</v>
      </c>
      <c r="AF115" t="inlineStr">
        <is>
          <t>Earth work in rough excavation, banking excavated earth in layers not exceeding 20cm in depth, breaking clods, watering, rolling each layer with ½ tonne roller or wooden or steel rammers, and rolling every 3rd and top-most layer with power roller of minimum 8 tonnes and dressing up in embankments for roads, flood banks, marginal banks and guide banks or filling up ground depressions, lead upto 50 m and lift upto 1.5 m :: All kinds of soil Details of cost for 10 cum. LABOUR</t>
        </is>
      </c>
      <c r="AG115" t="inlineStr">
        <is>
          <t>Rough excavation by Beldar</t>
        </is>
      </c>
      <c r="AH115" t="inlineStr">
        <is>
          <t>Basket Coolie (50m lead / 1.5m lift)</t>
        </is>
      </c>
      <c r="AI115" t="inlineStr">
        <is>
          <t>Spreading in 20cm layers &amp; breaking clods</t>
        </is>
      </c>
      <c r="AJ115" t="inlineStr">
        <is>
          <t>Watering to OMC by Bhishti</t>
        </is>
      </c>
      <c r="AK115" t="inlineStr">
        <is>
          <t>8-10t Power Roller (every 3rd &amp; top layer)</t>
        </is>
      </c>
      <c r="AL115" s="88" t="inlineStr">
        <is>
          <t>Excavating post holes 0.1-0.5 cum in ord rock</t>
        </is>
      </c>
    </row>
    <row r="116" ht="22" customHeight="1">
      <c r="A116" s="16" t="inlineStr">
        <is>
          <t>Embankment Banking &amp; Dressing</t>
        </is>
      </c>
      <c r="B116" s="76" t="inlineStr">
        <is>
          <t>All kinds of soil</t>
        </is>
      </c>
      <c r="C116" s="76" t="inlineStr">
        <is>
          <t>Manual labor (depth ≤1.5m)</t>
        </is>
      </c>
      <c r="D116" s="76" t="inlineStr">
        <is>
          <t>Banking &amp; rolling only (excavation excluded)</t>
        </is>
      </c>
      <c r="E116" s="28" t="inlineStr">
        <is>
          <t>10 cum</t>
        </is>
      </c>
      <c r="F116" s="32" t="inlineStr">
        <is>
          <t>Sundries &amp; Allowances</t>
        </is>
      </c>
      <c r="G116" s="21" t="inlineStr">
        <is>
          <t>0113</t>
        </is>
      </c>
      <c r="H116" s="76" t="inlineStr">
        <is>
          <t>Chowkidar</t>
        </is>
      </c>
      <c r="I116" s="86" t="n">
        <v>0.008</v>
      </c>
      <c r="J116" s="50" t="inlineStr">
        <is>
          <t>day</t>
        </is>
      </c>
      <c r="K116" s="51" t="n">
        <v>558</v>
      </c>
      <c r="L116" s="84" t="n">
        <v>4.46</v>
      </c>
      <c r="M116" s="52" t="n">
        <v>0.1</v>
      </c>
      <c r="N116" s="89" t="n">
        <v>1250</v>
      </c>
      <c r="O116" s="39" t="inlineStr">
        <is>
          <t>1 machine × 0.064 h ÷ 8 = 0.008 roller-day. 6 passes of 8-10t roller: 1250 cum/8-hr shift.</t>
        </is>
      </c>
      <c r="P116" t="inlineStr">
        <is>
          <t>Embankment Banking &amp; Dressing|All kinds of soil|Manual labor (depth ≤1.5m)|Banking &amp; rolling only (excavation excluded)|4</t>
        </is>
      </c>
      <c r="Q116" t="n">
        <v>4</v>
      </c>
      <c r="R116" t="n">
        <v>10</v>
      </c>
      <c r="S116" t="inlineStr">
        <is>
          <t>cum</t>
        </is>
      </c>
      <c r="T116" t="n">
        <v>470.55</v>
      </c>
      <c r="U116" t="inlineStr">
        <is>
          <t>Earth already excavated (excluded)</t>
        </is>
      </c>
      <c r="V116" t="inlineStr">
        <is>
          <t>Basket Coolie lead 50m / lift 1.5m</t>
        </is>
      </c>
      <c r="W116" t="inlineStr">
        <is>
          <t>Spreading in 20cm layers &amp; breaking clods</t>
        </is>
      </c>
      <c r="X116" t="inlineStr">
        <is>
          <t>Watering to OMC by Bhishti</t>
        </is>
      </c>
      <c r="Y116" t="inlineStr">
        <is>
          <t>8-10t Power Roller (every 3rd &amp; top layer)</t>
        </is>
      </c>
      <c r="AA116" t="inlineStr">
        <is>
          <t>Foundation &amp; Pipeline Trenching|All kinds of soil|Manual labor (depth ≤1.5m)|Extra for wet/water position (+20%)</t>
        </is>
      </c>
      <c r="AB116" t="inlineStr">
        <is>
          <t>Foundation &amp; Pipeline Trenching|All kinds of soil|Manual labor (depth ≤1.5m)</t>
        </is>
      </c>
      <c r="AC116" t="n">
        <v>1</v>
      </c>
      <c r="AD116" t="inlineStr">
        <is>
          <t>m-depth</t>
        </is>
      </c>
      <c r="AE116" t="n">
        <v>20</v>
      </c>
      <c r="AF116" t="inlineStr">
        <is>
          <t>CPWD DAR Item 2.24.1 - Earth Work</t>
        </is>
      </c>
      <c r="AG116" t="inlineStr">
        <is>
          <t>Excavation under wet / foul conditions</t>
        </is>
      </c>
      <c r="AH116" t="inlineStr">
        <is>
          <t>Mud / slush bailing &amp; haulage</t>
        </is>
      </c>
      <c r="AI116" t="inlineStr">
        <is>
          <t>Disposal</t>
        </is>
      </c>
      <c r="AJ116" t="inlineStr">
        <is>
          <t>Submerged / wet</t>
        </is>
      </c>
      <c r="AK116" t="inlineStr">
        <is>
          <t>None</t>
        </is>
      </c>
      <c r="AL116" s="88" t="inlineStr">
        <is>
          <t>Excavating post holes 0.1-0.5 cum in soil</t>
        </is>
      </c>
    </row>
    <row r="117" ht="22" customHeight="1">
      <c r="A117" s="16" t="inlineStr">
        <is>
          <t>Embankment Banking &amp; Dressing</t>
        </is>
      </c>
      <c r="B117" s="76" t="inlineStr">
        <is>
          <t>All kinds of soil</t>
        </is>
      </c>
      <c r="C117" s="76" t="inlineStr">
        <is>
          <t>Manual labor (depth ≤1.5m)</t>
        </is>
      </c>
      <c r="D117" s="76" t="inlineStr">
        <is>
          <t>Banking &amp; rolling only (excavation excluded)</t>
        </is>
      </c>
      <c r="E117" s="28" t="inlineStr">
        <is>
          <t>10 cum</t>
        </is>
      </c>
      <c r="F117" s="32" t="inlineStr">
        <is>
          <t>Plant &amp; Machinery</t>
        </is>
      </c>
      <c r="G117" s="21" t="inlineStr">
        <is>
          <t>0003</t>
        </is>
      </c>
      <c r="H117" s="76" t="inlineStr">
        <is>
          <t>Hire – Diesel Road Roller 8-10t</t>
        </is>
      </c>
      <c r="I117" s="86" t="n">
        <v>0.008</v>
      </c>
      <c r="J117" s="50" t="inlineStr">
        <is>
          <t>day</t>
        </is>
      </c>
      <c r="K117" s="51" t="n">
        <v>3000</v>
      </c>
      <c r="L117" s="84" t="n">
        <v>24</v>
      </c>
      <c r="M117" s="52" t="n">
        <v>0.7</v>
      </c>
      <c r="N117" s="89" t="n">
        <v>1250</v>
      </c>
      <c r="O117" s="39" t="inlineStr"/>
      <c r="P117" t="inlineStr">
        <is>
          <t>Embankment Banking &amp; Dressing|All kinds of soil|Manual labor (depth ≤1.5m)|Banking &amp; rolling only (excavation excluded)|5</t>
        </is>
      </c>
      <c r="Q117" t="n">
        <v>5</v>
      </c>
      <c r="R117" t="n">
        <v>10</v>
      </c>
      <c r="S117" t="inlineStr">
        <is>
          <t>cum</t>
        </is>
      </c>
      <c r="T117" t="n">
        <v>470.55</v>
      </c>
      <c r="U117" t="inlineStr">
        <is>
          <t>Earth already excavated (excluded)</t>
        </is>
      </c>
      <c r="V117" t="inlineStr">
        <is>
          <t>Basket Coolie lead 50m / lift 1.5m</t>
        </is>
      </c>
      <c r="W117" t="inlineStr">
        <is>
          <t>Spreading in 20cm layers &amp; breaking clods</t>
        </is>
      </c>
      <c r="X117" t="inlineStr">
        <is>
          <t>Watering to OMC by Bhishti</t>
        </is>
      </c>
      <c r="Y117" t="inlineStr">
        <is>
          <t>8-10t Power Roller (every 3rd &amp; top layer)</t>
        </is>
      </c>
      <c r="AA117" t="inlineStr">
        <is>
          <t>Foundation &amp; Pipeline Trenching|All kinds of soil|Manual labor (depth ≤1.5m)|Extra for foul position (+25%)</t>
        </is>
      </c>
      <c r="AB117" t="inlineStr">
        <is>
          <t>Foundation &amp; Pipeline Trenching|All kinds of soil|Manual labor (depth ≤1.5m)</t>
        </is>
      </c>
      <c r="AC117" t="n">
        <v>1</v>
      </c>
      <c r="AD117" t="inlineStr">
        <is>
          <t>m-depth</t>
        </is>
      </c>
      <c r="AE117" t="n">
        <v>25</v>
      </c>
      <c r="AF117" t="inlineStr">
        <is>
          <t>CPWD DAR Item 2.24.2 - Earth Work</t>
        </is>
      </c>
      <c r="AG117" t="inlineStr">
        <is>
          <t>Excavation under wet / foul conditions</t>
        </is>
      </c>
      <c r="AH117" t="inlineStr">
        <is>
          <t>Mud / slush bailing &amp; haulage</t>
        </is>
      </c>
      <c r="AI117" t="inlineStr">
        <is>
          <t>Disposal</t>
        </is>
      </c>
      <c r="AJ117" t="inlineStr">
        <is>
          <t>Submerged / wet</t>
        </is>
      </c>
      <c r="AK117" t="inlineStr">
        <is>
          <t>None</t>
        </is>
      </c>
      <c r="AL117" s="88" t="inlineStr">
        <is>
          <t>Extra for foul position (+25%)</t>
        </is>
      </c>
    </row>
    <row r="118" ht="22" customHeight="1">
      <c r="A118" s="16" t="inlineStr">
        <is>
          <t>Embankment Banking &amp; Dressing</t>
        </is>
      </c>
      <c r="B118" s="76" t="inlineStr">
        <is>
          <t>All kinds of soil</t>
        </is>
      </c>
      <c r="C118" s="76" t="inlineStr">
        <is>
          <t>Manual labor (depth ≤1.5m)</t>
        </is>
      </c>
      <c r="D118" s="76" t="inlineStr">
        <is>
          <t>Banking &amp; rolling only (excavation excluded)</t>
        </is>
      </c>
      <c r="E118" s="28" t="inlineStr">
        <is>
          <t>10 cum</t>
        </is>
      </c>
      <c r="F118" s="32" t="inlineStr">
        <is>
          <t>Sundries &amp; Allowances</t>
        </is>
      </c>
      <c r="G118" s="21" t="inlineStr">
        <is>
          <t>9999</t>
        </is>
      </c>
      <c r="H118" s="76" t="inlineStr">
        <is>
          <t>Sundries</t>
        </is>
      </c>
      <c r="I118" s="86" t="n">
        <v>2.73</v>
      </c>
      <c r="J118" s="50" t="inlineStr">
        <is>
          <t>L.S.</t>
        </is>
      </c>
      <c r="K118" s="51" t="n">
        <v>2</v>
      </c>
      <c r="L118" s="84" t="n">
        <v>5.46</v>
      </c>
      <c r="M118" s="52" t="n">
        <v>0.2</v>
      </c>
      <c r="N118" s="32" t="inlineStr"/>
      <c r="O118" s="39" t="inlineStr"/>
      <c r="P118" t="inlineStr">
        <is>
          <t>Embankment Banking &amp; Dressing|All kinds of soil|Manual labor (depth ≤1.5m)|Banking &amp; rolling only (excavation excluded)|6</t>
        </is>
      </c>
      <c r="Q118" t="n">
        <v>6</v>
      </c>
      <c r="R118" t="n">
        <v>10</v>
      </c>
      <c r="S118" t="inlineStr">
        <is>
          <t>cum</t>
        </is>
      </c>
      <c r="T118" t="n">
        <v>470.55</v>
      </c>
      <c r="U118" t="inlineStr">
        <is>
          <t>Earth already excavated (excluded)</t>
        </is>
      </c>
      <c r="V118" t="inlineStr">
        <is>
          <t>Basket Coolie lead 50m / lift 1.5m</t>
        </is>
      </c>
      <c r="W118" t="inlineStr">
        <is>
          <t>Spreading in 20cm layers &amp; breaking clods</t>
        </is>
      </c>
      <c r="X118" t="inlineStr">
        <is>
          <t>Watering to OMC by Bhishti</t>
        </is>
      </c>
      <c r="Y118" t="inlineStr">
        <is>
          <t>8-10t Power Roller (every 3rd &amp; top layer)</t>
        </is>
      </c>
      <c r="AA118" t="inlineStr">
        <is>
          <t>Backfilling &amp; Compaction|All kinds of soil|Manual labor (depth ≤1.5m)|Filling available excavated earth in plinth/trenches</t>
        </is>
      </c>
      <c r="AB118" t="inlineStr">
        <is>
          <t>Backfilling &amp; Compaction|All kinds of soil|Manual labor (depth ≤1.5m)</t>
        </is>
      </c>
      <c r="AC118" t="n">
        <v>10</v>
      </c>
      <c r="AD118" t="inlineStr">
        <is>
          <t>cum</t>
        </is>
      </c>
      <c r="AE118" t="n">
        <v>219.65</v>
      </c>
      <c r="AF118" t="inlineStr">
        <is>
          <t>Filling available excavated earth (excluding rock) in trenches, plinth, sides of foundations etc. in layers not exceeding 20cm in depth, consolidating each deposited layer by ramming and watering, lead up to 50 m and lift upto 1.5 m. Details of cost for 10 cum. LABOUR</t>
        </is>
      </c>
      <c r="AG118" t="inlineStr">
        <is>
          <t>Available excavated spoil (no digging)</t>
        </is>
      </c>
      <c r="AH118" t="inlineStr">
        <is>
          <t>Basket Coolie return lead ≤50m</t>
        </is>
      </c>
      <c r="AI118" t="inlineStr">
        <is>
          <t>Spreading in layers ≤20 cm</t>
        </is>
      </c>
      <c r="AJ118" t="inlineStr">
        <is>
          <t>Watering each layer</t>
        </is>
      </c>
      <c r="AK118" t="inlineStr">
        <is>
          <t>Durmat ramming / hand compaction</t>
        </is>
      </c>
      <c r="AL118" s="88" t="inlineStr">
        <is>
          <t>Extra for pipe trench depth 1.5m to 3.0m</t>
        </is>
      </c>
    </row>
    <row r="119" ht="22" customHeight="1">
      <c r="A119" s="16" t="inlineStr">
        <is>
          <t>Embankment Banking &amp; Dressing</t>
        </is>
      </c>
      <c r="B119" s="76" t="inlineStr">
        <is>
          <t>All kinds of soil</t>
        </is>
      </c>
      <c r="C119" s="76" t="inlineStr">
        <is>
          <t>Manual labor (depth ≤1.5m)</t>
        </is>
      </c>
      <c r="D119" s="76" t="inlineStr">
        <is>
          <t>DEDUCT: Omission of 8-10t power rolling</t>
        </is>
      </c>
      <c r="E119" s="28" t="inlineStr">
        <is>
          <t>10 cum</t>
        </is>
      </c>
      <c r="F119" s="32" t="inlineStr">
        <is>
          <t>Sundries &amp; Allowances</t>
        </is>
      </c>
      <c r="G119" s="21" t="inlineStr">
        <is>
          <t>0113</t>
        </is>
      </c>
      <c r="H119" s="76" t="inlineStr">
        <is>
          <t>Chowkidar</t>
        </is>
      </c>
      <c r="I119" s="86" t="n">
        <v>0.008</v>
      </c>
      <c r="J119" s="50" t="inlineStr">
        <is>
          <t>day</t>
        </is>
      </c>
      <c r="K119" s="51" t="n">
        <v>558</v>
      </c>
      <c r="L119" s="84" t="n">
        <v>4.46</v>
      </c>
      <c r="M119" s="52" t="n">
        <v>13.9</v>
      </c>
      <c r="N119" s="89" t="n">
        <v>1250</v>
      </c>
      <c r="O119" s="39" t="inlineStr">
        <is>
          <t>Reverses 8-10t road roller compaction allowance where embankment rolling is omitted: -0.008 roller-day.</t>
        </is>
      </c>
      <c r="P119" t="inlineStr">
        <is>
          <t>Embankment Banking &amp; Dressing|All kinds of soil|Manual labor (depth ≤1.5m)|DEDUCT: Omission of 8-10t power rolling|1</t>
        </is>
      </c>
      <c r="Q119" t="n">
        <v>1</v>
      </c>
      <c r="R119" t="n">
        <v>10</v>
      </c>
      <c r="S119" t="inlineStr">
        <is>
          <t>cum</t>
        </is>
      </c>
      <c r="T119" t="n">
        <v>-4.3</v>
      </c>
      <c r="U119" t="inlineStr">
        <is>
          <t>None</t>
        </is>
      </c>
      <c r="V119" t="inlineStr">
        <is>
          <t>None</t>
        </is>
      </c>
      <c r="W119" t="inlineStr">
        <is>
          <t>None</t>
        </is>
      </c>
      <c r="X119" t="inlineStr">
        <is>
          <t>None</t>
        </is>
      </c>
      <c r="Y119" t="inlineStr">
        <is>
          <t>CREDIT: Deduct 8-10t roller cost</t>
        </is>
      </c>
      <c r="AA119" t="inlineStr">
        <is>
          <t>Foundation &amp; Pipeline Trenching|All kinds of soil|Extra depth &gt;1.5m to 3.0m|Extra lift for every additional 1.5m</t>
        </is>
      </c>
      <c r="AB119" t="inlineStr">
        <is>
          <t>Foundation &amp; Pipeline Trenching|All kinds of soil|Extra depth &gt;1.5m to 3.0m</t>
        </is>
      </c>
      <c r="AC119" t="n">
        <v>10</v>
      </c>
      <c r="AD119" t="inlineStr">
        <is>
          <t>cum</t>
        </is>
      </c>
      <c r="AE119" t="n">
        <v>90.40000000000001</v>
      </c>
      <c r="AF119" t="inlineStr">
        <is>
          <t>Extra for every additional lift of 1.5 m or part thereof in excavation / banking excavated or stacked materials.: All kinds of soil Details of cost for 10 cum. LABOUR</t>
        </is>
      </c>
      <c r="AG119" t="inlineStr">
        <is>
          <t>Deep excavation lift</t>
        </is>
      </c>
      <c r="AH119" t="inlineStr">
        <is>
          <t>Staged manual lifting per 1.5m</t>
        </is>
      </c>
      <c r="AI119" t="inlineStr">
        <is>
          <t>Disposal</t>
        </is>
      </c>
      <c r="AJ119" t="inlineStr">
        <is>
          <t>None</t>
        </is>
      </c>
      <c r="AK119" t="inlineStr">
        <is>
          <t>None</t>
        </is>
      </c>
      <c r="AL119" s="88" t="inlineStr">
        <is>
          <t>Extra for pipe trench depth 3.0m to 4.5m</t>
        </is>
      </c>
    </row>
    <row r="120" ht="22" customHeight="1">
      <c r="A120" s="16" t="inlineStr">
        <is>
          <t>Embankment Banking &amp; Dressing</t>
        </is>
      </c>
      <c r="B120" s="76" t="inlineStr">
        <is>
          <t>All kinds of soil</t>
        </is>
      </c>
      <c r="C120" s="76" t="inlineStr">
        <is>
          <t>Manual labor (depth ≤1.5m)</t>
        </is>
      </c>
      <c r="D120" s="76" t="inlineStr">
        <is>
          <t>DEDUCT: Omission of 8-10t power rolling</t>
        </is>
      </c>
      <c r="E120" s="28" t="inlineStr">
        <is>
          <t>10 cum</t>
        </is>
      </c>
      <c r="F120" s="32" t="inlineStr">
        <is>
          <t>Plant &amp; Machinery</t>
        </is>
      </c>
      <c r="G120" s="21" t="inlineStr">
        <is>
          <t>0003</t>
        </is>
      </c>
      <c r="H120" s="76" t="inlineStr">
        <is>
          <t>Hire – Diesel Road Roller 8-10t</t>
        </is>
      </c>
      <c r="I120" s="86" t="n">
        <v>0.008</v>
      </c>
      <c r="J120" s="50" t="inlineStr">
        <is>
          <t>day</t>
        </is>
      </c>
      <c r="K120" s="51" t="n">
        <v>3000</v>
      </c>
      <c r="L120" s="84" t="n">
        <v>24</v>
      </c>
      <c r="M120" s="52" t="n">
        <v>74.8</v>
      </c>
      <c r="N120" s="89" t="n">
        <v>1250</v>
      </c>
      <c r="O120" s="39" t="inlineStr"/>
      <c r="P120" t="inlineStr">
        <is>
          <t>Embankment Banking &amp; Dressing|All kinds of soil|Manual labor (depth ≤1.5m)|DEDUCT: Omission of 8-10t power rolling|2</t>
        </is>
      </c>
      <c r="Q120" t="n">
        <v>2</v>
      </c>
      <c r="R120" t="n">
        <v>10</v>
      </c>
      <c r="S120" t="inlineStr">
        <is>
          <t>cum</t>
        </is>
      </c>
      <c r="T120" t="n">
        <v>-4.3</v>
      </c>
      <c r="U120" t="inlineStr">
        <is>
          <t>None</t>
        </is>
      </c>
      <c r="V120" t="inlineStr">
        <is>
          <t>None</t>
        </is>
      </c>
      <c r="W120" t="inlineStr">
        <is>
          <t>None</t>
        </is>
      </c>
      <c r="X120" t="inlineStr">
        <is>
          <t>None</t>
        </is>
      </c>
      <c r="Y120" t="inlineStr">
        <is>
          <t>CREDIT: Deduct 8-10t roller cost</t>
        </is>
      </c>
      <c r="AA120" t="inlineStr">
        <is>
          <t>Foundation &amp; Pipeline Trenching|Ordinary rock|Extra depth &gt;1.5m to 3.0m|Extra lift for every additional 1.5m</t>
        </is>
      </c>
      <c r="AB120" t="inlineStr">
        <is>
          <t>Foundation &amp; Pipeline Trenching|Ordinary rock|Extra depth &gt;1.5m to 3.0m</t>
        </is>
      </c>
      <c r="AC120" t="n">
        <v>10</v>
      </c>
      <c r="AD120" t="inlineStr">
        <is>
          <t>cum</t>
        </is>
      </c>
      <c r="AE120" t="n">
        <v>162.1</v>
      </c>
      <c r="AF120" t="inlineStr">
        <is>
          <t>Extra for every additional lift of 1.5 m or part thereof in excavation / banking excavated or stacked materials.: Ordinary or hard rock Details of cost for 10 cum. LABOUR</t>
        </is>
      </c>
      <c r="AG120" t="inlineStr">
        <is>
          <t>Deep excavation lift</t>
        </is>
      </c>
      <c r="AH120" t="inlineStr">
        <is>
          <t>Staged manual lifting per 1.5m</t>
        </is>
      </c>
      <c r="AI120" t="inlineStr">
        <is>
          <t>Disposal</t>
        </is>
      </c>
      <c r="AJ120" t="inlineStr">
        <is>
          <t>None</t>
        </is>
      </c>
      <c r="AK120" t="inlineStr">
        <is>
          <t>None</t>
        </is>
      </c>
      <c r="AL120" s="88" t="inlineStr">
        <is>
          <t>Extra for wet/water position (+20%)</t>
        </is>
      </c>
    </row>
    <row r="121" ht="22" customHeight="1">
      <c r="A121" s="16" t="inlineStr">
        <is>
          <t>Embankment Banking &amp; Dressing</t>
        </is>
      </c>
      <c r="B121" s="76" t="inlineStr">
        <is>
          <t>All kinds of soil</t>
        </is>
      </c>
      <c r="C121" s="76" t="inlineStr">
        <is>
          <t>Manual labor (depth ≤1.5m)</t>
        </is>
      </c>
      <c r="D121" s="76" t="inlineStr">
        <is>
          <t>DEDUCT: Omission of 8-10t power rolling</t>
        </is>
      </c>
      <c r="E121" s="28" t="inlineStr">
        <is>
          <t>10 cum</t>
        </is>
      </c>
      <c r="F121" s="32" t="inlineStr">
        <is>
          <t>Sundries &amp; Allowances</t>
        </is>
      </c>
      <c r="G121" s="21" t="inlineStr">
        <is>
          <t>9999</t>
        </is>
      </c>
      <c r="H121" s="76" t="inlineStr">
        <is>
          <t>Sundries</t>
        </is>
      </c>
      <c r="I121" s="86" t="n">
        <v>1.82</v>
      </c>
      <c r="J121" s="50" t="inlineStr">
        <is>
          <t>L.S.</t>
        </is>
      </c>
      <c r="K121" s="51" t="n">
        <v>2</v>
      </c>
      <c r="L121" s="84" t="n">
        <v>3.64</v>
      </c>
      <c r="M121" s="52" t="n">
        <v>11.3</v>
      </c>
      <c r="N121" s="32" t="inlineStr"/>
      <c r="O121" s="39" t="inlineStr"/>
      <c r="P121" t="inlineStr">
        <is>
          <t>Embankment Banking &amp; Dressing|All kinds of soil|Manual labor (depth ≤1.5m)|DEDUCT: Omission of 8-10t power rolling|3</t>
        </is>
      </c>
      <c r="Q121" t="n">
        <v>3</v>
      </c>
      <c r="R121" t="n">
        <v>10</v>
      </c>
      <c r="S121" t="inlineStr">
        <is>
          <t>cum</t>
        </is>
      </c>
      <c r="T121" t="n">
        <v>-4.3</v>
      </c>
      <c r="U121" t="inlineStr">
        <is>
          <t>None</t>
        </is>
      </c>
      <c r="V121" t="inlineStr">
        <is>
          <t>None</t>
        </is>
      </c>
      <c r="W121" t="inlineStr">
        <is>
          <t>None</t>
        </is>
      </c>
      <c r="X121" t="inlineStr">
        <is>
          <t>None</t>
        </is>
      </c>
      <c r="Y121" t="inlineStr">
        <is>
          <t>CREDIT: Deduct 8-10t roller cost</t>
        </is>
      </c>
      <c r="AA121" t="inlineStr">
        <is>
          <t>Backfilling &amp; Compaction|Ordinary rock|Manual labor (depth ≤1.5m)|Supplying and filling quarry moorum</t>
        </is>
      </c>
      <c r="AB121" t="inlineStr">
        <is>
          <t>Backfilling &amp; Compaction|Ordinary rock|Manual labor (depth ≤1.5m)</t>
        </is>
      </c>
      <c r="AC121" t="n">
        <v>10</v>
      </c>
      <c r="AD121" t="inlineStr">
        <is>
          <t>cum</t>
        </is>
      </c>
      <c r="AE121" t="n">
        <v>1953.05</v>
      </c>
      <c r="AF121" t="inlineStr">
        <is>
          <t>CPWD DAR Item 2.27 - Earth Work</t>
        </is>
      </c>
      <c r="AG121" t="inlineStr">
        <is>
          <t>Material supply (quarry moorum)</t>
        </is>
      </c>
      <c r="AH121" t="inlineStr">
        <is>
          <t>Carriage to plinth &amp; wheeling</t>
        </is>
      </c>
      <c r="AI121" t="inlineStr">
        <is>
          <t>Spreading in layers ≤20 cm</t>
        </is>
      </c>
      <c r="AJ121" t="inlineStr">
        <is>
          <t>Watering each layer</t>
        </is>
      </c>
      <c r="AK121" t="inlineStr">
        <is>
          <t>Durmat ramming / hand compaction</t>
        </is>
      </c>
      <c r="AL121" s="88" t="inlineStr">
        <is>
          <t>Extra lift for every additional 1.5m</t>
        </is>
      </c>
    </row>
    <row r="122" ht="22" customHeight="1">
      <c r="A122" s="16" t="inlineStr">
        <is>
          <t>Embankment Banking &amp; Dressing</t>
        </is>
      </c>
      <c r="B122" s="76" t="inlineStr">
        <is>
          <t>All kinds of soil</t>
        </is>
      </c>
      <c r="C122" s="76" t="inlineStr">
        <is>
          <t>Manual labor (depth ≤1.5m)</t>
        </is>
      </c>
      <c r="D122" s="76" t="inlineStr">
        <is>
          <t>DEDUCT: Omission of OMC compaction watering</t>
        </is>
      </c>
      <c r="E122" s="28" t="inlineStr">
        <is>
          <t>10 cum</t>
        </is>
      </c>
      <c r="F122" s="32" t="inlineStr">
        <is>
          <t>Labour (Operational / Bhishti)</t>
        </is>
      </c>
      <c r="G122" s="21" t="inlineStr">
        <is>
          <t>0101</t>
        </is>
      </c>
      <c r="H122" s="76" t="inlineStr">
        <is>
          <t>Bhisti</t>
        </is>
      </c>
      <c r="I122" s="86" t="n">
        <v>0.4</v>
      </c>
      <c r="J122" s="50" t="inlineStr">
        <is>
          <t>day</t>
        </is>
      </c>
      <c r="K122" s="51" t="n">
        <v>617</v>
      </c>
      <c r="L122" s="84" t="n">
        <v>246.8</v>
      </c>
      <c r="M122" s="52" t="n">
        <v>100</v>
      </c>
      <c r="N122" s="89" t="n">
        <v>25</v>
      </c>
      <c r="O122" s="39" t="inlineStr">
        <is>
          <t>Reverses OMC compaction watering allowance where watering is omitted: -0.40 bhisti-day.</t>
        </is>
      </c>
      <c r="P122" t="inlineStr">
        <is>
          <t>Embankment Banking &amp; Dressing|All kinds of soil|Manual labor (depth ≤1.5m)|DEDUCT: Omission of OMC compaction watering|1</t>
        </is>
      </c>
      <c r="Q122" t="n">
        <v>1</v>
      </c>
      <c r="R122" t="n">
        <v>10</v>
      </c>
      <c r="S122" t="inlineStr">
        <is>
          <t>cum</t>
        </is>
      </c>
      <c r="T122" t="n">
        <v>-33</v>
      </c>
      <c r="U122" t="inlineStr">
        <is>
          <t>None</t>
        </is>
      </c>
      <c r="V122" t="inlineStr">
        <is>
          <t>None</t>
        </is>
      </c>
      <c r="W122" t="inlineStr">
        <is>
          <t>None</t>
        </is>
      </c>
      <c r="X122" t="inlineStr">
        <is>
          <t>CREDIT: Deduct Bhishti watering</t>
        </is>
      </c>
      <c r="Y122" t="inlineStr">
        <is>
          <t>None</t>
        </is>
      </c>
      <c r="AA122" t="inlineStr">
        <is>
          <t>Surface Excavation (≤30 cm)|All kinds of soil|Manual labor (depth ≤1.5m)|Surface dressing (≤15 cm depth)</t>
        </is>
      </c>
      <c r="AB122" t="inlineStr">
        <is>
          <t>Surface Excavation (≤30 cm)|All kinds of soil|Manual labor (depth ≤1.5m)</t>
        </is>
      </c>
      <c r="AC122" t="n">
        <v>100</v>
      </c>
      <c r="AD122" t="inlineStr">
        <is>
          <t>sqm</t>
        </is>
      </c>
      <c r="AE122" t="n">
        <v>24.35</v>
      </c>
      <c r="AF122" t="inlineStr">
        <is>
          <t>Surface dressing of the ground including removing vegetation and in-equalities not exceeding 15 cm deep and disposal of rubbish, lead up to 50 m and lift up to 1.5 m.: All kinds of soil Details of cost for 100 sqm. LABOUR</t>
        </is>
      </c>
      <c r="AG122" t="inlineStr">
        <is>
          <t>Manual Beldar skimming</t>
        </is>
      </c>
      <c r="AH122" t="inlineStr">
        <is>
          <t>Removal to 50m</t>
        </is>
      </c>
      <c r="AI122" t="inlineStr">
        <is>
          <t>Level dressing</t>
        </is>
      </c>
      <c r="AJ122" t="inlineStr">
        <is>
          <t>None</t>
        </is>
      </c>
      <c r="AK122" t="inlineStr">
        <is>
          <t>None</t>
        </is>
      </c>
      <c r="AL122" s="88" t="inlineStr">
        <is>
          <t>Filling available excavated earth in plinth/trenches</t>
        </is>
      </c>
    </row>
    <row r="123" ht="22" customHeight="1">
      <c r="A123" s="16" t="inlineStr">
        <is>
          <t>Foundation &amp; Pipeline Trenching</t>
        </is>
      </c>
      <c r="B123" s="76" t="inlineStr">
        <is>
          <t>All kinds of soil</t>
        </is>
      </c>
      <c r="C123" s="76" t="inlineStr">
        <is>
          <t>Mechanical (Hydraulic Excavator 0.9 cum)</t>
        </is>
      </c>
      <c r="D123" s="76" t="inlineStr">
        <is>
          <t>Open areas &amp; wide foundation trenches</t>
        </is>
      </c>
      <c r="E123" s="28" t="inlineStr">
        <is>
          <t>10 cum</t>
        </is>
      </c>
      <c r="F123" s="32" t="inlineStr">
        <is>
          <t>Plant &amp; Machinery</t>
        </is>
      </c>
      <c r="G123" s="21" t="inlineStr">
        <is>
          <t>0020</t>
        </is>
      </c>
      <c r="H123" s="76" t="inlineStr">
        <is>
          <t>Hydraulic Excavator (3D) incl driver+fuel</t>
        </is>
      </c>
      <c r="I123" s="86" t="n">
        <v>0.041</v>
      </c>
      <c r="J123" s="50" t="inlineStr">
        <is>
          <t>day</t>
        </is>
      </c>
      <c r="K123" s="51" t="n">
        <v>7000</v>
      </c>
      <c r="L123" s="84" t="n">
        <v>287</v>
      </c>
      <c r="M123" s="52" t="n">
        <v>21.1</v>
      </c>
      <c r="N123" s="89" t="n">
        <v>243.9024390243902</v>
      </c>
      <c r="O123" s="39" t="inlineStr">
        <is>
          <t>1 machine × 0.328 h (19.68 min) ÷ 8 = 0.041 excavator-day. 0.9 cum bucket at 30.49 cum/hr = 243.90 cum/8-hr shift.</t>
        </is>
      </c>
      <c r="P123" t="inlineStr">
        <is>
          <t>Foundation &amp; Pipeline Trenching|All kinds of soil|Mechanical (Hydraulic Excavator 0.9 cum)|Open areas &amp; wide foundation trenches|1</t>
        </is>
      </c>
      <c r="Q123" t="n">
        <v>1</v>
      </c>
      <c r="R123" t="n">
        <v>10</v>
      </c>
      <c r="S123" t="inlineStr">
        <is>
          <t>cum</t>
        </is>
      </c>
      <c r="T123" t="n">
        <v>181.85</v>
      </c>
      <c r="U123" t="inlineStr">
        <is>
          <t>Hydraulic Excavator 0.9 cum (0034)</t>
        </is>
      </c>
      <c r="V123" t="inlineStr">
        <is>
          <t>Excavator bucket swing to dump / truck</t>
        </is>
      </c>
      <c r="W123" t="inlineStr">
        <is>
          <t>Spoil heap formation</t>
        </is>
      </c>
      <c r="X123" t="inlineStr">
        <is>
          <t>None</t>
        </is>
      </c>
      <c r="Y123" t="inlineStr">
        <is>
          <t>None</t>
        </is>
      </c>
      <c r="AA123" t="inlineStr">
        <is>
          <t>Surface Excavation (≤30 cm)|All kinds of soil|Manual labor (depth ≤1.5m)|Ploughing ground (15-25 cm) &amp; watering</t>
        </is>
      </c>
      <c r="AB123" t="inlineStr">
        <is>
          <t>Surface Excavation (≤30 cm)|All kinds of soil|Manual labor (depth ≤1.5m)</t>
        </is>
      </c>
      <c r="AC123" t="n">
        <v>100</v>
      </c>
      <c r="AD123" t="inlineStr">
        <is>
          <t>sqm</t>
        </is>
      </c>
      <c r="AE123" t="n">
        <v>24.65</v>
      </c>
      <c r="AF123" t="inlineStr">
        <is>
          <t>Ploughing the existing ground to a depth of 15 cm to 25 cm and watering the same.: All kinds of soil Details of cost for 100 sqm. LABOUR</t>
        </is>
      </c>
      <c r="AG123" t="inlineStr">
        <is>
          <t>Plough / Beldar</t>
        </is>
      </c>
      <c r="AH123" t="inlineStr">
        <is>
          <t>On-site</t>
        </is>
      </c>
      <c r="AI123" t="inlineStr">
        <is>
          <t>Rough furrows</t>
        </is>
      </c>
      <c r="AJ123" t="inlineStr">
        <is>
          <t>Watering by Bhishti</t>
        </is>
      </c>
      <c r="AK123" t="inlineStr">
        <is>
          <t>None</t>
        </is>
      </c>
      <c r="AL123" s="88" t="inlineStr">
        <is>
          <t>Filling with fly ash and earth mix in plinth</t>
        </is>
      </c>
    </row>
    <row r="124" ht="22" customHeight="1">
      <c r="A124" s="16" t="inlineStr">
        <is>
          <t>Foundation &amp; Pipeline Trenching</t>
        </is>
      </c>
      <c r="B124" s="76" t="inlineStr">
        <is>
          <t>All kinds of soil</t>
        </is>
      </c>
      <c r="C124" s="76" t="inlineStr">
        <is>
          <t>Mechanical (Hydraulic Excavator 0.9 cum)</t>
        </is>
      </c>
      <c r="D124" s="76" t="inlineStr">
        <is>
          <t>Open areas &amp; wide foundation trenches</t>
        </is>
      </c>
      <c r="E124" s="28" t="inlineStr">
        <is>
          <t>10 cum</t>
        </is>
      </c>
      <c r="F124" s="32" t="inlineStr">
        <is>
          <t>Plant &amp; Machinery</t>
        </is>
      </c>
      <c r="G124" s="21" t="inlineStr">
        <is>
          <t>0018</t>
        </is>
      </c>
      <c r="H124" s="76" t="inlineStr">
        <is>
          <t>Hire – Loader</t>
        </is>
      </c>
      <c r="I124" s="86" t="n">
        <v>0.041</v>
      </c>
      <c r="J124" s="50" t="inlineStr">
        <is>
          <t>day</t>
        </is>
      </c>
      <c r="K124" s="51" t="n">
        <v>5000</v>
      </c>
      <c r="L124" s="84" t="n">
        <v>205</v>
      </c>
      <c r="M124" s="52" t="n">
        <v>15.1</v>
      </c>
      <c r="N124" s="89" t="n">
        <v>243.9024390243902</v>
      </c>
      <c r="O124" s="39" t="inlineStr">
        <is>
          <t>1 man × 0.56 h (33.6 min) ÷ 8 = 0.07 bd. Manual trench bottom trimming and squaring corners.</t>
        </is>
      </c>
      <c r="P124" t="inlineStr">
        <is>
          <t>Foundation &amp; Pipeline Trenching|All kinds of soil|Mechanical (Hydraulic Excavator 0.9 cum)|Open areas &amp; wide foundation trenches|2</t>
        </is>
      </c>
      <c r="Q124" t="n">
        <v>2</v>
      </c>
      <c r="R124" t="n">
        <v>10</v>
      </c>
      <c r="S124" t="inlineStr">
        <is>
          <t>cum</t>
        </is>
      </c>
      <c r="T124" t="n">
        <v>181.85</v>
      </c>
      <c r="U124" t="inlineStr">
        <is>
          <t>Hydraulic Excavator 0.9 cum (0034)</t>
        </is>
      </c>
      <c r="V124" t="inlineStr">
        <is>
          <t>Excavator bucket swing to dump / truck</t>
        </is>
      </c>
      <c r="W124" t="inlineStr">
        <is>
          <t>Spoil heap formation</t>
        </is>
      </c>
      <c r="X124" t="inlineStr">
        <is>
          <t>None</t>
        </is>
      </c>
      <c r="Y124" t="inlineStr">
        <is>
          <t>None</t>
        </is>
      </c>
      <c r="AA124" t="inlineStr">
        <is>
          <t>Embankment Banking &amp; Dressing|All kinds of soil|Manual labor (depth ≤1.5m)|Banking &amp; rolling only (excavation excluded)</t>
        </is>
      </c>
      <c r="AB124" t="inlineStr">
        <is>
          <t>Embankment Banking &amp; Dressing|All kinds of soil|Manual labor (depth ≤1.5m)</t>
        </is>
      </c>
      <c r="AC124" t="n">
        <v>10</v>
      </c>
      <c r="AD124" t="inlineStr">
        <is>
          <t>cum</t>
        </is>
      </c>
      <c r="AE124" t="n">
        <v>470.55</v>
      </c>
      <c r="AF124" t="inlineStr">
        <is>
          <t>Banking excavated earth in layers not exceeding 20 cm in depth, breaking clods, watering, rolling each layer with ½ tonne roller, or wooden or steel rammers, and rolling every 3rd and top-most layer with power roller of minimum 8 tonnes and dressing up, in embankments for roads, flood banks, marginal banks, and guide banks etc., lead upto 50 m and lift upto 1.5 m :: All kinds of soil Details of cost for 10 cum. LABOUR</t>
        </is>
      </c>
      <c r="AG124" t="inlineStr">
        <is>
          <t>Earth already excavated (excluded)</t>
        </is>
      </c>
      <c r="AH124" t="inlineStr">
        <is>
          <t>Basket Coolie lead 50m / lift 1.5m</t>
        </is>
      </c>
      <c r="AI124" t="inlineStr">
        <is>
          <t>Spreading in 20cm layers &amp; breaking clods</t>
        </is>
      </c>
      <c r="AJ124" t="inlineStr">
        <is>
          <t>Watering to OMC by Bhishti</t>
        </is>
      </c>
      <c r="AK124" t="inlineStr">
        <is>
          <t>8-10t Power Roller (every 3rd &amp; top layer)</t>
        </is>
      </c>
      <c r="AL124" s="88" t="inlineStr">
        <is>
          <t>Foundation trenches &amp; drain trenches</t>
        </is>
      </c>
    </row>
    <row r="125" ht="22" customHeight="1">
      <c r="A125" s="16" t="inlineStr">
        <is>
          <t>Foundation &amp; Pipeline Trenching</t>
        </is>
      </c>
      <c r="B125" s="76" t="inlineStr">
        <is>
          <t>All kinds of soil</t>
        </is>
      </c>
      <c r="C125" s="76" t="inlineStr">
        <is>
          <t>Mechanical (Hydraulic Excavator 0.9 cum)</t>
        </is>
      </c>
      <c r="D125" s="76" t="inlineStr">
        <is>
          <t>Open areas &amp; wide foundation trenches</t>
        </is>
      </c>
      <c r="E125" s="28" t="inlineStr">
        <is>
          <t>10 cum</t>
        </is>
      </c>
      <c r="F125" s="32" t="inlineStr">
        <is>
          <t>Labour (Supervisory / Mate)</t>
        </is>
      </c>
      <c r="G125" s="21" t="inlineStr">
        <is>
          <t>0128</t>
        </is>
      </c>
      <c r="H125" s="76" t="inlineStr">
        <is>
          <t>Mate</t>
        </is>
      </c>
      <c r="I125" s="86" t="n">
        <v>0.32</v>
      </c>
      <c r="J125" s="50" t="inlineStr">
        <is>
          <t>day</t>
        </is>
      </c>
      <c r="K125" s="51" t="n">
        <v>617</v>
      </c>
      <c r="L125" s="84" t="n">
        <v>197.44</v>
      </c>
      <c r="M125" s="52" t="n">
        <v>14.5</v>
      </c>
      <c r="N125" s="89" t="n">
        <v>31.25</v>
      </c>
      <c r="O125" s="39" t="inlineStr">
        <is>
          <t>1 man × 0.56 h (33.6 min) ÷ 8 = 0.07 cd. Shoveling corner spillage back to excavator bucket sweep.</t>
        </is>
      </c>
      <c r="P125" t="inlineStr">
        <is>
          <t>Foundation &amp; Pipeline Trenching|All kinds of soil|Mechanical (Hydraulic Excavator 0.9 cum)|Open areas &amp; wide foundation trenches|3</t>
        </is>
      </c>
      <c r="Q125" t="n">
        <v>3</v>
      </c>
      <c r="R125" t="n">
        <v>10</v>
      </c>
      <c r="S125" t="inlineStr">
        <is>
          <t>cum</t>
        </is>
      </c>
      <c r="T125" t="n">
        <v>181.85</v>
      </c>
      <c r="U125" t="inlineStr">
        <is>
          <t>Hydraulic Excavator 0.9 cum (0034)</t>
        </is>
      </c>
      <c r="V125" t="inlineStr">
        <is>
          <t>Excavator bucket swing to dump / truck</t>
        </is>
      </c>
      <c r="W125" t="inlineStr">
        <is>
          <t>Spoil heap formation</t>
        </is>
      </c>
      <c r="X125" t="inlineStr">
        <is>
          <t>None</t>
        </is>
      </c>
      <c r="Y125" t="inlineStr">
        <is>
          <t>None</t>
        </is>
      </c>
      <c r="AA125" t="inlineStr">
        <is>
          <t>Foundation &amp; Pipeline Trenching|All kinds of soil|Manual labor (depth ≤1.5m)|Excavating post holes 0.1-0.5 cum in soil</t>
        </is>
      </c>
      <c r="AB125" t="inlineStr">
        <is>
          <t>Foundation &amp; Pipeline Trenching|All kinds of soil|Manual labor (depth ≤1.5m)</t>
        </is>
      </c>
      <c r="AC125" t="n">
        <v>10</v>
      </c>
      <c r="AD125" t="inlineStr">
        <is>
          <t>hole</t>
        </is>
      </c>
      <c r="AE125" t="n">
        <v>79.3</v>
      </c>
      <c r="AF125"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All kinds of soil Details of cost for 10 holes- Earth work 10 x 0.30 (avg) = 3.0 cum</t>
        </is>
      </c>
      <c r="AG125" t="inlineStr">
        <is>
          <t>Post hole auger / crowbar</t>
        </is>
      </c>
      <c r="AH125" t="inlineStr">
        <is>
          <t>Hand shovel around hole</t>
        </is>
      </c>
      <c r="AI125" t="inlineStr">
        <is>
          <t>Neat collar stacking</t>
        </is>
      </c>
      <c r="AJ125" t="inlineStr">
        <is>
          <t>None</t>
        </is>
      </c>
      <c r="AK125" t="inlineStr">
        <is>
          <t>None</t>
        </is>
      </c>
      <c r="AL125" s="88" t="inlineStr">
        <is>
          <t>Full cycle: rough excavation + banking + roll</t>
        </is>
      </c>
    </row>
    <row r="126" ht="22" customHeight="1">
      <c r="A126" s="16" t="inlineStr">
        <is>
          <t>Foundation &amp; Pipeline Trenching</t>
        </is>
      </c>
      <c r="B126" s="76" t="inlineStr">
        <is>
          <t>All kinds of soil</t>
        </is>
      </c>
      <c r="C126" s="76" t="inlineStr">
        <is>
          <t>Mechanical (Hydraulic Excavator 0.9 cum)</t>
        </is>
      </c>
      <c r="D126" s="76" t="inlineStr">
        <is>
          <t>Open areas &amp; wide foundation trenches</t>
        </is>
      </c>
      <c r="E126" s="28" t="inlineStr">
        <is>
          <t>10 cum</t>
        </is>
      </c>
      <c r="F126" s="32" t="inlineStr">
        <is>
          <t>Labour (Unskilled / Haulage)</t>
        </is>
      </c>
      <c r="G126" s="21" t="inlineStr">
        <is>
          <t>0115</t>
        </is>
      </c>
      <c r="H126" s="76" t="inlineStr">
        <is>
          <t>Coolie</t>
        </is>
      </c>
      <c r="I126" s="86" t="n">
        <v>1.2</v>
      </c>
      <c r="J126" s="50" t="inlineStr">
        <is>
          <t>day</t>
        </is>
      </c>
      <c r="K126" s="51" t="n">
        <v>558</v>
      </c>
      <c r="L126" s="84" t="n">
        <v>669.6</v>
      </c>
      <c r="M126" s="52" t="n">
        <v>49.3</v>
      </c>
      <c r="N126" s="89" t="n">
        <v>8.333333333333334</v>
      </c>
      <c r="O126" s="39" t="inlineStr"/>
      <c r="P126" t="inlineStr">
        <is>
          <t>Foundation &amp; Pipeline Trenching|All kinds of soil|Mechanical (Hydraulic Excavator 0.9 cum)|Open areas &amp; wide foundation trenches|4</t>
        </is>
      </c>
      <c r="Q126" t="n">
        <v>4</v>
      </c>
      <c r="R126" t="n">
        <v>10</v>
      </c>
      <c r="S126" t="inlineStr">
        <is>
          <t>cum</t>
        </is>
      </c>
      <c r="T126" t="n">
        <v>181.85</v>
      </c>
      <c r="U126" t="inlineStr">
        <is>
          <t>Hydraulic Excavator 0.9 cum (0034)</t>
        </is>
      </c>
      <c r="V126" t="inlineStr">
        <is>
          <t>Excavator bucket swing to dump / truck</t>
        </is>
      </c>
      <c r="W126" t="inlineStr">
        <is>
          <t>Spoil heap formation</t>
        </is>
      </c>
      <c r="X126" t="inlineStr">
        <is>
          <t>None</t>
        </is>
      </c>
      <c r="Y126" t="inlineStr">
        <is>
          <t>None</t>
        </is>
      </c>
      <c r="AA126" t="inlineStr">
        <is>
          <t>Foundation &amp; Pipeline Trenching|Ordinary rock|Manual labor (depth ≤1.5m)|Excavating post holes 0.1-0.5 cum in ord rock</t>
        </is>
      </c>
      <c r="AB126" t="inlineStr">
        <is>
          <t>Foundation &amp; Pipeline Trenching|Ordinary rock|Manual labor (depth ≤1.5m)</t>
        </is>
      </c>
      <c r="AC126" t="n">
        <v>10</v>
      </c>
      <c r="AD126" t="inlineStr">
        <is>
          <t>hole</t>
        </is>
      </c>
      <c r="AE126" t="n">
        <v>138.05</v>
      </c>
      <c r="AF126"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Ordinary rock Details of cost for 10 holes- Earth work 10 x 0.3 (avg) = 3.0 cum</t>
        </is>
      </c>
      <c r="AG126" t="inlineStr">
        <is>
          <t>Post hole auger / crowbar</t>
        </is>
      </c>
      <c r="AH126" t="inlineStr">
        <is>
          <t>Hand shovel around hole</t>
        </is>
      </c>
      <c r="AI126" t="inlineStr">
        <is>
          <t>Neat collar stacking</t>
        </is>
      </c>
      <c r="AJ126" t="inlineStr">
        <is>
          <t>None</t>
        </is>
      </c>
      <c r="AK126" t="inlineStr">
        <is>
          <t>None</t>
        </is>
      </c>
      <c r="AL126" s="88" t="inlineStr">
        <is>
          <t>General surface cut (≤30 cm deep)</t>
        </is>
      </c>
    </row>
    <row r="127" ht="22" customHeight="1">
      <c r="A127" s="16" t="inlineStr">
        <is>
          <t>Foundation &amp; Pipeline Trenching</t>
        </is>
      </c>
      <c r="B127" s="76" t="inlineStr">
        <is>
          <t>Ordinary rock</t>
        </is>
      </c>
      <c r="C127" s="76" t="inlineStr">
        <is>
          <t>Mechanical (Hydraulic Excavator 0.9 cum)</t>
        </is>
      </c>
      <c r="D127" s="76" t="inlineStr">
        <is>
          <t>Open areas &amp; wide foundation trenches</t>
        </is>
      </c>
      <c r="E127" s="28" t="inlineStr">
        <is>
          <t>10 cum</t>
        </is>
      </c>
      <c r="F127" s="32" t="inlineStr">
        <is>
          <t>Plant &amp; Machinery</t>
        </is>
      </c>
      <c r="G127" s="21" t="inlineStr">
        <is>
          <t>0020</t>
        </is>
      </c>
      <c r="H127" s="76" t="inlineStr">
        <is>
          <t>Hydraulic Excavator (3D) incl driver+fuel</t>
        </is>
      </c>
      <c r="I127" s="86" t="n">
        <v>0.063</v>
      </c>
      <c r="J127" s="50" t="inlineStr">
        <is>
          <t>day</t>
        </is>
      </c>
      <c r="K127" s="51" t="n">
        <v>7000</v>
      </c>
      <c r="L127" s="84" t="n">
        <v>441</v>
      </c>
      <c r="M127" s="52" t="n">
        <v>16.7</v>
      </c>
      <c r="N127" s="89" t="n">
        <v>158.7301587301587</v>
      </c>
      <c r="O127" s="39" t="inlineStr">
        <is>
          <t>Hydraulic excavator in ordinary rock: 0.053 day (188.7 cum/shift, 23.6 cum/hr).</t>
        </is>
      </c>
      <c r="P127" t="inlineStr">
        <is>
          <t>Foundation &amp; Pipeline Trenching|Ordinary rock|Mechanical (Hydraulic Excavator 0.9 cum)|Open areas &amp; wide foundation trenches|1</t>
        </is>
      </c>
      <c r="Q127" t="n">
        <v>1</v>
      </c>
      <c r="R127" t="n">
        <v>10</v>
      </c>
      <c r="S127" t="inlineStr">
        <is>
          <t>cum</t>
        </is>
      </c>
      <c r="T127" t="n">
        <v>352.45</v>
      </c>
      <c r="U127" t="inlineStr">
        <is>
          <t>Hydraulic Excavator 0.9 cum (0034)</t>
        </is>
      </c>
      <c r="V127" t="inlineStr">
        <is>
          <t>Excavator bucket swing to dump / truck</t>
        </is>
      </c>
      <c r="W127" t="inlineStr">
        <is>
          <t>Spoil heap formation</t>
        </is>
      </c>
      <c r="X127" t="inlineStr">
        <is>
          <t>None</t>
        </is>
      </c>
      <c r="Y127" t="inlineStr">
        <is>
          <t>None</t>
        </is>
      </c>
      <c r="AA127" t="inlineStr">
        <is>
          <t>Foundation &amp; Pipeline Trenching|Hard rock (blasting permitted)|Manual labor (depth ≤1.5m)|Excavating post holes 0.1-0.5 cum in hard rock blast</t>
        </is>
      </c>
      <c r="AB127" t="inlineStr">
        <is>
          <t>Foundation &amp; Pipeline Trenching|Hard rock (blasting permitted)|Manual labor (depth ≤1.5m)</t>
        </is>
      </c>
      <c r="AC127" t="n">
        <v>10</v>
      </c>
      <c r="AD127" t="inlineStr">
        <is>
          <t>hole</t>
        </is>
      </c>
      <c r="AE127" t="n">
        <v>222.3</v>
      </c>
      <c r="AF127"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Hard rock (requiring blasting) Details of cost for 10 holes- Earth work 10 x 0.3 (avg) = 3.0 cum</t>
        </is>
      </c>
      <c r="AG127" t="inlineStr">
        <is>
          <t>Post hole auger / crowbar</t>
        </is>
      </c>
      <c r="AH127" t="inlineStr">
        <is>
          <t>Hand shovel around hole</t>
        </is>
      </c>
      <c r="AI127" t="inlineStr">
        <is>
          <t>Neat collar stacking</t>
        </is>
      </c>
      <c r="AJ127" t="inlineStr">
        <is>
          <t>None</t>
        </is>
      </c>
      <c r="AK127" t="inlineStr">
        <is>
          <t>None</t>
        </is>
      </c>
      <c r="AL127" s="88" t="inlineStr">
        <is>
          <t>Levelling &amp; neatly dressing disposed soil</t>
        </is>
      </c>
    </row>
    <row r="128" ht="22" customHeight="1">
      <c r="A128" s="16" t="inlineStr">
        <is>
          <t>Foundation &amp; Pipeline Trenching</t>
        </is>
      </c>
      <c r="B128" s="76" t="inlineStr">
        <is>
          <t>Ordinary rock</t>
        </is>
      </c>
      <c r="C128" s="76" t="inlineStr">
        <is>
          <t>Mechanical (Hydraulic Excavator 0.9 cum)</t>
        </is>
      </c>
      <c r="D128" s="76" t="inlineStr">
        <is>
          <t>Open areas &amp; wide foundation trenches</t>
        </is>
      </c>
      <c r="E128" s="28" t="inlineStr">
        <is>
          <t>10 cum</t>
        </is>
      </c>
      <c r="F128" s="32" t="inlineStr">
        <is>
          <t>Plant &amp; Machinery</t>
        </is>
      </c>
      <c r="G128" s="21" t="inlineStr">
        <is>
          <t>0017</t>
        </is>
      </c>
      <c r="H128" s="76" t="inlineStr">
        <is>
          <t>Hire – Tipper</t>
        </is>
      </c>
      <c r="I128" s="86" t="n">
        <v>0.063</v>
      </c>
      <c r="J128" s="50" t="inlineStr">
        <is>
          <t>day</t>
        </is>
      </c>
      <c r="K128" s="51" t="n">
        <v>1700</v>
      </c>
      <c r="L128" s="84" t="n">
        <v>107.1</v>
      </c>
      <c r="M128" s="52" t="n">
        <v>4.1</v>
      </c>
      <c r="N128" s="89" t="n">
        <v>158.7301587301587</v>
      </c>
      <c r="O128" s="39" t="inlineStr">
        <is>
          <t>Manual gang trim in ordinary rock: 0.20 Beldar-day.</t>
        </is>
      </c>
      <c r="P128" t="inlineStr">
        <is>
          <t>Foundation &amp; Pipeline Trenching|Ordinary rock|Mechanical (Hydraulic Excavator 0.9 cum)|Open areas &amp; wide foundation trenches|2</t>
        </is>
      </c>
      <c r="Q128" t="n">
        <v>2</v>
      </c>
      <c r="R128" t="n">
        <v>10</v>
      </c>
      <c r="S128" t="inlineStr">
        <is>
          <t>cum</t>
        </is>
      </c>
      <c r="T128" t="n">
        <v>352.45</v>
      </c>
      <c r="U128" t="inlineStr">
        <is>
          <t>Hydraulic Excavator 0.9 cum (0034)</t>
        </is>
      </c>
      <c r="V128" t="inlineStr">
        <is>
          <t>Excavator bucket swing to dump / truck</t>
        </is>
      </c>
      <c r="W128" t="inlineStr">
        <is>
          <t>Spoil heap formation</t>
        </is>
      </c>
      <c r="X128" t="inlineStr">
        <is>
          <t>None</t>
        </is>
      </c>
      <c r="Y128" t="inlineStr">
        <is>
          <t>None</t>
        </is>
      </c>
      <c r="AA128" t="inlineStr">
        <is>
          <t>Foundation &amp; Pipeline Trenching|Hard rock (blasting prohibited)|Manual labor (depth ≤1.5m)|Excavating post holes 0.1-0.5 cum in hard rock chiseled</t>
        </is>
      </c>
      <c r="AB128" t="inlineStr">
        <is>
          <t>Foundation &amp; Pipeline Trenching|Hard rock (blasting prohibited)|Manual labor (depth ≤1.5m)</t>
        </is>
      </c>
      <c r="AC128" t="n">
        <v>10</v>
      </c>
      <c r="AD128" t="inlineStr">
        <is>
          <t>hole</t>
        </is>
      </c>
      <c r="AE128" t="n">
        <v>327.8</v>
      </c>
      <c r="AF128"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Hard rock (blasting prohibited) Details of cost for 10 holes- Earth work 10 x 0.3 (avg) = 3.0 cum</t>
        </is>
      </c>
      <c r="AG128" t="inlineStr">
        <is>
          <t>Post hole auger / crowbar</t>
        </is>
      </c>
      <c r="AH128" t="inlineStr">
        <is>
          <t>Hand shovel around hole</t>
        </is>
      </c>
      <c r="AI128" t="inlineStr">
        <is>
          <t>Neat collar stacking</t>
        </is>
      </c>
      <c r="AJ128" t="inlineStr">
        <is>
          <t>None</t>
        </is>
      </c>
      <c r="AK128" t="inlineStr">
        <is>
          <t>None</t>
        </is>
      </c>
      <c r="AL128" s="88" t="inlineStr">
        <is>
          <t>Manual rock chiselling (no blasting)</t>
        </is>
      </c>
    </row>
    <row r="129" ht="22" customHeight="1">
      <c r="A129" s="16" t="inlineStr">
        <is>
          <t>Foundation &amp; Pipeline Trenching</t>
        </is>
      </c>
      <c r="B129" s="76" t="inlineStr">
        <is>
          <t>Ordinary rock</t>
        </is>
      </c>
      <c r="C129" s="76" t="inlineStr">
        <is>
          <t>Mechanical (Hydraulic Excavator 0.9 cum)</t>
        </is>
      </c>
      <c r="D129" s="76" t="inlineStr">
        <is>
          <t>Open areas &amp; wide foundation trenches</t>
        </is>
      </c>
      <c r="E129" s="28" t="inlineStr">
        <is>
          <t>10 cum</t>
        </is>
      </c>
      <c r="F129" s="32" t="inlineStr">
        <is>
          <t>Sundries &amp; Allowances</t>
        </is>
      </c>
      <c r="G129" s="21" t="inlineStr">
        <is>
          <t>0132</t>
        </is>
      </c>
      <c r="H129" s="76" t="inlineStr">
        <is>
          <t>Rock Excavator</t>
        </is>
      </c>
      <c r="I129" s="86" t="n">
        <v>0.705</v>
      </c>
      <c r="J129" s="50" t="inlineStr">
        <is>
          <t>day</t>
        </is>
      </c>
      <c r="K129" s="51" t="n">
        <v>558</v>
      </c>
      <c r="L129" s="84" t="n">
        <v>393.39</v>
      </c>
      <c r="M129" s="52" t="n">
        <v>14.9</v>
      </c>
      <c r="N129" s="89" t="n">
        <v>14.18439716312057</v>
      </c>
      <c r="O129" s="39" t="inlineStr">
        <is>
          <t>Manual cleanup in ordinary rock: 0.20 Coolie-day.</t>
        </is>
      </c>
      <c r="P129" t="inlineStr">
        <is>
          <t>Foundation &amp; Pipeline Trenching|Ordinary rock|Mechanical (Hydraulic Excavator 0.9 cum)|Open areas &amp; wide foundation trenches|3</t>
        </is>
      </c>
      <c r="Q129" t="n">
        <v>3</v>
      </c>
      <c r="R129" t="n">
        <v>10</v>
      </c>
      <c r="S129" t="inlineStr">
        <is>
          <t>cum</t>
        </is>
      </c>
      <c r="T129" t="n">
        <v>352.45</v>
      </c>
      <c r="U129" t="inlineStr">
        <is>
          <t>Hydraulic Excavator 0.9 cum (0034)</t>
        </is>
      </c>
      <c r="V129" t="inlineStr">
        <is>
          <t>Excavator bucket swing to dump / truck</t>
        </is>
      </c>
      <c r="W129" t="inlineStr">
        <is>
          <t>Spoil heap formation</t>
        </is>
      </c>
      <c r="X129" t="inlineStr">
        <is>
          <t>None</t>
        </is>
      </c>
      <c r="Y129" t="inlineStr">
        <is>
          <t>None</t>
        </is>
      </c>
      <c r="AA129" t="inlineStr">
        <is>
          <t>Site Clearance &amp; Tree Felling|All kinds of soil|Manual labor (depth ≤1.5m)|Clearing jungle &amp; rank vegetation uprooting</t>
        </is>
      </c>
      <c r="AB129" t="inlineStr">
        <is>
          <t>Site Clearance &amp; Tree Felling|All kinds of soil|Manual labor (depth ≤1.5m)</t>
        </is>
      </c>
      <c r="AC129" t="n">
        <v>100</v>
      </c>
      <c r="AD129" t="inlineStr">
        <is>
          <t>sqm</t>
        </is>
      </c>
      <c r="AE129" t="n">
        <v>12.55</v>
      </c>
      <c r="AF129" t="inlineStr">
        <is>
          <t>Clearing jungle including uprooting of rank vegetation, grass, brush wood, trees and saplings of girth up to 30 cm measured at a height of 1 m above ground level and removal of rubbish up to a distance of 50 m outside the periphery of the area cleared. Details of cost for 100 sqm. LABOUR</t>
        </is>
      </c>
      <c r="AG129" t="inlineStr">
        <is>
          <t>Beldar billhook &amp; mattock</t>
        </is>
      </c>
      <c r="AH129" t="inlineStr">
        <is>
          <t>Disposal rubbish up to 50m</t>
        </is>
      </c>
      <c r="AI129" t="inlineStr">
        <is>
          <t>Burning / stacking</t>
        </is>
      </c>
      <c r="AJ129" t="inlineStr">
        <is>
          <t>None</t>
        </is>
      </c>
      <c r="AK129" t="inlineStr">
        <is>
          <t>None</t>
        </is>
      </c>
      <c r="AL129" s="88" t="inlineStr">
        <is>
          <t>Open areas &amp; wide foundation trenches</t>
        </is>
      </c>
    </row>
    <row r="130" ht="22" customHeight="1">
      <c r="A130" s="16" t="inlineStr">
        <is>
          <t>Foundation &amp; Pipeline Trenching</t>
        </is>
      </c>
      <c r="B130" s="76" t="inlineStr">
        <is>
          <t>Ordinary rock</t>
        </is>
      </c>
      <c r="C130" s="76" t="inlineStr">
        <is>
          <t>Mechanical (Hydraulic Excavator 0.9 cum)</t>
        </is>
      </c>
      <c r="D130" s="76" t="inlineStr">
        <is>
          <t>Open areas &amp; wide foundation trenches</t>
        </is>
      </c>
      <c r="E130" s="28" t="inlineStr">
        <is>
          <t>10 cum</t>
        </is>
      </c>
      <c r="F130" s="32" t="inlineStr">
        <is>
          <t>Sundries &amp; Allowances</t>
        </is>
      </c>
      <c r="G130" s="21" t="inlineStr">
        <is>
          <t>0133</t>
        </is>
      </c>
      <c r="H130" s="76" t="inlineStr">
        <is>
          <t>Rock Breaker</t>
        </is>
      </c>
      <c r="I130" s="86" t="n">
        <v>1.59</v>
      </c>
      <c r="J130" s="50" t="inlineStr">
        <is>
          <t>day</t>
        </is>
      </c>
      <c r="K130" s="51" t="n">
        <v>558</v>
      </c>
      <c r="L130" s="84" t="n">
        <v>887.22</v>
      </c>
      <c r="M130" s="52" t="n">
        <v>33.7</v>
      </c>
      <c r="N130" s="89" t="n">
        <v>6.289308176100628</v>
      </c>
      <c r="O130" s="39" t="inlineStr"/>
      <c r="P130" t="inlineStr">
        <is>
          <t>Foundation &amp; Pipeline Trenching|Ordinary rock|Mechanical (Hydraulic Excavator 0.9 cum)|Open areas &amp; wide foundation trenches|4</t>
        </is>
      </c>
      <c r="Q130" t="n">
        <v>4</v>
      </c>
      <c r="R130" t="n">
        <v>10</v>
      </c>
      <c r="S130" t="inlineStr">
        <is>
          <t>cum</t>
        </is>
      </c>
      <c r="T130" t="n">
        <v>352.45</v>
      </c>
      <c r="U130" t="inlineStr">
        <is>
          <t>Hydraulic Excavator 0.9 cum (0034)</t>
        </is>
      </c>
      <c r="V130" t="inlineStr">
        <is>
          <t>Excavator bucket swing to dump / truck</t>
        </is>
      </c>
      <c r="W130" t="inlineStr">
        <is>
          <t>Spoil heap formation</t>
        </is>
      </c>
      <c r="X130" t="inlineStr">
        <is>
          <t>None</t>
        </is>
      </c>
      <c r="Y130" t="inlineStr">
        <is>
          <t>None</t>
        </is>
      </c>
      <c r="AA130" t="inlineStr">
        <is>
          <t>Site Clearance &amp; Tree Felling|All kinds of soil|Manual labor (depth ≤1.5m)|Clearing grass &amp; removal of rubbish</t>
        </is>
      </c>
      <c r="AB130" t="inlineStr">
        <is>
          <t>Site Clearance &amp; Tree Felling|All kinds of soil|Manual labor (depth ≤1.5m)</t>
        </is>
      </c>
      <c r="AC130" t="n">
        <v>100</v>
      </c>
      <c r="AD130" t="inlineStr">
        <is>
          <t>sqm</t>
        </is>
      </c>
      <c r="AE130" t="n">
        <v>6.4</v>
      </c>
      <c r="AF130" t="inlineStr">
        <is>
          <t>Clearing grass and removal of the rubbish up to a distance of 50 m outside the periphery of the area cleared. Details of cost for 100 sqm. LABOUR</t>
        </is>
      </c>
      <c r="AG130" t="inlineStr">
        <is>
          <t>Grass sickle &amp; scraper</t>
        </is>
      </c>
      <c r="AH130" t="inlineStr">
        <is>
          <t>Disposal rubbish up to 50m</t>
        </is>
      </c>
      <c r="AI130" t="inlineStr">
        <is>
          <t>Disposal outside area</t>
        </is>
      </c>
      <c r="AJ130" t="inlineStr">
        <is>
          <t>None</t>
        </is>
      </c>
      <c r="AK130" t="inlineStr">
        <is>
          <t>None</t>
        </is>
      </c>
      <c r="AL130" s="88" t="inlineStr">
        <is>
          <t>POST-CONSTRUCTION: drilling 12mm holes &amp; injecting</t>
        </is>
      </c>
    </row>
    <row r="131" ht="22" customHeight="1">
      <c r="A131" s="16" t="inlineStr">
        <is>
          <t>Foundation &amp; Pipeline Trenching</t>
        </is>
      </c>
      <c r="B131" s="76" t="inlineStr">
        <is>
          <t>Ordinary rock</t>
        </is>
      </c>
      <c r="C131" s="76" t="inlineStr">
        <is>
          <t>Mechanical (Hydraulic Excavator 0.9 cum)</t>
        </is>
      </c>
      <c r="D131" s="76" t="inlineStr">
        <is>
          <t>Open areas &amp; wide foundation trenches</t>
        </is>
      </c>
      <c r="E131" s="28" t="inlineStr">
        <is>
          <t>10 cum</t>
        </is>
      </c>
      <c r="F131" s="32" t="inlineStr">
        <is>
          <t>Sundries &amp; Allowances</t>
        </is>
      </c>
      <c r="G131" s="21" t="inlineStr">
        <is>
          <t>0134</t>
        </is>
      </c>
      <c r="H131" s="76" t="inlineStr">
        <is>
          <t>Rock Hole Driller</t>
        </is>
      </c>
      <c r="I131" s="86" t="n">
        <v>0.355</v>
      </c>
      <c r="J131" s="50" t="inlineStr">
        <is>
          <t>day</t>
        </is>
      </c>
      <c r="K131" s="51" t="n">
        <v>558</v>
      </c>
      <c r="L131" s="84" t="n">
        <v>198.09</v>
      </c>
      <c r="M131" s="52" t="n">
        <v>7.5</v>
      </c>
      <c r="N131" s="89" t="n">
        <v>28.16901408450704</v>
      </c>
      <c r="O131" s="39" t="inlineStr"/>
      <c r="P131" t="inlineStr">
        <is>
          <t>Foundation &amp; Pipeline Trenching|Ordinary rock|Mechanical (Hydraulic Excavator 0.9 cum)|Open areas &amp; wide foundation trenches|5</t>
        </is>
      </c>
      <c r="Q131" t="n">
        <v>5</v>
      </c>
      <c r="R131" t="n">
        <v>10</v>
      </c>
      <c r="S131" t="inlineStr">
        <is>
          <t>cum</t>
        </is>
      </c>
      <c r="T131" t="n">
        <v>352.45</v>
      </c>
      <c r="U131" t="inlineStr">
        <is>
          <t>Hydraulic Excavator 0.9 cum (0034)</t>
        </is>
      </c>
      <c r="V131" t="inlineStr">
        <is>
          <t>Excavator bucket swing to dump / truck</t>
        </is>
      </c>
      <c r="W131" t="inlineStr">
        <is>
          <t>Spoil heap formation</t>
        </is>
      </c>
      <c r="X131" t="inlineStr">
        <is>
          <t>None</t>
        </is>
      </c>
      <c r="Y131" t="inlineStr">
        <is>
          <t>None</t>
        </is>
      </c>
      <c r="AA131" t="inlineStr">
        <is>
          <t>Site Clearance &amp; Tree Felling|All kinds of soil|Manual labor (depth ≤1.5m)|Tree felling girth 30-60 cm girth (cutting &amp; grubbing roots)</t>
        </is>
      </c>
      <c r="AB131" t="inlineStr">
        <is>
          <t>Site Clearance &amp; Tree Felling|All kinds of soil|Manual labor (depth ≤1.5m)</t>
        </is>
      </c>
      <c r="AC131" t="n">
        <v>1</v>
      </c>
      <c r="AD131" t="inlineStr">
        <is>
          <t>tree</t>
        </is>
      </c>
      <c r="AE131" t="n">
        <v>380.6</v>
      </c>
      <c r="AF131" t="inlineStr">
        <is>
          <t>Felling trees of the girth (measured at a height of 1 m above ground level), including cutting of trunks and branches, removing the roots and stacking of serviceable material and disposal of unserviceable material.: Beyond 30 cm girth upto and including 60 cm girth Details of cost for one tree of 15cm dia and average height 3m LABOUR quantity of wood- 3.14/4x0.15x0.15x3 = 0.053 cum. Add 20% for branches = 0.011 cum. Total = 0.064 cum. Labour for cutting in trees removing the roots from the soil and then filling in Pit and depresions.</t>
        </is>
      </c>
      <c r="AG131" t="inlineStr">
        <is>
          <t>Two-man crosscut saw, axe, rope rigging</t>
        </is>
      </c>
      <c r="AH131" t="inlineStr">
        <is>
          <t>Cutting trunks into 2.5m logs &amp; stacking</t>
        </is>
      </c>
      <c r="AI131" t="inlineStr">
        <is>
          <t>Grubbing roots &amp; filling hollows</t>
        </is>
      </c>
      <c r="AJ131" t="inlineStr">
        <is>
          <t>None</t>
        </is>
      </c>
      <c r="AK131" t="inlineStr">
        <is>
          <t>Ramming hollows</t>
        </is>
      </c>
      <c r="AL131" s="88" t="inlineStr">
        <is>
          <t>Pipe / Cable trenches (dia 80-300 mm)</t>
        </is>
      </c>
    </row>
    <row r="132" ht="22" customHeight="1">
      <c r="A132" s="16" t="inlineStr">
        <is>
          <t>Foundation &amp; Pipeline Trenching</t>
        </is>
      </c>
      <c r="B132" s="76" t="inlineStr">
        <is>
          <t>Ordinary rock</t>
        </is>
      </c>
      <c r="C132" s="76" t="inlineStr">
        <is>
          <t>Mechanical (Hydraulic Excavator 0.9 cum)</t>
        </is>
      </c>
      <c r="D132" s="76" t="inlineStr">
        <is>
          <t>Open areas &amp; wide foundation trenches</t>
        </is>
      </c>
      <c r="E132" s="28" t="inlineStr">
        <is>
          <t>10 cum</t>
        </is>
      </c>
      <c r="F132" s="32" t="inlineStr">
        <is>
          <t>Labour (Semi-Skilled / Operational)</t>
        </is>
      </c>
      <c r="G132" s="21" t="inlineStr">
        <is>
          <t>0114</t>
        </is>
      </c>
      <c r="H132" s="76" t="inlineStr">
        <is>
          <t>Beldar</t>
        </is>
      </c>
      <c r="I132" s="86" t="n">
        <v>0.5</v>
      </c>
      <c r="J132" s="50" t="inlineStr">
        <is>
          <t>day</t>
        </is>
      </c>
      <c r="K132" s="51" t="n">
        <v>558</v>
      </c>
      <c r="L132" s="84" t="n">
        <v>279</v>
      </c>
      <c r="M132" s="52" t="n">
        <v>10.6</v>
      </c>
      <c r="N132" s="89" t="n">
        <v>20</v>
      </c>
      <c r="O132" s="39" t="inlineStr"/>
      <c r="P132" t="inlineStr">
        <is>
          <t>Foundation &amp; Pipeline Trenching|Ordinary rock|Mechanical (Hydraulic Excavator 0.9 cum)|Open areas &amp; wide foundation trenches|6</t>
        </is>
      </c>
      <c r="Q132" t="n">
        <v>6</v>
      </c>
      <c r="R132" t="n">
        <v>10</v>
      </c>
      <c r="S132" t="inlineStr">
        <is>
          <t>cum</t>
        </is>
      </c>
      <c r="T132" t="n">
        <v>352.45</v>
      </c>
      <c r="U132" t="inlineStr">
        <is>
          <t>Hydraulic Excavator 0.9 cum (0034)</t>
        </is>
      </c>
      <c r="V132" t="inlineStr">
        <is>
          <t>Excavator bucket swing to dump / truck</t>
        </is>
      </c>
      <c r="W132" t="inlineStr">
        <is>
          <t>Spoil heap formation</t>
        </is>
      </c>
      <c r="X132" t="inlineStr">
        <is>
          <t>None</t>
        </is>
      </c>
      <c r="Y132" t="inlineStr">
        <is>
          <t>None</t>
        </is>
      </c>
      <c r="AA132" t="inlineStr">
        <is>
          <t>Site Clearance &amp; Tree Felling|All kinds of soil|Manual labor (depth ≤1.5m)|Tree felling girth 60-120 cm girth (cutting &amp; grubbing roots)</t>
        </is>
      </c>
      <c r="AB132" t="inlineStr">
        <is>
          <t>Site Clearance &amp; Tree Felling|All kinds of soil|Manual labor (depth ≤1.5m)</t>
        </is>
      </c>
      <c r="AC132" t="n">
        <v>1</v>
      </c>
      <c r="AD132" t="inlineStr">
        <is>
          <t>tree</t>
        </is>
      </c>
      <c r="AE132" t="n">
        <v>1694.4</v>
      </c>
      <c r="AF132" t="inlineStr">
        <is>
          <t>Felling trees of the girth (measured at a height of 1 m above ground level), including cutting of trunks and branches, removing the roots and stacking of serviceable material and disposal of unserviceable material.: Beyond 60 cm girth upto and including 120 cm girth Details of cost for a tree of average girth 90cm, average dia. 0.3m and length 5m LABOUR quantity of wood- (22x0.30x0.30x5)/ 7x4 = 0.35 cum + 20% branches = 0.07 cum. Total = 0.42 cum Labour for cutting trees, removing roots from the soil and filling in pit &amp; depressions:</t>
        </is>
      </c>
      <c r="AG132" t="inlineStr">
        <is>
          <t>Two-man crosscut saw, axe, rope rigging</t>
        </is>
      </c>
      <c r="AH132" t="inlineStr">
        <is>
          <t>Cutting trunks into 2.5m logs &amp; stacking</t>
        </is>
      </c>
      <c r="AI132" t="inlineStr">
        <is>
          <t>Grubbing roots &amp; filling hollows</t>
        </is>
      </c>
      <c r="AJ132" t="inlineStr">
        <is>
          <t>None</t>
        </is>
      </c>
      <c r="AK132" t="inlineStr">
        <is>
          <t>Ramming hollows</t>
        </is>
      </c>
      <c r="AL132" s="88" t="inlineStr">
        <is>
          <t>Pipe / Cable trenches (dia &gt; 300 mm)</t>
        </is>
      </c>
    </row>
    <row r="133" ht="22" customHeight="1">
      <c r="A133" s="16" t="inlineStr">
        <is>
          <t>Foundation &amp; Pipeline Trenching</t>
        </is>
      </c>
      <c r="B133" s="76" t="inlineStr">
        <is>
          <t>Ordinary rock</t>
        </is>
      </c>
      <c r="C133" s="76" t="inlineStr">
        <is>
          <t>Mechanical (Hydraulic Excavator 0.9 cum)</t>
        </is>
      </c>
      <c r="D133" s="76" t="inlineStr">
        <is>
          <t>Open areas &amp; wide foundation trenches</t>
        </is>
      </c>
      <c r="E133" s="28" t="inlineStr">
        <is>
          <t>10 cum</t>
        </is>
      </c>
      <c r="F133" s="32" t="inlineStr">
        <is>
          <t>Labour (Unskilled / Haulage)</t>
        </is>
      </c>
      <c r="G133" s="21" t="inlineStr">
        <is>
          <t>0115</t>
        </is>
      </c>
      <c r="H133" s="76" t="inlineStr">
        <is>
          <t>Coolie</t>
        </is>
      </c>
      <c r="I133" s="86" t="n">
        <v>0.55</v>
      </c>
      <c r="J133" s="50" t="inlineStr">
        <is>
          <t>day</t>
        </is>
      </c>
      <c r="K133" s="51" t="n">
        <v>558</v>
      </c>
      <c r="L133" s="84" t="n">
        <v>306.9</v>
      </c>
      <c r="M133" s="52" t="n">
        <v>11.7</v>
      </c>
      <c r="N133" s="89" t="n">
        <v>18.18181818181818</v>
      </c>
      <c r="O133" s="39" t="inlineStr"/>
      <c r="P133" t="inlineStr">
        <is>
          <t>Foundation &amp; Pipeline Trenching|Ordinary rock|Mechanical (Hydraulic Excavator 0.9 cum)|Open areas &amp; wide foundation trenches|7</t>
        </is>
      </c>
      <c r="Q133" t="n">
        <v>7</v>
      </c>
      <c r="R133" t="n">
        <v>10</v>
      </c>
      <c r="S133" t="inlineStr">
        <is>
          <t>cum</t>
        </is>
      </c>
      <c r="T133" t="n">
        <v>352.45</v>
      </c>
      <c r="U133" t="inlineStr">
        <is>
          <t>Hydraulic Excavator 0.9 cum (0034)</t>
        </is>
      </c>
      <c r="V133" t="inlineStr">
        <is>
          <t>Excavator bucket swing to dump / truck</t>
        </is>
      </c>
      <c r="W133" t="inlineStr">
        <is>
          <t>Spoil heap formation</t>
        </is>
      </c>
      <c r="X133" t="inlineStr">
        <is>
          <t>None</t>
        </is>
      </c>
      <c r="Y133" t="inlineStr">
        <is>
          <t>None</t>
        </is>
      </c>
      <c r="AA133" t="inlineStr">
        <is>
          <t>Site Clearance &amp; Tree Felling|All kinds of soil|Manual labor (depth ≤1.5m)|Tree felling girth 120-240 cm girth (cutting &amp; grubbing roots)</t>
        </is>
      </c>
      <c r="AB133" t="inlineStr">
        <is>
          <t>Site Clearance &amp; Tree Felling|All kinds of soil|Manual labor (depth ≤1.5m)</t>
        </is>
      </c>
      <c r="AC133" t="n">
        <v>1</v>
      </c>
      <c r="AD133" t="inlineStr">
        <is>
          <t>tree</t>
        </is>
      </c>
      <c r="AE133" t="n">
        <v>7860.55</v>
      </c>
      <c r="AF133" t="inlineStr">
        <is>
          <t>Felling trees of the girth (measured at a height of 1 m above ground level), including cutting of trunks and branches, removing the roots and stacking of serviceable material and disposal of unserviceable material.: Beyond 120 cm girth upto and including 240 cm girth Details of cost for a tree of average girth 180cm, average dia. 0.6m and length 7m LABOUR quantity of wood- (22x06x0.60x7)/ 7x4 = 1.98 cum.+ 20% branches = 0.40 cum. Total = 2.38 cum. Labour for cutting trees, removing roots from the soil and filling in pit &amp; depressions:</t>
        </is>
      </c>
      <c r="AG133" t="inlineStr">
        <is>
          <t>Two-man crosscut saw, axe, rope rigging</t>
        </is>
      </c>
      <c r="AH133" t="inlineStr">
        <is>
          <t>Cutting trunks into 2.5m logs &amp; stacking</t>
        </is>
      </c>
      <c r="AI133" t="inlineStr">
        <is>
          <t>Grubbing roots &amp; filling hollows</t>
        </is>
      </c>
      <c r="AJ133" t="inlineStr">
        <is>
          <t>None</t>
        </is>
      </c>
      <c r="AK133" t="inlineStr">
        <is>
          <t>Ramming hollows</t>
        </is>
      </c>
      <c r="AL133" s="88" t="inlineStr">
        <is>
          <t>Pipe / Cable trenches (dia ≤ 80 mm)</t>
        </is>
      </c>
    </row>
    <row r="134" ht="22" customHeight="1">
      <c r="A134" s="16" t="inlineStr">
        <is>
          <t>Foundation &amp; Pipeline Trenching</t>
        </is>
      </c>
      <c r="B134" s="76" t="inlineStr">
        <is>
          <t>Ordinary rock</t>
        </is>
      </c>
      <c r="C134" s="76" t="inlineStr">
        <is>
          <t>Mechanical (Hydraulic Excavator 0.9 cum)</t>
        </is>
      </c>
      <c r="D134" s="76" t="inlineStr">
        <is>
          <t>Open areas &amp; wide foundation trenches</t>
        </is>
      </c>
      <c r="E134" s="28" t="inlineStr">
        <is>
          <t>10 cum</t>
        </is>
      </c>
      <c r="F134" s="32" t="inlineStr">
        <is>
          <t>Sundries &amp; Allowances</t>
        </is>
      </c>
      <c r="G134" s="21" t="inlineStr">
        <is>
          <t>9999</t>
        </is>
      </c>
      <c r="H134" s="76" t="inlineStr">
        <is>
          <t>Sundries</t>
        </is>
      </c>
      <c r="I134" s="86" t="n">
        <v>10.79</v>
      </c>
      <c r="J134" s="50" t="inlineStr">
        <is>
          <t>L.S.</t>
        </is>
      </c>
      <c r="K134" s="51" t="n">
        <v>2</v>
      </c>
      <c r="L134" s="84" t="n">
        <v>21.58</v>
      </c>
      <c r="M134" s="52" t="n">
        <v>0.8</v>
      </c>
      <c r="N134" s="32" t="inlineStr"/>
      <c r="O134" s="39" t="inlineStr"/>
      <c r="P134" t="inlineStr">
        <is>
          <t>Foundation &amp; Pipeline Trenching|Ordinary rock|Mechanical (Hydraulic Excavator 0.9 cum)|Open areas &amp; wide foundation trenches|8</t>
        </is>
      </c>
      <c r="Q134" t="n">
        <v>8</v>
      </c>
      <c r="R134" t="n">
        <v>10</v>
      </c>
      <c r="S134" t="inlineStr">
        <is>
          <t>cum</t>
        </is>
      </c>
      <c r="T134" t="n">
        <v>352.45</v>
      </c>
      <c r="U134" t="inlineStr">
        <is>
          <t>Hydraulic Excavator 0.9 cum (0034)</t>
        </is>
      </c>
      <c r="V134" t="inlineStr">
        <is>
          <t>Excavator bucket swing to dump / truck</t>
        </is>
      </c>
      <c r="W134" t="inlineStr">
        <is>
          <t>Spoil heap formation</t>
        </is>
      </c>
      <c r="X134" t="inlineStr">
        <is>
          <t>None</t>
        </is>
      </c>
      <c r="Y134" t="inlineStr">
        <is>
          <t>None</t>
        </is>
      </c>
      <c r="AA134" t="inlineStr">
        <is>
          <t>Site Clearance &amp; Tree Felling|All kinds of soil|Manual labor (depth ≤1.5m)|Tree felling girth above 240 cm girth (cutting &amp; grubbing roots)</t>
        </is>
      </c>
      <c r="AB134" t="inlineStr">
        <is>
          <t>Site Clearance &amp; Tree Felling|All kinds of soil|Manual labor (depth ≤1.5m)</t>
        </is>
      </c>
      <c r="AC134" t="n">
        <v>1</v>
      </c>
      <c r="AD134" t="inlineStr">
        <is>
          <t>tree</t>
        </is>
      </c>
      <c r="AE134" t="n">
        <v>15749.95</v>
      </c>
      <c r="AF134" t="inlineStr">
        <is>
          <t>Felling trees of the girth (measured at a height of 1 m above ground level), including cutting of trunks and branches, removing the roots and stacking of serviceable material and disposal of unserviceable material.: Above 240 cm girth Details of cost for a tree of average girth 300cm, average dia. 1m and length 10m LABOUR quantity of wood- (22 x 1 x 1 x 10)/ 7x4 = 7.86 cum + 20% Branches = 1.57 cum. Total = 9.43 cum. Labour for cutting trees, removing roots from the soil and filling in pit &amp; depressions:</t>
        </is>
      </c>
      <c r="AG134" t="inlineStr">
        <is>
          <t>Two-man crosscut saw, axe, rope rigging</t>
        </is>
      </c>
      <c r="AH134" t="inlineStr">
        <is>
          <t>Cutting trunks into 2.5m logs &amp; stacking</t>
        </is>
      </c>
      <c r="AI134" t="inlineStr">
        <is>
          <t>Grubbing roots &amp; filling hollows</t>
        </is>
      </c>
      <c r="AJ134" t="inlineStr">
        <is>
          <t>None</t>
        </is>
      </c>
      <c r="AK134" t="inlineStr">
        <is>
          <t>Ramming hollows</t>
        </is>
      </c>
      <c r="AL134" s="88" t="inlineStr">
        <is>
          <t>Pipe trenches in ordinary rock (≤80mm)</t>
        </is>
      </c>
    </row>
    <row r="135" ht="22" customHeight="1">
      <c r="A135" s="16" t="inlineStr">
        <is>
          <t>Foundation &amp; Pipeline Trenching</t>
        </is>
      </c>
      <c r="B135" s="76" t="inlineStr">
        <is>
          <t>Hard rock (blasting permitted)</t>
        </is>
      </c>
      <c r="C135" s="76" t="inlineStr">
        <is>
          <t>Mechanical (Hydraulic Excavator 0.9 cum)</t>
        </is>
      </c>
      <c r="D135" s="76" t="inlineStr">
        <is>
          <t>Rock blasting + Excavator loading</t>
        </is>
      </c>
      <c r="E135" s="28" t="inlineStr">
        <is>
          <t>10 cum</t>
        </is>
      </c>
      <c r="F135" s="32" t="inlineStr">
        <is>
          <t>Plant &amp; Machinery</t>
        </is>
      </c>
      <c r="G135" s="21" t="inlineStr">
        <is>
          <t>0020</t>
        </is>
      </c>
      <c r="H135" s="76" t="inlineStr">
        <is>
          <t>Hydraulic Excavator (3D) incl driver+fuel</t>
        </is>
      </c>
      <c r="I135" s="86" t="n">
        <v>0.125</v>
      </c>
      <c r="J135" s="50" t="inlineStr">
        <is>
          <t>day</t>
        </is>
      </c>
      <c r="K135" s="51" t="n">
        <v>7000</v>
      </c>
      <c r="L135" s="84" t="n">
        <v>875</v>
      </c>
      <c r="M135" s="52" t="n">
        <v>19.2</v>
      </c>
      <c r="N135" s="89" t="n">
        <v>80</v>
      </c>
      <c r="O135" s="39" t="inlineStr">
        <is>
          <t>Hard rock blasting: Jackhammer / drill helper: 1.40 Beldar-days.</t>
        </is>
      </c>
      <c r="P135" t="inlineStr">
        <is>
          <t>Foundation &amp; Pipeline Trenching|Hard rock (blasting permitted)|Mechanical (Hydraulic Excavator 0.9 cum)|Rock blasting + Excavator loading|1</t>
        </is>
      </c>
      <c r="Q135" t="n">
        <v>1</v>
      </c>
      <c r="R135" t="n">
        <v>10</v>
      </c>
      <c r="S135" t="inlineStr">
        <is>
          <t>cum</t>
        </is>
      </c>
      <c r="T135" t="n">
        <v>609.65</v>
      </c>
      <c r="U135" t="inlineStr">
        <is>
          <t>Compressor + Jack hammer drilling + Blasting</t>
        </is>
      </c>
      <c r="V135" t="inlineStr">
        <is>
          <t>Excavator bucket loading / disposal</t>
        </is>
      </c>
      <c r="W135" t="inlineStr">
        <is>
          <t>Rock dump</t>
        </is>
      </c>
      <c r="X135" t="inlineStr">
        <is>
          <t>None</t>
        </is>
      </c>
      <c r="Y135" t="inlineStr">
        <is>
          <t>None</t>
        </is>
      </c>
      <c r="AA135" t="inlineStr">
        <is>
          <t>Chemical Anti-Termite Treatment|All kinds of soil|Manual labor (depth ≤1.5m)|Supply chemical emulsion (Chlorpyrifos 20% EC)</t>
        </is>
      </c>
      <c r="AB135" t="inlineStr">
        <is>
          <t>Chemical Anti-Termite Treatment|All kinds of soil|Manual labor (depth ≤1.5m)</t>
        </is>
      </c>
      <c r="AC135" t="n">
        <v>100</v>
      </c>
      <c r="AD135" t="inlineStr">
        <is>
          <t>litre</t>
        </is>
      </c>
      <c r="AE135" t="n">
        <v>200.85</v>
      </c>
      <c r="AF135" t="inlineStr">
        <is>
          <t>Supplying chemical emulsion in sealed containers including delivery as specified.: Chlorpyriphos/ Lindane emulsifiable concentrate of 20% Details of cost of 100 litres</t>
        </is>
      </c>
      <c r="AG135" t="inlineStr">
        <is>
          <t>Material supply (100 Litres emulsion)</t>
        </is>
      </c>
      <c r="AH135" t="inlineStr">
        <is>
          <t>Sealed drums site storage</t>
        </is>
      </c>
      <c r="AI135" t="inlineStr">
        <is>
          <t>Chemical dilution preparation</t>
        </is>
      </c>
      <c r="AJ135" t="inlineStr">
        <is>
          <t>Water dilution</t>
        </is>
      </c>
      <c r="AK135" t="inlineStr">
        <is>
          <t>None</t>
        </is>
      </c>
      <c r="AL135" s="88" t="inlineStr">
        <is>
          <t>Ploughing ground (15-25 cm) &amp; watering</t>
        </is>
      </c>
    </row>
    <row r="136" ht="22" customHeight="1">
      <c r="A136" s="16" t="inlineStr">
        <is>
          <t>Foundation &amp; Pipeline Trenching</t>
        </is>
      </c>
      <c r="B136" s="76" t="inlineStr">
        <is>
          <t>Hard rock (blasting permitted)</t>
        </is>
      </c>
      <c r="C136" s="76" t="inlineStr">
        <is>
          <t>Mechanical (Hydraulic Excavator 0.9 cum)</t>
        </is>
      </c>
      <c r="D136" s="76" t="inlineStr">
        <is>
          <t>Rock blasting + Excavator loading</t>
        </is>
      </c>
      <c r="E136" s="28" t="inlineStr">
        <is>
          <t>10 cum</t>
        </is>
      </c>
      <c r="F136" s="32" t="inlineStr">
        <is>
          <t>Plant &amp; Machinery</t>
        </is>
      </c>
      <c r="G136" s="21" t="inlineStr">
        <is>
          <t>0017</t>
        </is>
      </c>
      <c r="H136" s="76" t="inlineStr">
        <is>
          <t>Hire – Tipper</t>
        </is>
      </c>
      <c r="I136" s="86" t="n">
        <v>0.125</v>
      </c>
      <c r="J136" s="50" t="inlineStr">
        <is>
          <t>day</t>
        </is>
      </c>
      <c r="K136" s="51" t="n">
        <v>1700</v>
      </c>
      <c r="L136" s="84" t="n">
        <v>212.5</v>
      </c>
      <c r="M136" s="52" t="n">
        <v>4.7</v>
      </c>
      <c r="N136" s="89" t="n">
        <v>80</v>
      </c>
      <c r="O136" s="39" t="inlineStr">
        <is>
          <t>Hard rock blasting: Miner / blaster charging holes: 0.35 miner-day.</t>
        </is>
      </c>
      <c r="P136" t="inlineStr">
        <is>
          <t>Foundation &amp; Pipeline Trenching|Hard rock (blasting permitted)|Mechanical (Hydraulic Excavator 0.9 cum)|Rock blasting + Excavator loading|2</t>
        </is>
      </c>
      <c r="Q136" t="n">
        <v>2</v>
      </c>
      <c r="R136" t="n">
        <v>10</v>
      </c>
      <c r="S136" t="inlineStr">
        <is>
          <t>cum</t>
        </is>
      </c>
      <c r="T136" t="n">
        <v>609.65</v>
      </c>
      <c r="U136" t="inlineStr">
        <is>
          <t>Compressor + Jack hammer drilling + Blasting</t>
        </is>
      </c>
      <c r="V136" t="inlineStr">
        <is>
          <t>Excavator bucket loading / disposal</t>
        </is>
      </c>
      <c r="W136" t="inlineStr">
        <is>
          <t>Rock dump</t>
        </is>
      </c>
      <c r="X136" t="inlineStr">
        <is>
          <t>None</t>
        </is>
      </c>
      <c r="Y136" t="inlineStr">
        <is>
          <t>None</t>
        </is>
      </c>
      <c r="AA136" t="inlineStr">
        <is>
          <t>Chemical Anti-Termite Treatment|All kinds of soil|Manual labor (depth ≤1.5m)|Treatment to bottom &amp; sides of foundation trenches</t>
        </is>
      </c>
      <c r="AB136" t="inlineStr">
        <is>
          <t>Chemical Anti-Termite Treatment|All kinds of soil|Manual labor (depth ≤1.5m)</t>
        </is>
      </c>
      <c r="AC136" t="n">
        <v>10</v>
      </c>
      <c r="AD136" t="inlineStr">
        <is>
          <t>m</t>
        </is>
      </c>
      <c r="AE136" t="n">
        <v>28.25</v>
      </c>
      <c r="AF136" t="inlineStr">
        <is>
          <t>CPWD DAR Item 2.35.1.1 - Earth Work</t>
        </is>
      </c>
      <c r="AG136" t="inlineStr">
        <is>
          <t>Chemical pressure pump &amp; spray lance</t>
        </is>
      </c>
      <c r="AH136" t="inlineStr">
        <is>
          <t>Lance application 5 L/sqm</t>
        </is>
      </c>
      <c r="AI136" t="inlineStr">
        <is>
          <t>Uniform ground saturation</t>
        </is>
      </c>
      <c r="AJ136" t="inlineStr">
        <is>
          <t>Chemical emulsion</t>
        </is>
      </c>
      <c r="AK136" t="inlineStr">
        <is>
          <t>None</t>
        </is>
      </c>
      <c r="AL136" s="88" t="inlineStr">
        <is>
          <t>Rock blasting + Excavator loading</t>
        </is>
      </c>
    </row>
    <row r="137" ht="22" customHeight="1">
      <c r="A137" s="16" t="inlineStr">
        <is>
          <t>Foundation &amp; Pipeline Trenching</t>
        </is>
      </c>
      <c r="B137" s="76" t="inlineStr">
        <is>
          <t>Hard rock (blasting permitted)</t>
        </is>
      </c>
      <c r="C137" s="76" t="inlineStr">
        <is>
          <t>Mechanical (Hydraulic Excavator 0.9 cum)</t>
        </is>
      </c>
      <c r="D137" s="76" t="inlineStr">
        <is>
          <t>Rock blasting + Excavator loading</t>
        </is>
      </c>
      <c r="E137" s="28" t="inlineStr">
        <is>
          <t>10 cum</t>
        </is>
      </c>
      <c r="F137" s="32" t="inlineStr">
        <is>
          <t>Sundries &amp; Allowances</t>
        </is>
      </c>
      <c r="G137" s="21" t="inlineStr">
        <is>
          <t>0132</t>
        </is>
      </c>
      <c r="H137" s="76" t="inlineStr">
        <is>
          <t>Rock Excavator</t>
        </is>
      </c>
      <c r="I137" s="86" t="n">
        <v>1.06</v>
      </c>
      <c r="J137" s="50" t="inlineStr">
        <is>
          <t>day</t>
        </is>
      </c>
      <c r="K137" s="51" t="n">
        <v>558</v>
      </c>
      <c r="L137" s="84" t="n">
        <v>591.48</v>
      </c>
      <c r="M137" s="52" t="n">
        <v>13</v>
      </c>
      <c r="N137" s="89" t="n">
        <v>9.433962264150942</v>
      </c>
      <c r="O137" s="39" t="inlineStr">
        <is>
          <t>Hard rock blasting: Clearing blasted muck: 1.40 Coolie-days.</t>
        </is>
      </c>
      <c r="P137" t="inlineStr">
        <is>
          <t>Foundation &amp; Pipeline Trenching|Hard rock (blasting permitted)|Mechanical (Hydraulic Excavator 0.9 cum)|Rock blasting + Excavator loading|3</t>
        </is>
      </c>
      <c r="Q137" t="n">
        <v>3</v>
      </c>
      <c r="R137" t="n">
        <v>10</v>
      </c>
      <c r="S137" t="inlineStr">
        <is>
          <t>cum</t>
        </is>
      </c>
      <c r="T137" t="n">
        <v>609.65</v>
      </c>
      <c r="U137" t="inlineStr">
        <is>
          <t>Compressor + Jack hammer drilling + Blasting</t>
        </is>
      </c>
      <c r="V137" t="inlineStr">
        <is>
          <t>Excavator bucket loading / disposal</t>
        </is>
      </c>
      <c r="W137" t="inlineStr">
        <is>
          <t>Rock dump</t>
        </is>
      </c>
      <c r="X137" t="inlineStr">
        <is>
          <t>None</t>
        </is>
      </c>
      <c r="Y137" t="inlineStr">
        <is>
          <t>None</t>
        </is>
      </c>
      <c r="AA137" t="inlineStr">
        <is>
          <t>Chemical Anti-Termite Treatment|All kinds of soil|Manual labor (depth ≤1.5m)|Treatment to backfill earth in contact with walls</t>
        </is>
      </c>
      <c r="AB137" t="inlineStr">
        <is>
          <t>Chemical Anti-Termite Treatment|All kinds of soil|Manual labor (depth ≤1.5m)</t>
        </is>
      </c>
      <c r="AC137" t="n">
        <v>10</v>
      </c>
      <c r="AD137" t="inlineStr">
        <is>
          <t>m</t>
        </is>
      </c>
      <c r="AE137" t="n">
        <v>39.45</v>
      </c>
      <c r="AF137" t="inlineStr">
        <is>
          <t>CPWD DAR Item 2.35.2.1 - Earth Work</t>
        </is>
      </c>
      <c r="AG137" t="inlineStr">
        <is>
          <t>Chemical pressure injection into backfill</t>
        </is>
      </c>
      <c r="AH137" t="inlineStr">
        <is>
          <t>Lance rodding 7.5 L/sqm</t>
        </is>
      </c>
      <c r="AI137" t="inlineStr">
        <is>
          <t>Contact zone injection</t>
        </is>
      </c>
      <c r="AJ137" t="inlineStr">
        <is>
          <t>Chemical emulsion</t>
        </is>
      </c>
      <c r="AK137" t="inlineStr">
        <is>
          <t>None</t>
        </is>
      </c>
      <c r="AL137" s="88" t="inlineStr">
        <is>
          <t>Rock blasting + manual trench excavation</t>
        </is>
      </c>
    </row>
    <row r="138" ht="22" customHeight="1">
      <c r="A138" s="16" t="inlineStr">
        <is>
          <t>Foundation &amp; Pipeline Trenching</t>
        </is>
      </c>
      <c r="B138" s="76" t="inlineStr">
        <is>
          <t>Hard rock (blasting permitted)</t>
        </is>
      </c>
      <c r="C138" s="76" t="inlineStr">
        <is>
          <t>Mechanical (Hydraulic Excavator 0.9 cum)</t>
        </is>
      </c>
      <c r="D138" s="76" t="inlineStr">
        <is>
          <t>Rock blasting + Excavator loading</t>
        </is>
      </c>
      <c r="E138" s="28" t="inlineStr">
        <is>
          <t>10 cum</t>
        </is>
      </c>
      <c r="F138" s="32" t="inlineStr">
        <is>
          <t>Sundries &amp; Allowances</t>
        </is>
      </c>
      <c r="G138" s="21" t="inlineStr">
        <is>
          <t>0133</t>
        </is>
      </c>
      <c r="H138" s="76" t="inlineStr">
        <is>
          <t>Rock Breaker</t>
        </is>
      </c>
      <c r="I138" s="86" t="n">
        <v>2.825</v>
      </c>
      <c r="J138" s="50" t="inlineStr">
        <is>
          <t>day</t>
        </is>
      </c>
      <c r="K138" s="51" t="n">
        <v>558</v>
      </c>
      <c r="L138" s="84" t="n">
        <v>1576.35</v>
      </c>
      <c r="M138" s="52" t="n">
        <v>34.6</v>
      </c>
      <c r="N138" s="89" t="n">
        <v>3.539823008849557</v>
      </c>
      <c r="O138" s="39" t="inlineStr">
        <is>
          <t>Compressor 250 cfm &amp; pneumatic drill: 0.15 machine-day.</t>
        </is>
      </c>
      <c r="P138" t="inlineStr">
        <is>
          <t>Foundation &amp; Pipeline Trenching|Hard rock (blasting permitted)|Mechanical (Hydraulic Excavator 0.9 cum)|Rock blasting + Excavator loading|4</t>
        </is>
      </c>
      <c r="Q138" t="n">
        <v>4</v>
      </c>
      <c r="R138" t="n">
        <v>10</v>
      </c>
      <c r="S138" t="inlineStr">
        <is>
          <t>cum</t>
        </is>
      </c>
      <c r="T138" t="n">
        <v>609.65</v>
      </c>
      <c r="U138" t="inlineStr">
        <is>
          <t>Compressor + Jack hammer drilling + Blasting</t>
        </is>
      </c>
      <c r="V138" t="inlineStr">
        <is>
          <t>Excavator bucket loading / disposal</t>
        </is>
      </c>
      <c r="W138" t="inlineStr">
        <is>
          <t>Rock dump</t>
        </is>
      </c>
      <c r="X138" t="inlineStr">
        <is>
          <t>None</t>
        </is>
      </c>
      <c r="Y138" t="inlineStr">
        <is>
          <t>None</t>
        </is>
      </c>
      <c r="AA138" t="inlineStr">
        <is>
          <t>Chemical Anti-Termite Treatment|All kinds of soil|Manual labor (depth ≤1.5m)|Treatment to subgrade under floors</t>
        </is>
      </c>
      <c r="AB138" t="inlineStr">
        <is>
          <t>Chemical Anti-Termite Treatment|All kinds of soil|Manual labor (depth ≤1.5m)</t>
        </is>
      </c>
      <c r="AC138" t="n">
        <v>9</v>
      </c>
      <c r="AD138" t="inlineStr">
        <is>
          <t>sqm</t>
        </is>
      </c>
      <c r="AE138" t="n">
        <v>227.05</v>
      </c>
      <c r="AF138" t="inlineStr">
        <is>
          <t>CPWD DAR Item 2.35.3.1 - Earth Work</t>
        </is>
      </c>
      <c r="AG138" t="inlineStr">
        <is>
          <t>Grid perforations &amp; pressure spraying</t>
        </is>
      </c>
      <c r="AH138" t="inlineStr">
        <is>
          <t>Pressure spray 5 L/sqm</t>
        </is>
      </c>
      <c r="AI138" t="inlineStr">
        <is>
          <t>Full plinth floor saturation</t>
        </is>
      </c>
      <c r="AJ138" t="inlineStr">
        <is>
          <t>Chemical emulsion</t>
        </is>
      </c>
      <c r="AK138" t="inlineStr">
        <is>
          <t>None</t>
        </is>
      </c>
      <c r="AL138" s="88" t="inlineStr">
        <is>
          <t>Rock breaker / Chiselling (no blasting)</t>
        </is>
      </c>
    </row>
    <row r="139" ht="22" customHeight="1">
      <c r="A139" s="16" t="inlineStr">
        <is>
          <t>Foundation &amp; Pipeline Trenching</t>
        </is>
      </c>
      <c r="B139" s="76" t="inlineStr">
        <is>
          <t>Hard rock (blasting permitted)</t>
        </is>
      </c>
      <c r="C139" s="76" t="inlineStr">
        <is>
          <t>Mechanical (Hydraulic Excavator 0.9 cum)</t>
        </is>
      </c>
      <c r="D139" s="76" t="inlineStr">
        <is>
          <t>Rock blasting + Excavator loading</t>
        </is>
      </c>
      <c r="E139" s="28" t="inlineStr">
        <is>
          <t>10 cum</t>
        </is>
      </c>
      <c r="F139" s="32" t="inlineStr">
        <is>
          <t>Sundries &amp; Allowances</t>
        </is>
      </c>
      <c r="G139" s="21" t="inlineStr">
        <is>
          <t>0134</t>
        </is>
      </c>
      <c r="H139" s="76" t="inlineStr">
        <is>
          <t>Rock Hole Driller</t>
        </is>
      </c>
      <c r="I139" s="86" t="n">
        <v>0.885</v>
      </c>
      <c r="J139" s="50" t="inlineStr">
        <is>
          <t>day</t>
        </is>
      </c>
      <c r="K139" s="51" t="n">
        <v>558</v>
      </c>
      <c r="L139" s="84" t="n">
        <v>493.83</v>
      </c>
      <c r="M139" s="52" t="n">
        <v>10.8</v>
      </c>
      <c r="N139" s="89" t="n">
        <v>11.29943502824859</v>
      </c>
      <c r="O139" s="39" t="inlineStr"/>
      <c r="P139" t="inlineStr">
        <is>
          <t>Foundation &amp; Pipeline Trenching|Hard rock (blasting permitted)|Mechanical (Hydraulic Excavator 0.9 cum)|Rock blasting + Excavator loading|5</t>
        </is>
      </c>
      <c r="Q139" t="n">
        <v>5</v>
      </c>
      <c r="R139" t="n">
        <v>10</v>
      </c>
      <c r="S139" t="inlineStr">
        <is>
          <t>cum</t>
        </is>
      </c>
      <c r="T139" t="n">
        <v>609.65</v>
      </c>
      <c r="U139" t="inlineStr">
        <is>
          <t>Compressor + Jack hammer drilling + Blasting</t>
        </is>
      </c>
      <c r="V139" t="inlineStr">
        <is>
          <t>Excavator bucket loading / disposal</t>
        </is>
      </c>
      <c r="W139" t="inlineStr">
        <is>
          <t>Rock dump</t>
        </is>
      </c>
      <c r="X139" t="inlineStr">
        <is>
          <t>None</t>
        </is>
      </c>
      <c r="Y139" t="inlineStr">
        <is>
          <t>None</t>
        </is>
      </c>
      <c r="AA139" t="inlineStr">
        <is>
          <t>Chemical Anti-Termite Treatment|All kinds of soil|Manual labor (depth ≤1.5m)|Treatment at junction of wall &amp; floor</t>
        </is>
      </c>
      <c r="AB139" t="inlineStr">
        <is>
          <t>Chemical Anti-Termite Treatment|All kinds of soil|Manual labor (depth ≤1.5m)</t>
        </is>
      </c>
      <c r="AC139" t="n">
        <v>10</v>
      </c>
      <c r="AD139" t="inlineStr">
        <is>
          <t>m</t>
        </is>
      </c>
      <c r="AE139" t="n">
        <v>31.75</v>
      </c>
      <c r="AF139" t="inlineStr">
        <is>
          <t>CPWD DAR Item 2.35.4.1 - Earth Work</t>
        </is>
      </c>
      <c r="AG139" t="inlineStr">
        <is>
          <t>12mm rod channel punching</t>
        </is>
      </c>
      <c r="AH139" t="inlineStr">
        <is>
          <t>Channel chemical filling</t>
        </is>
      </c>
      <c r="AI139" t="inlineStr">
        <is>
          <t>Junction barrier</t>
        </is>
      </c>
      <c r="AJ139" t="inlineStr">
        <is>
          <t>Chemical emulsion</t>
        </is>
      </c>
      <c r="AK139" t="inlineStr">
        <is>
          <t>None</t>
        </is>
      </c>
      <c r="AL139" s="88" t="inlineStr">
        <is>
          <t>Supply and stacking fly ash (IRC-58)</t>
        </is>
      </c>
    </row>
    <row r="140" ht="22" customHeight="1">
      <c r="A140" s="16" t="inlineStr">
        <is>
          <t>Foundation &amp; Pipeline Trenching</t>
        </is>
      </c>
      <c r="B140" s="76" t="inlineStr">
        <is>
          <t>Hard rock (blasting permitted)</t>
        </is>
      </c>
      <c r="C140" s="76" t="inlineStr">
        <is>
          <t>Mechanical (Hydraulic Excavator 0.9 cum)</t>
        </is>
      </c>
      <c r="D140" s="76" t="inlineStr">
        <is>
          <t>Rock blasting + Excavator loading</t>
        </is>
      </c>
      <c r="E140" s="28" t="inlineStr">
        <is>
          <t>10 cum</t>
        </is>
      </c>
      <c r="F140" s="32" t="inlineStr">
        <is>
          <t>Labour (Semi-Skilled / Operational)</t>
        </is>
      </c>
      <c r="G140" s="21" t="inlineStr">
        <is>
          <t>0114</t>
        </is>
      </c>
      <c r="H140" s="76" t="inlineStr">
        <is>
          <t>Beldar</t>
        </is>
      </c>
      <c r="I140" s="86" t="n">
        <v>0.45</v>
      </c>
      <c r="J140" s="50" t="inlineStr">
        <is>
          <t>day</t>
        </is>
      </c>
      <c r="K140" s="51" t="n">
        <v>558</v>
      </c>
      <c r="L140" s="84" t="n">
        <v>251.1</v>
      </c>
      <c r="M140" s="52" t="n">
        <v>5.5</v>
      </c>
      <c r="N140" s="89" t="n">
        <v>22.22222222222222</v>
      </c>
      <c r="O140" s="39" t="inlineStr"/>
      <c r="P140" t="inlineStr">
        <is>
          <t>Foundation &amp; Pipeline Trenching|Hard rock (blasting permitted)|Mechanical (Hydraulic Excavator 0.9 cum)|Rock blasting + Excavator loading|6</t>
        </is>
      </c>
      <c r="Q140" t="n">
        <v>6</v>
      </c>
      <c r="R140" t="n">
        <v>10</v>
      </c>
      <c r="S140" t="inlineStr">
        <is>
          <t>cum</t>
        </is>
      </c>
      <c r="T140" t="n">
        <v>609.65</v>
      </c>
      <c r="U140" t="inlineStr">
        <is>
          <t>Compressor + Jack hammer drilling + Blasting</t>
        </is>
      </c>
      <c r="V140" t="inlineStr">
        <is>
          <t>Excavator bucket loading / disposal</t>
        </is>
      </c>
      <c r="W140" t="inlineStr">
        <is>
          <t>Rock dump</t>
        </is>
      </c>
      <c r="X140" t="inlineStr">
        <is>
          <t>None</t>
        </is>
      </c>
      <c r="Y140" t="inlineStr">
        <is>
          <t>None</t>
        </is>
      </c>
      <c r="AA140" t="inlineStr">
        <is>
          <t>Chemical Anti-Termite Treatment|All kinds of soil|Manual labor (depth ≤1.5m)|POST-CONSTRUCTION: drilling 12mm holes &amp; injecting</t>
        </is>
      </c>
      <c r="AB140" t="inlineStr">
        <is>
          <t>Chemical Anti-Termite Treatment|All kinds of soil|Manual labor (depth ≤1.5m)</t>
        </is>
      </c>
      <c r="AC140" t="n">
        <v>10</v>
      </c>
      <c r="AD140" t="inlineStr">
        <is>
          <t>m</t>
        </is>
      </c>
      <c r="AE140" t="n">
        <v>254</v>
      </c>
      <c r="AF140" t="inlineStr">
        <is>
          <t>Diluting and injecting chemical emulsion for POST-CONSTRUCTIONAL anti- termite treatment (excluding the cost of chemical emulsion) :: Treatment at points of contact of wood work by chemical emulsion Chlorpyriphos/ Lindane (in oil or kerosene based solution) @ 0.5 litres per hole by drilling 6 mm dia holes at downward angle of 45 degree at 150 mm centre to centre and sealing the same. Details of cost for 10 metres MATERIAL No. of holes 10.0/0.15 = 66.67+1 = 67.67 holes. Say 68 holes Chlordane 1% concentration required = 68 x 0.5 = 34.00 litres Chlordane 20% E.C. required 34.00/ 20=1.70 litres Chlordane 20% E.C./ Lindane 20% E.C. 1.7 litres (to be supplied free of cost) Kerosene oil = 34-1.7 = 32.30 litres</t>
        </is>
      </c>
      <c r="AG140" t="inlineStr">
        <is>
          <t>Electric rotary hammer drilling 12mm dia</t>
        </is>
      </c>
      <c r="AH140" t="inlineStr">
        <is>
          <t>Chemical pressure injection into masonry</t>
        </is>
      </c>
      <c r="AI140" t="inlineStr">
        <is>
          <t>Sealing holes with cement mortar</t>
        </is>
      </c>
      <c r="AJ140" t="inlineStr">
        <is>
          <t>Chemical emulsion</t>
        </is>
      </c>
      <c r="AK140" t="inlineStr">
        <is>
          <t>Mortar plug compaction</t>
        </is>
      </c>
      <c r="AL140" s="88" t="inlineStr">
        <is>
          <t>Supply chemical emulsion (Chlorpyrifos 20% EC)</t>
        </is>
      </c>
    </row>
    <row r="141" ht="22" customHeight="1">
      <c r="A141" s="16" t="inlineStr">
        <is>
          <t>Foundation &amp; Pipeline Trenching</t>
        </is>
      </c>
      <c r="B141" s="76" t="inlineStr">
        <is>
          <t>Hard rock (blasting permitted)</t>
        </is>
      </c>
      <c r="C141" s="76" t="inlineStr">
        <is>
          <t>Mechanical (Hydraulic Excavator 0.9 cum)</t>
        </is>
      </c>
      <c r="D141" s="76" t="inlineStr">
        <is>
          <t>Rock blasting + Excavator loading</t>
        </is>
      </c>
      <c r="E141" s="28" t="inlineStr">
        <is>
          <t>10 cum</t>
        </is>
      </c>
      <c r="F141" s="32" t="inlineStr">
        <is>
          <t>Labour (Unskilled / Haulage)</t>
        </is>
      </c>
      <c r="G141" s="21" t="inlineStr">
        <is>
          <t>0115</t>
        </is>
      </c>
      <c r="H141" s="76" t="inlineStr">
        <is>
          <t>Coolie</t>
        </is>
      </c>
      <c r="I141" s="86" t="n">
        <v>0.55</v>
      </c>
      <c r="J141" s="50" t="inlineStr">
        <is>
          <t>day</t>
        </is>
      </c>
      <c r="K141" s="51" t="n">
        <v>558</v>
      </c>
      <c r="L141" s="84" t="n">
        <v>306.9</v>
      </c>
      <c r="M141" s="52" t="n">
        <v>6.7</v>
      </c>
      <c r="N141" s="89" t="n">
        <v>18.18181818181818</v>
      </c>
      <c r="O141" s="39" t="inlineStr"/>
      <c r="P141" t="inlineStr">
        <is>
          <t>Foundation &amp; Pipeline Trenching|Hard rock (blasting permitted)|Mechanical (Hydraulic Excavator 0.9 cum)|Rock blasting + Excavator loading|7</t>
        </is>
      </c>
      <c r="Q141" t="n">
        <v>7</v>
      </c>
      <c r="R141" t="n">
        <v>10</v>
      </c>
      <c r="S141" t="inlineStr">
        <is>
          <t>cum</t>
        </is>
      </c>
      <c r="T141" t="n">
        <v>609.65</v>
      </c>
      <c r="U141" t="inlineStr">
        <is>
          <t>Compressor + Jack hammer drilling + Blasting</t>
        </is>
      </c>
      <c r="V141" t="inlineStr">
        <is>
          <t>Excavator bucket loading / disposal</t>
        </is>
      </c>
      <c r="W141" t="inlineStr">
        <is>
          <t>Rock dump</t>
        </is>
      </c>
      <c r="X141" t="inlineStr">
        <is>
          <t>None</t>
        </is>
      </c>
      <c r="Y141" t="inlineStr">
        <is>
          <t>None</t>
        </is>
      </c>
      <c r="AA141" t="inlineStr">
        <is>
          <t>Surface Excavation (≤30 cm)|All kinds of soil|Manual labor (depth ≤1.5m)|Levelling &amp; neatly dressing disposed soil</t>
        </is>
      </c>
      <c r="AB141" t="inlineStr">
        <is>
          <t>Surface Excavation (≤30 cm)|All kinds of soil|Manual labor (depth ≤1.5m)</t>
        </is>
      </c>
      <c r="AC141" t="n">
        <v>10</v>
      </c>
      <c r="AD141" t="inlineStr">
        <is>
          <t>cum</t>
        </is>
      </c>
      <c r="AE141" t="n">
        <v>66.34999999999999</v>
      </c>
      <c r="AF141" t="inlineStr">
        <is>
          <t>Extra for levelling &amp; neatly dressing of disposed soil completely as directed by Engineer-in-charge. Details of cost for 10 cum. LABOUR</t>
        </is>
      </c>
      <c r="AG141" t="inlineStr">
        <is>
          <t>Beldar rake &amp; spade</t>
        </is>
      </c>
      <c r="AH141" t="inlineStr">
        <is>
          <t>On-site dressing</t>
        </is>
      </c>
      <c r="AI141" t="inlineStr">
        <is>
          <t>Neat contouring</t>
        </is>
      </c>
      <c r="AJ141" t="inlineStr">
        <is>
          <t>None</t>
        </is>
      </c>
      <c r="AK141" t="inlineStr">
        <is>
          <t>Light ramming</t>
        </is>
      </c>
      <c r="AL141" s="88" t="inlineStr">
        <is>
          <t>Supplying and filling quarry moorum</t>
        </is>
      </c>
    </row>
    <row r="142" ht="22" customHeight="1">
      <c r="A142" s="16" t="inlineStr">
        <is>
          <t>Foundation &amp; Pipeline Trenching</t>
        </is>
      </c>
      <c r="B142" s="76" t="inlineStr">
        <is>
          <t>Hard rock (blasting permitted)</t>
        </is>
      </c>
      <c r="C142" s="76" t="inlineStr">
        <is>
          <t>Mechanical (Hydraulic Excavator 0.9 cum)</t>
        </is>
      </c>
      <c r="D142" s="76" t="inlineStr">
        <is>
          <t>Rock blasting + Excavator loading</t>
        </is>
      </c>
      <c r="E142" s="28" t="inlineStr">
        <is>
          <t>10 cum</t>
        </is>
      </c>
      <c r="F142" s="32" t="inlineStr">
        <is>
          <t>Material &amp; Consumables</t>
        </is>
      </c>
      <c r="G142" s="21" t="inlineStr">
        <is>
          <t>0325</t>
        </is>
      </c>
      <c r="H142" s="76" t="inlineStr">
        <is>
          <t>Blasting powder</t>
        </is>
      </c>
      <c r="I142" s="86" t="n">
        <v>3.93</v>
      </c>
      <c r="J142" s="50" t="inlineStr">
        <is>
          <t>kg</t>
        </is>
      </c>
      <c r="K142" s="51" t="n">
        <v>40</v>
      </c>
      <c r="L142" s="84" t="n">
        <v>157.2</v>
      </c>
      <c r="M142" s="52" t="n">
        <v>3.4</v>
      </c>
      <c r="N142" s="32" t="inlineStr"/>
      <c r="O142" s="39" t="inlineStr"/>
      <c r="P142" t="inlineStr">
        <is>
          <t>Foundation &amp; Pipeline Trenching|Hard rock (blasting permitted)|Mechanical (Hydraulic Excavator 0.9 cum)|Rock blasting + Excavator loading|8</t>
        </is>
      </c>
      <c r="Q142" t="n">
        <v>8</v>
      </c>
      <c r="R142" t="n">
        <v>10</v>
      </c>
      <c r="S142" t="inlineStr">
        <is>
          <t>cum</t>
        </is>
      </c>
      <c r="T142" t="n">
        <v>609.65</v>
      </c>
      <c r="U142" t="inlineStr">
        <is>
          <t>Compressor + Jack hammer drilling + Blasting</t>
        </is>
      </c>
      <c r="V142" t="inlineStr">
        <is>
          <t>Excavator bucket loading / disposal</t>
        </is>
      </c>
      <c r="W142" t="inlineStr">
        <is>
          <t>Rock dump</t>
        </is>
      </c>
      <c r="X142" t="inlineStr">
        <is>
          <t>None</t>
        </is>
      </c>
      <c r="Y142" t="inlineStr">
        <is>
          <t>None</t>
        </is>
      </c>
      <c r="AA142" t="inlineStr">
        <is>
          <t>Backfilling &amp; Compaction|All kinds of soil|Manual labor (depth ≤1.5m)|Supply and stacking fly ash (IRC-58)</t>
        </is>
      </c>
      <c r="AB142" t="inlineStr">
        <is>
          <t>Backfilling &amp; Compaction|All kinds of soil|Manual labor (depth ≤1.5m)</t>
        </is>
      </c>
      <c r="AC142" t="n">
        <v>1</v>
      </c>
      <c r="AD142" t="inlineStr">
        <is>
          <t>cum</t>
        </is>
      </c>
      <c r="AE142" t="n">
        <v>152.2</v>
      </c>
      <c r="AF142" t="inlineStr">
        <is>
          <t>Supply and stacking of Fly ash conforming to IRC- 58 at site, including carriage, loading , unloading &amp; stacking up to any lead (measured stacks will be reduced by 20% for payment). Details of cost for 1 cum. Ref :- Based on DAR Item No : 1.1.1 A) Labour and carriage</t>
        </is>
      </c>
      <c r="AG142" t="inlineStr">
        <is>
          <t>Material supply (fly ash IRC-58)</t>
        </is>
      </c>
      <c r="AH142" t="inlineStr">
        <is>
          <t>Unloading and stacking at site</t>
        </is>
      </c>
      <c r="AI142" t="inlineStr">
        <is>
          <t>Neat stacking</t>
        </is>
      </c>
      <c r="AJ142" t="inlineStr">
        <is>
          <t>None</t>
        </is>
      </c>
      <c r="AK142" t="inlineStr">
        <is>
          <t>None</t>
        </is>
      </c>
      <c r="AL142" s="88" t="inlineStr">
        <is>
          <t>Surface dressing (≤15 cm depth)</t>
        </is>
      </c>
    </row>
    <row r="143" ht="22" customHeight="1">
      <c r="A143" s="16" t="inlineStr">
        <is>
          <t>Foundation &amp; Pipeline Trenching</t>
        </is>
      </c>
      <c r="B143" s="76" t="inlineStr">
        <is>
          <t>Hard rock (blasting permitted)</t>
        </is>
      </c>
      <c r="C143" s="76" t="inlineStr">
        <is>
          <t>Mechanical (Hydraulic Excavator 0.9 cum)</t>
        </is>
      </c>
      <c r="D143" s="76" t="inlineStr">
        <is>
          <t>Rock blasting + Excavator loading</t>
        </is>
      </c>
      <c r="E143" s="28" t="inlineStr">
        <is>
          <t>10 cum</t>
        </is>
      </c>
      <c r="F143" s="32" t="inlineStr">
        <is>
          <t>Material &amp; Consumables</t>
        </is>
      </c>
      <c r="G143" s="21" t="inlineStr">
        <is>
          <t>0326</t>
        </is>
      </c>
      <c r="H143" s="76" t="inlineStr">
        <is>
          <t>Blasting fuse wire</t>
        </is>
      </c>
      <c r="I143" s="86" t="n">
        <v>4</v>
      </c>
      <c r="J143" s="50" t="inlineStr">
        <is>
          <t>each</t>
        </is>
      </c>
      <c r="K143" s="51" t="n">
        <v>15</v>
      </c>
      <c r="L143" s="84" t="n">
        <v>60</v>
      </c>
      <c r="M143" s="52" t="n">
        <v>1.3</v>
      </c>
      <c r="N143" s="32" t="inlineStr"/>
      <c r="O143" s="39" t="inlineStr"/>
      <c r="P143" t="inlineStr">
        <is>
          <t>Foundation &amp; Pipeline Trenching|Hard rock (blasting permitted)|Mechanical (Hydraulic Excavator 0.9 cum)|Rock blasting + Excavator loading|9</t>
        </is>
      </c>
      <c r="Q143" t="n">
        <v>9</v>
      </c>
      <c r="R143" t="n">
        <v>10</v>
      </c>
      <c r="S143" t="inlineStr">
        <is>
          <t>cum</t>
        </is>
      </c>
      <c r="T143" t="n">
        <v>609.65</v>
      </c>
      <c r="U143" t="inlineStr">
        <is>
          <t>Compressor + Jack hammer drilling + Blasting</t>
        </is>
      </c>
      <c r="V143" t="inlineStr">
        <is>
          <t>Excavator bucket loading / disposal</t>
        </is>
      </c>
      <c r="W143" t="inlineStr">
        <is>
          <t>Rock dump</t>
        </is>
      </c>
      <c r="X143" t="inlineStr">
        <is>
          <t>None</t>
        </is>
      </c>
      <c r="Y143" t="inlineStr">
        <is>
          <t>None</t>
        </is>
      </c>
      <c r="AA143" t="inlineStr">
        <is>
          <t>Backfilling &amp; Compaction|All kinds of soil|Manual labor (depth ≤1.5m)|Filling with fly ash and earth mix in plinth</t>
        </is>
      </c>
      <c r="AB143" t="inlineStr">
        <is>
          <t>Backfilling &amp; Compaction|All kinds of soil|Manual labor (depth ≤1.5m)</t>
        </is>
      </c>
      <c r="AC143" t="n">
        <v>10</v>
      </c>
      <c r="AD143" t="inlineStr">
        <is>
          <t>cum</t>
        </is>
      </c>
      <c r="AE143" t="n">
        <v>219.65</v>
      </c>
      <c r="AF143" t="inlineStr">
        <is>
          <t>Filling with available fly ash and earth (excluding rock) in trenches or embankment in layers (each layer should not exceed 15 cm), with intermediate layer of compacted earth (Soil density of 98%) after every four layers of compacted depth of fly ash, sides &amp; top layer of filling shall be done with earth having total minimum compacted thickness 30 cm or as decided by Engineer - in-charge, including compacting each layer by rolling/ ramming and watering, all complete as per drawing and direction of Engineer -in - charge. Details of cost for 10 cum. Ref :- Based on DAR Item No : 2.25 LABOUR</t>
        </is>
      </c>
      <c r="AG143" t="inlineStr">
        <is>
          <t>Available fly ash and soil mix</t>
        </is>
      </c>
      <c r="AH143" t="inlineStr">
        <is>
          <t>Basket Coolie return lead ≤50m</t>
        </is>
      </c>
      <c r="AI143" t="inlineStr">
        <is>
          <t>Spreading in layers ≤20 cm</t>
        </is>
      </c>
      <c r="AJ143" t="inlineStr">
        <is>
          <t>Watering each layer</t>
        </is>
      </c>
      <c r="AK143" t="inlineStr">
        <is>
          <t>Durmat ramming / hand compaction</t>
        </is>
      </c>
      <c r="AL143" s="88" t="inlineStr">
        <is>
          <t>Treatment at junction of wall &amp; floor</t>
        </is>
      </c>
    </row>
    <row r="144" ht="22" customHeight="1">
      <c r="A144" s="16" t="inlineStr">
        <is>
          <t>Foundation &amp; Pipeline Trenching</t>
        </is>
      </c>
      <c r="B144" s="76" t="inlineStr">
        <is>
          <t>Hard rock (blasting permitted)</t>
        </is>
      </c>
      <c r="C144" s="76" t="inlineStr">
        <is>
          <t>Mechanical (Hydraulic Excavator 0.9 cum)</t>
        </is>
      </c>
      <c r="D144" s="76" t="inlineStr">
        <is>
          <t>Rock blasting + Excavator loading</t>
        </is>
      </c>
      <c r="E144" s="28" t="inlineStr">
        <is>
          <t>10 cum</t>
        </is>
      </c>
      <c r="F144" s="32" t="inlineStr">
        <is>
          <t>Sundries &amp; Allowances</t>
        </is>
      </c>
      <c r="G144" s="21" t="inlineStr">
        <is>
          <t>9999</t>
        </is>
      </c>
      <c r="H144" s="76" t="inlineStr">
        <is>
          <t>Sundries</t>
        </is>
      </c>
      <c r="I144" s="86" t="n">
        <v>16.12</v>
      </c>
      <c r="J144" s="50" t="inlineStr">
        <is>
          <t>L.S.</t>
        </is>
      </c>
      <c r="K144" s="51" t="n">
        <v>2</v>
      </c>
      <c r="L144" s="84" t="n">
        <v>32.24</v>
      </c>
      <c r="M144" s="52" t="n">
        <v>0.7</v>
      </c>
      <c r="N144" s="32" t="inlineStr"/>
      <c r="O144" s="39" t="inlineStr"/>
      <c r="P144" t="inlineStr">
        <is>
          <t>Foundation &amp; Pipeline Trenching|Hard rock (blasting permitted)|Mechanical (Hydraulic Excavator 0.9 cum)|Rock blasting + Excavator loading|10</t>
        </is>
      </c>
      <c r="Q144" t="n">
        <v>10</v>
      </c>
      <c r="R144" t="n">
        <v>10</v>
      </c>
      <c r="S144" t="inlineStr">
        <is>
          <t>cum</t>
        </is>
      </c>
      <c r="T144" t="n">
        <v>609.65</v>
      </c>
      <c r="U144" t="inlineStr">
        <is>
          <t>Compressor + Jack hammer drilling + Blasting</t>
        </is>
      </c>
      <c r="V144" t="inlineStr">
        <is>
          <t>Excavator bucket loading / disposal</t>
        </is>
      </c>
      <c r="W144" t="inlineStr">
        <is>
          <t>Rock dump</t>
        </is>
      </c>
      <c r="X144" t="inlineStr">
        <is>
          <t>None</t>
        </is>
      </c>
      <c r="Y144" t="inlineStr">
        <is>
          <t>None</t>
        </is>
      </c>
      <c r="AA144" t="inlineStr">
        <is>
          <t>Embankment Banking &amp; Dressing|All kinds of soil|Manual labor (depth ≤1.5m)|DEDUCT: Omission of 8-10t power rolling</t>
        </is>
      </c>
      <c r="AB144" t="inlineStr">
        <is>
          <t>Embankment Banking &amp; Dressing|All kinds of soil|Manual labor (depth ≤1.5m)</t>
        </is>
      </c>
      <c r="AC144" t="n">
        <v>10</v>
      </c>
      <c r="AD144" t="inlineStr">
        <is>
          <t>cum</t>
        </is>
      </c>
      <c r="AE144" t="n">
        <v>-4.3</v>
      </c>
      <c r="AF144" t="inlineStr">
        <is>
          <t>Deduct for not rolling with power roller of minimum 8 tonnes for banking excavated earth in layers not exceeding 20 cm in depth. Details of cost for 10 cum. LABOUR</t>
        </is>
      </c>
      <c r="AG144" t="inlineStr">
        <is>
          <t>None</t>
        </is>
      </c>
      <c r="AH144" t="inlineStr">
        <is>
          <t>None</t>
        </is>
      </c>
      <c r="AI144" t="inlineStr">
        <is>
          <t>None</t>
        </is>
      </c>
      <c r="AJ144" t="inlineStr">
        <is>
          <t>None</t>
        </is>
      </c>
      <c r="AK144" t="inlineStr">
        <is>
          <t>CREDIT: Deduct 8-10t roller cost</t>
        </is>
      </c>
      <c r="AL144" s="88" t="inlineStr">
        <is>
          <t>Treatment to backfill earth in contact with walls</t>
        </is>
      </c>
    </row>
    <row r="145" ht="22" customHeight="1">
      <c r="A145" s="16" t="inlineStr">
        <is>
          <t>Foundation &amp; Pipeline Trenching</t>
        </is>
      </c>
      <c r="B145" s="76" t="inlineStr">
        <is>
          <t>Hard rock (blasting prohibited)</t>
        </is>
      </c>
      <c r="C145" s="76" t="inlineStr">
        <is>
          <t>Mechanical (Hydraulic Excavator 0.9 cum)</t>
        </is>
      </c>
      <c r="D145" s="76" t="inlineStr">
        <is>
          <t>Rock breaker / Chiselling (no blasting)</t>
        </is>
      </c>
      <c r="E145" s="28" t="inlineStr">
        <is>
          <t>10 cum</t>
        </is>
      </c>
      <c r="F145" s="32" t="inlineStr">
        <is>
          <t>Plant &amp; Machinery</t>
        </is>
      </c>
      <c r="G145" s="21" t="inlineStr">
        <is>
          <t>0020</t>
        </is>
      </c>
      <c r="H145" s="76" t="inlineStr">
        <is>
          <t>Hydraulic Excavator (3D) incl driver+fuel</t>
        </is>
      </c>
      <c r="I145" s="86" t="n">
        <v>0.125</v>
      </c>
      <c r="J145" s="50" t="inlineStr">
        <is>
          <t>day</t>
        </is>
      </c>
      <c r="K145" s="51" t="n">
        <v>7000</v>
      </c>
      <c r="L145" s="84" t="n">
        <v>875</v>
      </c>
      <c r="M145" s="52" t="n">
        <v>11.5</v>
      </c>
      <c r="N145" s="89" t="n">
        <v>80</v>
      </c>
      <c r="O145" s="39" t="inlineStr"/>
      <c r="P145" t="inlineStr">
        <is>
          <t>Foundation &amp; Pipeline Trenching|Hard rock (blasting prohibited)|Mechanical (Hydraulic Excavator 0.9 cum)|Rock breaker / Chiselling (no blasting)|1</t>
        </is>
      </c>
      <c r="Q145" t="n">
        <v>1</v>
      </c>
      <c r="R145" t="n">
        <v>10</v>
      </c>
      <c r="S145" t="inlineStr">
        <is>
          <t>cum</t>
        </is>
      </c>
      <c r="T145" t="n">
        <v>1016.2</v>
      </c>
      <c r="U145" t="inlineStr">
        <is>
          <t>Pneumatic breaker / hydraulic chiselling</t>
        </is>
      </c>
      <c r="V145" t="inlineStr">
        <is>
          <t>Excavator bucket loading / disposal</t>
        </is>
      </c>
      <c r="W145" t="inlineStr">
        <is>
          <t>Rock dump</t>
        </is>
      </c>
      <c r="X145" t="inlineStr">
        <is>
          <t>None</t>
        </is>
      </c>
      <c r="Y145" t="inlineStr">
        <is>
          <t>None</t>
        </is>
      </c>
      <c r="AA145" t="inlineStr">
        <is>
          <t>Embankment Banking &amp; Dressing|All kinds of soil|Manual labor (depth ≤1.5m)|DEDUCT: Omission of OMC compaction watering</t>
        </is>
      </c>
      <c r="AB145" t="inlineStr">
        <is>
          <t>Embankment Banking &amp; Dressing|All kinds of soil|Manual labor (depth ≤1.5m)</t>
        </is>
      </c>
      <c r="AC145" t="n">
        <v>10</v>
      </c>
      <c r="AD145" t="inlineStr">
        <is>
          <t>cum</t>
        </is>
      </c>
      <c r="AE145" t="n">
        <v>-33</v>
      </c>
      <c r="AF145" t="inlineStr">
        <is>
          <t>Deduct for not watering the excavated earth for banking Details of cost for 10 cum. LABOUR</t>
        </is>
      </c>
      <c r="AG145" t="inlineStr">
        <is>
          <t>None</t>
        </is>
      </c>
      <c r="AH145" t="inlineStr">
        <is>
          <t>None</t>
        </is>
      </c>
      <c r="AI145" t="inlineStr">
        <is>
          <t>None</t>
        </is>
      </c>
      <c r="AJ145" t="inlineStr">
        <is>
          <t>CREDIT: Deduct Bhishti watering</t>
        </is>
      </c>
      <c r="AK145" t="inlineStr">
        <is>
          <t>None</t>
        </is>
      </c>
      <c r="AL145" s="88" t="inlineStr">
        <is>
          <t>Treatment to bottom &amp; sides of foundation trenches</t>
        </is>
      </c>
    </row>
    <row r="146" ht="22" customHeight="1">
      <c r="A146" s="16" t="inlineStr">
        <is>
          <t>Foundation &amp; Pipeline Trenching</t>
        </is>
      </c>
      <c r="B146" s="76" t="inlineStr">
        <is>
          <t>Hard rock (blasting prohibited)</t>
        </is>
      </c>
      <c r="C146" s="76" t="inlineStr">
        <is>
          <t>Mechanical (Hydraulic Excavator 0.9 cum)</t>
        </is>
      </c>
      <c r="D146" s="76" t="inlineStr">
        <is>
          <t>Rock breaker / Chiselling (no blasting)</t>
        </is>
      </c>
      <c r="E146" s="28" t="inlineStr">
        <is>
          <t>10 cum</t>
        </is>
      </c>
      <c r="F146" s="32" t="inlineStr">
        <is>
          <t>Plant &amp; Machinery</t>
        </is>
      </c>
      <c r="G146" s="21" t="inlineStr">
        <is>
          <t>0017</t>
        </is>
      </c>
      <c r="H146" s="76" t="inlineStr">
        <is>
          <t>Hire – Tipper</t>
        </is>
      </c>
      <c r="I146" s="86" t="n">
        <v>0.125</v>
      </c>
      <c r="J146" s="50" t="inlineStr">
        <is>
          <t>day</t>
        </is>
      </c>
      <c r="K146" s="51" t="n">
        <v>1700</v>
      </c>
      <c r="L146" s="84" t="n">
        <v>212.5</v>
      </c>
      <c r="M146" s="52" t="n">
        <v>2.8</v>
      </c>
      <c r="N146" s="89" t="n">
        <v>80</v>
      </c>
      <c r="O146" s="39" t="inlineStr"/>
      <c r="P146" t="inlineStr">
        <is>
          <t>Foundation &amp; Pipeline Trenching|Hard rock (blasting prohibited)|Mechanical (Hydraulic Excavator 0.9 cum)|Rock breaker / Chiselling (no blasting)|2</t>
        </is>
      </c>
      <c r="Q146" t="n">
        <v>2</v>
      </c>
      <c r="R146" t="n">
        <v>10</v>
      </c>
      <c r="S146" t="inlineStr">
        <is>
          <t>cum</t>
        </is>
      </c>
      <c r="T146" t="n">
        <v>1016.2</v>
      </c>
      <c r="U146" t="inlineStr">
        <is>
          <t>Pneumatic breaker / hydraulic chiselling</t>
        </is>
      </c>
      <c r="V146" t="inlineStr">
        <is>
          <t>Excavator bucket loading / disposal</t>
        </is>
      </c>
      <c r="W146" t="inlineStr">
        <is>
          <t>Rock dump</t>
        </is>
      </c>
      <c r="X146" t="inlineStr">
        <is>
          <t>None</t>
        </is>
      </c>
      <c r="Y146" t="inlineStr">
        <is>
          <t>None</t>
        </is>
      </c>
      <c r="AA146" t="inlineStr">
        <is>
          <t>Foundation &amp; Pipeline Trenching|All kinds of soil|Mechanical (Hydraulic Excavator 0.9 cum)|Open areas &amp; wide foundation trenches</t>
        </is>
      </c>
      <c r="AB146" t="inlineStr">
        <is>
          <t>Foundation &amp; Pipeline Trenching|All kinds of soil|Mechanical (Hydraulic Excavator 0.9 cum)</t>
        </is>
      </c>
      <c r="AC146" t="n">
        <v>10</v>
      </c>
      <c r="AD146" t="inlineStr">
        <is>
          <t>cum</t>
        </is>
      </c>
      <c r="AE146" t="n">
        <v>181.85</v>
      </c>
      <c r="AF146"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All kinds of soil Details of cost for 10 cum. Average output of Hydraulic Excavator per hour = 30cum. MACHINERY</t>
        </is>
      </c>
      <c r="AG146" t="inlineStr">
        <is>
          <t>Hydraulic Excavator 0.9 cum (0034)</t>
        </is>
      </c>
      <c r="AH146" t="inlineStr">
        <is>
          <t>Excavator bucket swing to dump / truck</t>
        </is>
      </c>
      <c r="AI146" t="inlineStr">
        <is>
          <t>Spoil heap formation</t>
        </is>
      </c>
      <c r="AJ146" t="inlineStr">
        <is>
          <t>None</t>
        </is>
      </c>
      <c r="AK146" t="inlineStr">
        <is>
          <t>None</t>
        </is>
      </c>
      <c r="AL146" s="88" t="inlineStr">
        <is>
          <t>Treatment to subgrade under floors</t>
        </is>
      </c>
    </row>
    <row r="147" ht="22" customHeight="1">
      <c r="A147" s="16" t="inlineStr">
        <is>
          <t>Foundation &amp; Pipeline Trenching</t>
        </is>
      </c>
      <c r="B147" s="76" t="inlineStr">
        <is>
          <t>Hard rock (blasting prohibited)</t>
        </is>
      </c>
      <c r="C147" s="76" t="inlineStr">
        <is>
          <t>Mechanical (Hydraulic Excavator 0.9 cum)</t>
        </is>
      </c>
      <c r="D147" s="76" t="inlineStr">
        <is>
          <t>Rock breaker / Chiselling (no blasting)</t>
        </is>
      </c>
      <c r="E147" s="28" t="inlineStr">
        <is>
          <t>10 cum</t>
        </is>
      </c>
      <c r="F147" s="32" t="inlineStr">
        <is>
          <t>Sundries &amp; Allowances</t>
        </is>
      </c>
      <c r="G147" s="21" t="inlineStr">
        <is>
          <t>0132</t>
        </is>
      </c>
      <c r="H147" s="76" t="inlineStr">
        <is>
          <t>Rock Excavator</t>
        </is>
      </c>
      <c r="I147" s="86" t="n">
        <v>2.47</v>
      </c>
      <c r="J147" s="50" t="inlineStr">
        <is>
          <t>day</t>
        </is>
      </c>
      <c r="K147" s="51" t="n">
        <v>558</v>
      </c>
      <c r="L147" s="84" t="n">
        <v>1378.26</v>
      </c>
      <c r="M147" s="52" t="n">
        <v>18.1</v>
      </c>
      <c r="N147" s="89" t="n">
        <v>4.048582995951417</v>
      </c>
      <c r="O147" s="39" t="inlineStr"/>
      <c r="P147" t="inlineStr">
        <is>
          <t>Foundation &amp; Pipeline Trenching|Hard rock (blasting prohibited)|Mechanical (Hydraulic Excavator 0.9 cum)|Rock breaker / Chiselling (no blasting)|3</t>
        </is>
      </c>
      <c r="Q147" t="n">
        <v>3</v>
      </c>
      <c r="R147" t="n">
        <v>10</v>
      </c>
      <c r="S147" t="inlineStr">
        <is>
          <t>cum</t>
        </is>
      </c>
      <c r="T147" t="n">
        <v>1016.2</v>
      </c>
      <c r="U147" t="inlineStr">
        <is>
          <t>Pneumatic breaker / hydraulic chiselling</t>
        </is>
      </c>
      <c r="V147" t="inlineStr">
        <is>
          <t>Excavator bucket loading / disposal</t>
        </is>
      </c>
      <c r="W147" t="inlineStr">
        <is>
          <t>Rock dump</t>
        </is>
      </c>
      <c r="X147" t="inlineStr">
        <is>
          <t>None</t>
        </is>
      </c>
      <c r="Y147" t="inlineStr">
        <is>
          <t>None</t>
        </is>
      </c>
      <c r="AA147" t="inlineStr">
        <is>
          <t>Foundation &amp; Pipeline Trenching|Ordinary rock|Mechanical (Hydraulic Excavator 0.9 cum)|Open areas &amp; wide foundation trenches</t>
        </is>
      </c>
      <c r="AB147" t="inlineStr">
        <is>
          <t>Foundation &amp; Pipeline Trenching|Ordinary rock|Mechanical (Hydraulic Excavator 0.9 cum)</t>
        </is>
      </c>
      <c r="AC147" t="n">
        <v>10</v>
      </c>
      <c r="AD147" t="inlineStr">
        <is>
          <t>cum</t>
        </is>
      </c>
      <c r="AE147" t="n">
        <v>352.45</v>
      </c>
      <c r="AF147"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Ordinary rock Details of cost for 10 cum. MACHINERY</t>
        </is>
      </c>
      <c r="AG147" t="inlineStr">
        <is>
          <t>Hydraulic Excavator 0.9 cum (0034)</t>
        </is>
      </c>
      <c r="AH147" t="inlineStr">
        <is>
          <t>Excavator bucket swing to dump / truck</t>
        </is>
      </c>
      <c r="AI147" t="inlineStr">
        <is>
          <t>Spoil heap formation</t>
        </is>
      </c>
      <c r="AJ147" t="inlineStr">
        <is>
          <t>None</t>
        </is>
      </c>
      <c r="AK147" t="inlineStr">
        <is>
          <t>None</t>
        </is>
      </c>
      <c r="AL147" s="88" t="inlineStr">
        <is>
          <t>Tree felling girth 120-240 cm girth (cutting &amp; grubbing roots)</t>
        </is>
      </c>
    </row>
    <row r="148" ht="22" customHeight="1">
      <c r="A148" s="16" t="inlineStr">
        <is>
          <t>Foundation &amp; Pipeline Trenching</t>
        </is>
      </c>
      <c r="B148" s="76" t="inlineStr">
        <is>
          <t>Hard rock (blasting prohibited)</t>
        </is>
      </c>
      <c r="C148" s="76" t="inlineStr">
        <is>
          <t>Mechanical (Hydraulic Excavator 0.9 cum)</t>
        </is>
      </c>
      <c r="D148" s="76" t="inlineStr">
        <is>
          <t>Rock breaker / Chiselling (no blasting)</t>
        </is>
      </c>
      <c r="E148" s="28" t="inlineStr">
        <is>
          <t>10 cum</t>
        </is>
      </c>
      <c r="F148" s="32" t="inlineStr">
        <is>
          <t>Sundries &amp; Allowances</t>
        </is>
      </c>
      <c r="G148" s="21" t="inlineStr">
        <is>
          <t>0133</t>
        </is>
      </c>
      <c r="H148" s="76" t="inlineStr">
        <is>
          <t>Rock Breaker</t>
        </is>
      </c>
      <c r="I148" s="86" t="n">
        <v>6</v>
      </c>
      <c r="J148" s="50" t="inlineStr">
        <is>
          <t>day</t>
        </is>
      </c>
      <c r="K148" s="51" t="n">
        <v>558</v>
      </c>
      <c r="L148" s="84" t="n">
        <v>3348</v>
      </c>
      <c r="M148" s="52" t="n">
        <v>44.1</v>
      </c>
      <c r="N148" s="89" t="n">
        <v>1.666666666666667</v>
      </c>
      <c r="O148" s="39" t="inlineStr"/>
      <c r="P148" t="inlineStr">
        <is>
          <t>Foundation &amp; Pipeline Trenching|Hard rock (blasting prohibited)|Mechanical (Hydraulic Excavator 0.9 cum)|Rock breaker / Chiselling (no blasting)|4</t>
        </is>
      </c>
      <c r="Q148" t="n">
        <v>4</v>
      </c>
      <c r="R148" t="n">
        <v>10</v>
      </c>
      <c r="S148" t="inlineStr">
        <is>
          <t>cum</t>
        </is>
      </c>
      <c r="T148" t="n">
        <v>1016.2</v>
      </c>
      <c r="U148" t="inlineStr">
        <is>
          <t>Pneumatic breaker / hydraulic chiselling</t>
        </is>
      </c>
      <c r="V148" t="inlineStr">
        <is>
          <t>Excavator bucket loading / disposal</t>
        </is>
      </c>
      <c r="W148" t="inlineStr">
        <is>
          <t>Rock dump</t>
        </is>
      </c>
      <c r="X148" t="inlineStr">
        <is>
          <t>None</t>
        </is>
      </c>
      <c r="Y148" t="inlineStr">
        <is>
          <t>None</t>
        </is>
      </c>
      <c r="AA148" t="inlineStr">
        <is>
          <t>Foundation &amp; Pipeline Trenching|Hard rock (blasting permitted)|Mechanical (Hydraulic Excavator 0.9 cum)|Rock blasting + Excavator loading</t>
        </is>
      </c>
      <c r="AB148" t="inlineStr">
        <is>
          <t>Foundation &amp; Pipeline Trenching|Hard rock (blasting permitted)|Mechanical (Hydraulic Excavator 0.9 cum)</t>
        </is>
      </c>
      <c r="AC148" t="n">
        <v>10</v>
      </c>
      <c r="AD148" t="inlineStr">
        <is>
          <t>cum</t>
        </is>
      </c>
      <c r="AE148" t="n">
        <v>609.65</v>
      </c>
      <c r="AF148"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Hard rock (requiring blasting) Details of cost for 10 cum. MACHINERY</t>
        </is>
      </c>
      <c r="AG148" t="inlineStr">
        <is>
          <t>Compressor + Jack hammer drilling + Blasting</t>
        </is>
      </c>
      <c r="AH148" t="inlineStr">
        <is>
          <t>Excavator bucket loading / disposal</t>
        </is>
      </c>
      <c r="AI148" t="inlineStr">
        <is>
          <t>Rock dump</t>
        </is>
      </c>
      <c r="AJ148" t="inlineStr">
        <is>
          <t>None</t>
        </is>
      </c>
      <c r="AK148" t="inlineStr">
        <is>
          <t>None</t>
        </is>
      </c>
      <c r="AL148" s="88" t="inlineStr">
        <is>
          <t>Tree felling girth 30-60 cm girth (cutting &amp; grubbing roots)</t>
        </is>
      </c>
    </row>
    <row r="149" ht="22" customHeight="1">
      <c r="A149" s="16" t="inlineStr">
        <is>
          <t>Foundation &amp; Pipeline Trenching</t>
        </is>
      </c>
      <c r="B149" s="76" t="inlineStr">
        <is>
          <t>Hard rock (blasting prohibited)</t>
        </is>
      </c>
      <c r="C149" s="76" t="inlineStr">
        <is>
          <t>Mechanical (Hydraulic Excavator 0.9 cum)</t>
        </is>
      </c>
      <c r="D149" s="76" t="inlineStr">
        <is>
          <t>Rock breaker / Chiselling (no blasting)</t>
        </is>
      </c>
      <c r="E149" s="28" t="inlineStr">
        <is>
          <t>10 cum</t>
        </is>
      </c>
      <c r="F149" s="32" t="inlineStr">
        <is>
          <t>Sundries &amp; Allowances</t>
        </is>
      </c>
      <c r="G149" s="21" t="inlineStr">
        <is>
          <t>0135</t>
        </is>
      </c>
      <c r="H149" s="76" t="inlineStr">
        <is>
          <t>Stone Chiseller</t>
        </is>
      </c>
      <c r="I149" s="86" t="n">
        <v>1.06</v>
      </c>
      <c r="J149" s="50" t="inlineStr">
        <is>
          <t>day</t>
        </is>
      </c>
      <c r="K149" s="51" t="n">
        <v>617</v>
      </c>
      <c r="L149" s="84" t="n">
        <v>654.02</v>
      </c>
      <c r="M149" s="52" t="n">
        <v>8.6</v>
      </c>
      <c r="N149" s="89" t="n">
        <v>9.433962264150942</v>
      </c>
      <c r="O149" s="39" t="inlineStr"/>
      <c r="P149" t="inlineStr">
        <is>
          <t>Foundation &amp; Pipeline Trenching|Hard rock (blasting prohibited)|Mechanical (Hydraulic Excavator 0.9 cum)|Rock breaker / Chiselling (no blasting)|5</t>
        </is>
      </c>
      <c r="Q149" t="n">
        <v>5</v>
      </c>
      <c r="R149" t="n">
        <v>10</v>
      </c>
      <c r="S149" t="inlineStr">
        <is>
          <t>cum</t>
        </is>
      </c>
      <c r="T149" t="n">
        <v>1016.2</v>
      </c>
      <c r="U149" t="inlineStr">
        <is>
          <t>Pneumatic breaker / hydraulic chiselling</t>
        </is>
      </c>
      <c r="V149" t="inlineStr">
        <is>
          <t>Excavator bucket loading / disposal</t>
        </is>
      </c>
      <c r="W149" t="inlineStr">
        <is>
          <t>Rock dump</t>
        </is>
      </c>
      <c r="X149" t="inlineStr">
        <is>
          <t>None</t>
        </is>
      </c>
      <c r="Y149" t="inlineStr">
        <is>
          <t>None</t>
        </is>
      </c>
      <c r="AA149" t="inlineStr">
        <is>
          <t>Foundation &amp; Pipeline Trenching|Hard rock (blasting prohibited)|Mechanical (Hydraulic Excavator 0.9 cum)|Rock breaker / Chiselling (no blasting)</t>
        </is>
      </c>
      <c r="AB149" t="inlineStr">
        <is>
          <t>Foundation &amp; Pipeline Trenching|Hard rock (blasting prohibited)|Mechanical (Hydraulic Excavator 0.9 cum)</t>
        </is>
      </c>
      <c r="AC149" t="n">
        <v>10</v>
      </c>
      <c r="AD149" t="inlineStr">
        <is>
          <t>cum</t>
        </is>
      </c>
      <c r="AE149" t="n">
        <v>1016.2</v>
      </c>
      <c r="AF149"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Hard rock (blasting prohibited) Details of cost for 10 cum. MACHINERY</t>
        </is>
      </c>
      <c r="AG149" t="inlineStr">
        <is>
          <t>Pneumatic breaker / hydraulic chiselling</t>
        </is>
      </c>
      <c r="AH149" t="inlineStr">
        <is>
          <t>Excavator bucket loading / disposal</t>
        </is>
      </c>
      <c r="AI149" t="inlineStr">
        <is>
          <t>Rock dump</t>
        </is>
      </c>
      <c r="AJ149" t="inlineStr">
        <is>
          <t>None</t>
        </is>
      </c>
      <c r="AK149" t="inlineStr">
        <is>
          <t>None</t>
        </is>
      </c>
      <c r="AL149" s="88" t="inlineStr">
        <is>
          <t>Tree felling girth 60-120 cm girth (cutting &amp; grubbing roots)</t>
        </is>
      </c>
    </row>
    <row r="150" ht="22" customHeight="1">
      <c r="A150" s="16" t="inlineStr">
        <is>
          <t>Foundation &amp; Pipeline Trenching</t>
        </is>
      </c>
      <c r="B150" s="76" t="inlineStr">
        <is>
          <t>Hard rock (blasting prohibited)</t>
        </is>
      </c>
      <c r="C150" s="76" t="inlineStr">
        <is>
          <t>Mechanical (Hydraulic Excavator 0.9 cum)</t>
        </is>
      </c>
      <c r="D150" s="76" t="inlineStr">
        <is>
          <t>Rock breaker / Chiselling (no blasting)</t>
        </is>
      </c>
      <c r="E150" s="28" t="inlineStr">
        <is>
          <t>10 cum</t>
        </is>
      </c>
      <c r="F150" s="32" t="inlineStr">
        <is>
          <t>Sundries &amp; Allowances</t>
        </is>
      </c>
      <c r="G150" s="21" t="inlineStr">
        <is>
          <t>0103</t>
        </is>
      </c>
      <c r="H150" s="76" t="inlineStr">
        <is>
          <t>Blacksmith 2nd class</t>
        </is>
      </c>
      <c r="I150" s="86" t="n">
        <v>0.175</v>
      </c>
      <c r="J150" s="50" t="inlineStr">
        <is>
          <t>day</t>
        </is>
      </c>
      <c r="K150" s="51" t="n">
        <v>679</v>
      </c>
      <c r="L150" s="84" t="n">
        <v>118.82</v>
      </c>
      <c r="M150" s="52" t="n">
        <v>1.6</v>
      </c>
      <c r="N150" s="89" t="n">
        <v>57.14285714285715</v>
      </c>
      <c r="O150" s="39" t="inlineStr"/>
      <c r="P150" t="inlineStr">
        <is>
          <t>Foundation &amp; Pipeline Trenching|Hard rock (blasting prohibited)|Mechanical (Hydraulic Excavator 0.9 cum)|Rock breaker / Chiselling (no blasting)|6</t>
        </is>
      </c>
      <c r="Q150" t="n">
        <v>6</v>
      </c>
      <c r="R150" t="n">
        <v>10</v>
      </c>
      <c r="S150" t="inlineStr">
        <is>
          <t>cum</t>
        </is>
      </c>
      <c r="T150" t="n">
        <v>1016.2</v>
      </c>
      <c r="U150" t="inlineStr">
        <is>
          <t>Pneumatic breaker / hydraulic chiselling</t>
        </is>
      </c>
      <c r="V150" t="inlineStr">
        <is>
          <t>Excavator bucket loading / disposal</t>
        </is>
      </c>
      <c r="W150" t="inlineStr">
        <is>
          <t>Rock dump</t>
        </is>
      </c>
      <c r="X150" t="inlineStr">
        <is>
          <t>None</t>
        </is>
      </c>
      <c r="Y150" t="inlineStr">
        <is>
          <t>None</t>
        </is>
      </c>
      <c r="AA150" t="inlineStr">
        <is>
          <t>Foundation &amp; Pipeline Trenching|All kinds of soil|Manual labor (depth ≤1.5m)|Foundation trenches &amp; drain trenches</t>
        </is>
      </c>
      <c r="AB150" t="inlineStr">
        <is>
          <t>Foundation &amp; Pipeline Trenching|All kinds of soil|Manual labor (depth ≤1.5m)</t>
        </is>
      </c>
      <c r="AC150" t="n">
        <v>10</v>
      </c>
      <c r="AD150" t="inlineStr">
        <is>
          <t>cum</t>
        </is>
      </c>
      <c r="AE150" t="n">
        <v>252.3</v>
      </c>
      <c r="AF150" t="inlineStr">
        <is>
          <t>Earth work in excavation by mechanical means (Hydraulic excavator) / manual means in foundation trenches or drains (not exceeding 1.5 m in width or 10 sqm on plan), including dressing of sides and ramming of bottoms, lift upto 1.5 m, including getting out the excavated soil and disposal of surplus excavated soil as directed, within a lead of 50 m.: All kinds of soil. Details of cost for 10 cum. MACHINERY</t>
        </is>
      </c>
      <c r="AG150" t="inlineStr">
        <is>
          <t>Pickaxe Beldar / crowbar</t>
        </is>
      </c>
      <c r="AH150" t="inlineStr">
        <is>
          <t>Basket Coolie (50m lead / 1.5m lift)</t>
        </is>
      </c>
      <c r="AI150" t="inlineStr">
        <is>
          <t>Trench bank disposal</t>
        </is>
      </c>
      <c r="AJ150" t="inlineStr">
        <is>
          <t>None</t>
        </is>
      </c>
      <c r="AK150" t="inlineStr">
        <is>
          <t>None</t>
        </is>
      </c>
      <c r="AL150" s="88" t="inlineStr">
        <is>
          <t>Tree felling girth above 240 cm girth (cutting &amp; grubbing roots)</t>
        </is>
      </c>
    </row>
    <row r="151" ht="22" customHeight="1">
      <c r="A151" s="16" t="inlineStr">
        <is>
          <t>Foundation &amp; Pipeline Trenching</t>
        </is>
      </c>
      <c r="B151" s="76" t="inlineStr">
        <is>
          <t>Hard rock (blasting prohibited)</t>
        </is>
      </c>
      <c r="C151" s="76" t="inlineStr">
        <is>
          <t>Mechanical (Hydraulic Excavator 0.9 cum)</t>
        </is>
      </c>
      <c r="D151" s="76" t="inlineStr">
        <is>
          <t>Rock breaker / Chiselling (no blasting)</t>
        </is>
      </c>
      <c r="E151" s="28" t="inlineStr">
        <is>
          <t>10 cum</t>
        </is>
      </c>
      <c r="F151" s="32" t="inlineStr">
        <is>
          <t>Labour (Semi-Skilled / Operational)</t>
        </is>
      </c>
      <c r="G151" s="21" t="inlineStr">
        <is>
          <t>0114</t>
        </is>
      </c>
      <c r="H151" s="76" t="inlineStr">
        <is>
          <t>Beldar</t>
        </is>
      </c>
      <c r="I151" s="86" t="n">
        <v>0.75</v>
      </c>
      <c r="J151" s="50" t="inlineStr">
        <is>
          <t>day</t>
        </is>
      </c>
      <c r="K151" s="51" t="n">
        <v>558</v>
      </c>
      <c r="L151" s="84" t="n">
        <v>418.5</v>
      </c>
      <c r="M151" s="52" t="n">
        <v>5.5</v>
      </c>
      <c r="N151" s="89" t="n">
        <v>13.33333333333333</v>
      </c>
      <c r="O151" s="39" t="inlineStr"/>
      <c r="P151" t="inlineStr">
        <is>
          <t>Foundation &amp; Pipeline Trenching|Hard rock (blasting prohibited)|Mechanical (Hydraulic Excavator 0.9 cum)|Rock breaker / Chiselling (no blasting)|7</t>
        </is>
      </c>
      <c r="Q151" t="n">
        <v>7</v>
      </c>
      <c r="R151" t="n">
        <v>10</v>
      </c>
      <c r="S151" t="inlineStr">
        <is>
          <t>cum</t>
        </is>
      </c>
      <c r="T151" t="n">
        <v>1016.2</v>
      </c>
      <c r="U151" t="inlineStr">
        <is>
          <t>Pneumatic breaker / hydraulic chiselling</t>
        </is>
      </c>
      <c r="V151" t="inlineStr">
        <is>
          <t>Excavator bucket loading / disposal</t>
        </is>
      </c>
      <c r="W151" t="inlineStr">
        <is>
          <t>Rock dump</t>
        </is>
      </c>
      <c r="X151" t="inlineStr">
        <is>
          <t>None</t>
        </is>
      </c>
      <c r="Y151" t="inlineStr">
        <is>
          <t>None</t>
        </is>
      </c>
      <c r="AA151" t="inlineStr">
        <is>
          <t>Foundation &amp; Pipeline Trenching|Ordinary rock|Manual labor (depth ≤1.5m)|Foundation trenches &amp; drain trenches</t>
        </is>
      </c>
      <c r="AB151" t="inlineStr">
        <is>
          <t>Foundation &amp; Pipeline Trenching|Ordinary rock|Manual labor (depth ≤1.5m)</t>
        </is>
      </c>
      <c r="AC151" t="n">
        <v>10</v>
      </c>
      <c r="AD151" t="inlineStr">
        <is>
          <t>cum</t>
        </is>
      </c>
      <c r="AE151" t="n">
        <v>448.15</v>
      </c>
      <c r="AF151" t="inlineStr">
        <is>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 Ordinary rock Details of cost for 10 cum. MACHINERY</t>
        </is>
      </c>
      <c r="AG151" t="inlineStr">
        <is>
          <t>Pickaxe Beldar / crowbar</t>
        </is>
      </c>
      <c r="AH151" t="inlineStr">
        <is>
          <t>Basket Coolie (50m lead / 1.5m lift)</t>
        </is>
      </c>
      <c r="AI151" t="inlineStr">
        <is>
          <t>Trench bank disposal</t>
        </is>
      </c>
      <c r="AJ151" t="inlineStr">
        <is>
          <t>None</t>
        </is>
      </c>
      <c r="AK151" t="inlineStr">
        <is>
          <t>None</t>
        </is>
      </c>
    </row>
    <row r="152" ht="22" customHeight="1">
      <c r="A152" s="16" t="inlineStr">
        <is>
          <t>Foundation &amp; Pipeline Trenching</t>
        </is>
      </c>
      <c r="B152" s="76" t="inlineStr">
        <is>
          <t>Hard rock (blasting prohibited)</t>
        </is>
      </c>
      <c r="C152" s="76" t="inlineStr">
        <is>
          <t>Mechanical (Hydraulic Excavator 0.9 cum)</t>
        </is>
      </c>
      <c r="D152" s="76" t="inlineStr">
        <is>
          <t>Rock breaker / Chiselling (no blasting)</t>
        </is>
      </c>
      <c r="E152" s="28" t="inlineStr">
        <is>
          <t>10 cum</t>
        </is>
      </c>
      <c r="F152" s="32" t="inlineStr">
        <is>
          <t>Labour (Unskilled / Haulage)</t>
        </is>
      </c>
      <c r="G152" s="21" t="inlineStr">
        <is>
          <t>0115</t>
        </is>
      </c>
      <c r="H152" s="76" t="inlineStr">
        <is>
          <t>Coolie</t>
        </is>
      </c>
      <c r="I152" s="86" t="n">
        <v>1</v>
      </c>
      <c r="J152" s="50" t="inlineStr">
        <is>
          <t>day</t>
        </is>
      </c>
      <c r="K152" s="51" t="n">
        <v>558</v>
      </c>
      <c r="L152" s="84" t="n">
        <v>558</v>
      </c>
      <c r="M152" s="52" t="n">
        <v>7.3</v>
      </c>
      <c r="N152" s="89" t="n">
        <v>10</v>
      </c>
      <c r="O152" s="39" t="inlineStr"/>
      <c r="P152" t="inlineStr">
        <is>
          <t>Foundation &amp; Pipeline Trenching|Hard rock (blasting prohibited)|Mechanical (Hydraulic Excavator 0.9 cum)|Rock breaker / Chiselling (no blasting)|8</t>
        </is>
      </c>
      <c r="Q152" t="n">
        <v>8</v>
      </c>
      <c r="R152" t="n">
        <v>10</v>
      </c>
      <c r="S152" t="inlineStr">
        <is>
          <t>cum</t>
        </is>
      </c>
      <c r="T152" t="n">
        <v>1016.2</v>
      </c>
      <c r="U152" t="inlineStr">
        <is>
          <t>Pneumatic breaker / hydraulic chiselling</t>
        </is>
      </c>
      <c r="V152" t="inlineStr">
        <is>
          <t>Excavator bucket loading / disposal</t>
        </is>
      </c>
      <c r="W152" t="inlineStr">
        <is>
          <t>Rock dump</t>
        </is>
      </c>
      <c r="X152" t="inlineStr">
        <is>
          <t>None</t>
        </is>
      </c>
      <c r="Y152" t="inlineStr">
        <is>
          <t>None</t>
        </is>
      </c>
      <c r="AA152" t="inlineStr">
        <is>
          <t>Foundation &amp; Pipeline Trenching|Hard rock (blasting permitted)|Manual labor (depth ≤1.5m)|Rock blasting + manual trench excavation</t>
        </is>
      </c>
      <c r="AB152" t="inlineStr">
        <is>
          <t>Foundation &amp; Pipeline Trenching|Hard rock (blasting permitted)|Manual labor (depth ≤1.5m)</t>
        </is>
      </c>
      <c r="AC152" t="n">
        <v>10</v>
      </c>
      <c r="AD152" t="inlineStr">
        <is>
          <t>cum</t>
        </is>
      </c>
      <c r="AE152" t="n">
        <v>729</v>
      </c>
      <c r="AF152" t="inlineStr">
        <is>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 Hard rock (requiring blasting) Details of cost for 10 cum. MACHINERY</t>
        </is>
      </c>
      <c r="AG152" t="inlineStr">
        <is>
          <t>Manual blasting &amp; sledging</t>
        </is>
      </c>
      <c r="AH152" t="inlineStr">
        <is>
          <t>Basket Coolie (50m lead / 1.5m lift)</t>
        </is>
      </c>
      <c r="AI152" t="inlineStr">
        <is>
          <t>Trench bank disposal</t>
        </is>
      </c>
      <c r="AJ152" t="inlineStr">
        <is>
          <t>None</t>
        </is>
      </c>
      <c r="AK152" t="inlineStr">
        <is>
          <t>None</t>
        </is>
      </c>
    </row>
    <row r="153" ht="22" customHeight="1">
      <c r="A153" s="16" t="inlineStr">
        <is>
          <t>Foundation &amp; Pipeline Trenching</t>
        </is>
      </c>
      <c r="B153" s="76" t="inlineStr">
        <is>
          <t>Hard rock (blasting prohibited)</t>
        </is>
      </c>
      <c r="C153" s="76" t="inlineStr">
        <is>
          <t>Mechanical (Hydraulic Excavator 0.9 cum)</t>
        </is>
      </c>
      <c r="D153" s="76" t="inlineStr">
        <is>
          <t>Rock breaker / Chiselling (no blasting)</t>
        </is>
      </c>
      <c r="E153" s="28" t="inlineStr">
        <is>
          <t>10 cum</t>
        </is>
      </c>
      <c r="F153" s="32" t="inlineStr">
        <is>
          <t>Sundries &amp; Allowances</t>
        </is>
      </c>
      <c r="G153" s="21" t="inlineStr">
        <is>
          <t>9999</t>
        </is>
      </c>
      <c r="H153" s="76" t="inlineStr">
        <is>
          <t>Sundries</t>
        </is>
      </c>
      <c r="I153" s="86" t="n">
        <v>16.12</v>
      </c>
      <c r="J153" s="50" t="inlineStr">
        <is>
          <t>L.S.</t>
        </is>
      </c>
      <c r="K153" s="51" t="n">
        <v>2</v>
      </c>
      <c r="L153" s="84" t="n">
        <v>32.24</v>
      </c>
      <c r="M153" s="52" t="n">
        <v>0.4</v>
      </c>
      <c r="N153" s="32" t="inlineStr"/>
      <c r="O153" s="39" t="inlineStr"/>
      <c r="P153" t="inlineStr">
        <is>
          <t>Foundation &amp; Pipeline Trenching|Hard rock (blasting prohibited)|Mechanical (Hydraulic Excavator 0.9 cum)|Rock breaker / Chiselling (no blasting)|9</t>
        </is>
      </c>
      <c r="Q153" t="n">
        <v>9</v>
      </c>
      <c r="R153" t="n">
        <v>10</v>
      </c>
      <c r="S153" t="inlineStr">
        <is>
          <t>cum</t>
        </is>
      </c>
      <c r="T153" t="n">
        <v>1016.2</v>
      </c>
      <c r="U153" t="inlineStr">
        <is>
          <t>Pneumatic breaker / hydraulic chiselling</t>
        </is>
      </c>
      <c r="V153" t="inlineStr">
        <is>
          <t>Excavator bucket loading / disposal</t>
        </is>
      </c>
      <c r="W153" t="inlineStr">
        <is>
          <t>Rock dump</t>
        </is>
      </c>
      <c r="X153" t="inlineStr">
        <is>
          <t>None</t>
        </is>
      </c>
      <c r="Y153" t="inlineStr">
        <is>
          <t>None</t>
        </is>
      </c>
      <c r="AA153" t="inlineStr">
        <is>
          <t>Foundation &amp; Pipeline Trenching|Hard rock (blasting prohibited)|Manual labor (depth ≤1.5m)|Manual rock chiselling (no blasting)</t>
        </is>
      </c>
      <c r="AB153" t="inlineStr">
        <is>
          <t>Foundation &amp; Pipeline Trenching|Hard rock (blasting prohibited)|Manual labor (depth ≤1.5m)</t>
        </is>
      </c>
      <c r="AC153" t="n">
        <v>10</v>
      </c>
      <c r="AD153" t="inlineStr">
        <is>
          <t>cum</t>
        </is>
      </c>
      <c r="AE153" t="n">
        <v>1080.55</v>
      </c>
      <c r="AF153" t="inlineStr">
        <is>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 Hard rock (blasting prohibited) Details of cost for 10 cum. MACHINERY</t>
        </is>
      </c>
      <c r="AG153" t="inlineStr">
        <is>
          <t>Steel chiselling &amp; hammer striking</t>
        </is>
      </c>
      <c r="AH153" t="inlineStr">
        <is>
          <t>Basket Coolie (50m lead / 1.5m lift)</t>
        </is>
      </c>
      <c r="AI153" t="inlineStr">
        <is>
          <t>Trench bank disposal</t>
        </is>
      </c>
      <c r="AJ153" t="inlineStr">
        <is>
          <t>None</t>
        </is>
      </c>
      <c r="AK153" t="inlineStr">
        <is>
          <t>None</t>
        </is>
      </c>
    </row>
    <row r="154" ht="22" customHeight="1">
      <c r="A154" s="16" t="inlineStr">
        <is>
          <t>Foundation &amp; Pipeline Trenching</t>
        </is>
      </c>
      <c r="B154" s="76" t="inlineStr">
        <is>
          <t>All kinds of soil</t>
        </is>
      </c>
      <c r="C154" s="76" t="inlineStr">
        <is>
          <t>Manual labor (depth ≤1.5m)</t>
        </is>
      </c>
      <c r="D154" s="76" t="inlineStr">
        <is>
          <t>Foundation trenches &amp; drain trenches</t>
        </is>
      </c>
      <c r="E154" s="28" t="inlineStr">
        <is>
          <t>10 cum</t>
        </is>
      </c>
      <c r="F154" s="32" t="inlineStr">
        <is>
          <t>Plant &amp; Machinery</t>
        </is>
      </c>
      <c r="G154" s="21" t="inlineStr">
        <is>
          <t>0020</t>
        </is>
      </c>
      <c r="H154" s="76" t="inlineStr">
        <is>
          <t>Hydraulic Excavator (3D) incl driver+fuel</t>
        </is>
      </c>
      <c r="I154" s="86" t="n">
        <v>0.04125</v>
      </c>
      <c r="J154" s="50" t="inlineStr">
        <is>
          <t>day</t>
        </is>
      </c>
      <c r="K154" s="51" t="n">
        <v>7000</v>
      </c>
      <c r="L154" s="84" t="n">
        <v>288.75</v>
      </c>
      <c r="M154" s="52" t="n">
        <v>15.3</v>
      </c>
      <c r="N154" s="89" t="n">
        <v>242.4242424242424</v>
      </c>
      <c r="O154" s="39" t="inlineStr">
        <is>
          <t>2 men × 7.60 h = 15.20 man-hrs ÷ 8 = 1.90 bd. Manual foundation trench digging: 5.263 cum/8-hr day (0.658 cum/hr).</t>
        </is>
      </c>
      <c r="P154" t="inlineStr">
        <is>
          <t>Foundation &amp; Pipeline Trenching|All kinds of soil|Manual labor (depth ≤1.5m)|Foundation trenches &amp; drain trenches|1</t>
        </is>
      </c>
      <c r="Q154" t="n">
        <v>1</v>
      </c>
      <c r="R154" t="n">
        <v>10</v>
      </c>
      <c r="S154" t="inlineStr">
        <is>
          <t>cum</t>
        </is>
      </c>
      <c r="T154" t="n">
        <v>252.3</v>
      </c>
      <c r="U154" t="inlineStr">
        <is>
          <t>Pickaxe Beldar / crowbar</t>
        </is>
      </c>
      <c r="V154" t="inlineStr">
        <is>
          <t>Basket Coolie (50m lead / 1.5m lift)</t>
        </is>
      </c>
      <c r="W154" t="inlineStr">
        <is>
          <t>Trench bank disposal</t>
        </is>
      </c>
      <c r="X154" t="inlineStr">
        <is>
          <t>None</t>
        </is>
      </c>
      <c r="Y154" t="inlineStr">
        <is>
          <t>None</t>
        </is>
      </c>
    </row>
    <row r="155" ht="22" customHeight="1">
      <c r="A155" s="16" t="inlineStr">
        <is>
          <t>Foundation &amp; Pipeline Trenching</t>
        </is>
      </c>
      <c r="B155" s="76" t="inlineStr">
        <is>
          <t>All kinds of soil</t>
        </is>
      </c>
      <c r="C155" s="76" t="inlineStr">
        <is>
          <t>Manual labor (depth ≤1.5m)</t>
        </is>
      </c>
      <c r="D155" s="76" t="inlineStr">
        <is>
          <t>Foundation trenches &amp; drain trenches</t>
        </is>
      </c>
      <c r="E155" s="28" t="inlineStr">
        <is>
          <t>10 cum</t>
        </is>
      </c>
      <c r="F155" s="32" t="inlineStr">
        <is>
          <t>Plant &amp; Machinery</t>
        </is>
      </c>
      <c r="G155" s="21" t="inlineStr">
        <is>
          <t>0018</t>
        </is>
      </c>
      <c r="H155" s="76" t="inlineStr">
        <is>
          <t>Hire – Loader</t>
        </is>
      </c>
      <c r="I155" s="86" t="n">
        <v>0.04125</v>
      </c>
      <c r="J155" s="50" t="inlineStr">
        <is>
          <t>day</t>
        </is>
      </c>
      <c r="K155" s="51" t="n">
        <v>5000</v>
      </c>
      <c r="L155" s="84" t="n">
        <v>206.25</v>
      </c>
      <c r="M155" s="52" t="n">
        <v>10.9</v>
      </c>
      <c r="N155" s="89" t="n">
        <v>242.4242424242424</v>
      </c>
      <c r="O155" s="39" t="inlineStr">
        <is>
          <t>2 men × 5.60 h = 11.20 man-hrs ÷ 8 = 1.40 cd. Lifting soil 1.5m and clearing 1m back: 7.143 cum/8-hr day (0.893 cum/hr).</t>
        </is>
      </c>
      <c r="P155" t="inlineStr">
        <is>
          <t>Foundation &amp; Pipeline Trenching|All kinds of soil|Manual labor (depth ≤1.5m)|Foundation trenches &amp; drain trenches|2</t>
        </is>
      </c>
      <c r="Q155" t="n">
        <v>2</v>
      </c>
      <c r="R155" t="n">
        <v>10</v>
      </c>
      <c r="S155" t="inlineStr">
        <is>
          <t>cum</t>
        </is>
      </c>
      <c r="T155" t="n">
        <v>252.3</v>
      </c>
      <c r="U155" t="inlineStr">
        <is>
          <t>Pickaxe Beldar / crowbar</t>
        </is>
      </c>
      <c r="V155" t="inlineStr">
        <is>
          <t>Basket Coolie (50m lead / 1.5m lift)</t>
        </is>
      </c>
      <c r="W155" t="inlineStr">
        <is>
          <t>Trench bank disposal</t>
        </is>
      </c>
      <c r="X155" t="inlineStr">
        <is>
          <t>None</t>
        </is>
      </c>
      <c r="Y155" t="inlineStr">
        <is>
          <t>None</t>
        </is>
      </c>
    </row>
    <row r="156" ht="22" customHeight="1">
      <c r="A156" s="16" t="inlineStr">
        <is>
          <t>Foundation &amp; Pipeline Trenching</t>
        </is>
      </c>
      <c r="B156" s="76" t="inlineStr">
        <is>
          <t>All kinds of soil</t>
        </is>
      </c>
      <c r="C156" s="76" t="inlineStr">
        <is>
          <t>Manual labor (depth ≤1.5m)</t>
        </is>
      </c>
      <c r="D156" s="76" t="inlineStr">
        <is>
          <t>Foundation trenches &amp; drain trenches</t>
        </is>
      </c>
      <c r="E156" s="28" t="inlineStr">
        <is>
          <t>10 cum</t>
        </is>
      </c>
      <c r="F156" s="32" t="inlineStr">
        <is>
          <t>Labour (Supervisory / Mate)</t>
        </is>
      </c>
      <c r="G156" s="21" t="inlineStr">
        <is>
          <t>0128</t>
        </is>
      </c>
      <c r="H156" s="76" t="inlineStr">
        <is>
          <t>Mate</t>
        </is>
      </c>
      <c r="I156" s="86" t="n">
        <v>0.4</v>
      </c>
      <c r="J156" s="50" t="inlineStr">
        <is>
          <t>day</t>
        </is>
      </c>
      <c r="K156" s="51" t="n">
        <v>617</v>
      </c>
      <c r="L156" s="84" t="n">
        <v>246.8</v>
      </c>
      <c r="M156" s="52" t="n">
        <v>13.1</v>
      </c>
      <c r="N156" s="89" t="n">
        <v>25</v>
      </c>
      <c r="O156" s="39" t="inlineStr">
        <is>
          <t>1 man × 1.28 h ÷ 8 = 0.16 mate-day. Direct gang supervision (~5% of direct labour).</t>
        </is>
      </c>
      <c r="P156" t="inlineStr">
        <is>
          <t>Foundation &amp; Pipeline Trenching|All kinds of soil|Manual labor (depth ≤1.5m)|Foundation trenches &amp; drain trenches|3</t>
        </is>
      </c>
      <c r="Q156" t="n">
        <v>3</v>
      </c>
      <c r="R156" t="n">
        <v>10</v>
      </c>
      <c r="S156" t="inlineStr">
        <is>
          <t>cum</t>
        </is>
      </c>
      <c r="T156" t="n">
        <v>252.3</v>
      </c>
      <c r="U156" t="inlineStr">
        <is>
          <t>Pickaxe Beldar / crowbar</t>
        </is>
      </c>
      <c r="V156" t="inlineStr">
        <is>
          <t>Basket Coolie (50m lead / 1.5m lift)</t>
        </is>
      </c>
      <c r="W156" t="inlineStr">
        <is>
          <t>Trench bank disposal</t>
        </is>
      </c>
      <c r="X156" t="inlineStr">
        <is>
          <t>None</t>
        </is>
      </c>
      <c r="Y156" t="inlineStr">
        <is>
          <t>None</t>
        </is>
      </c>
    </row>
    <row r="157" ht="22" customHeight="1">
      <c r="A157" s="16" t="inlineStr">
        <is>
          <t>Foundation &amp; Pipeline Trenching</t>
        </is>
      </c>
      <c r="B157" s="76" t="inlineStr">
        <is>
          <t>All kinds of soil</t>
        </is>
      </c>
      <c r="C157" s="76" t="inlineStr">
        <is>
          <t>Manual labor (depth ≤1.5m)</t>
        </is>
      </c>
      <c r="D157" s="76" t="inlineStr">
        <is>
          <t>Foundation trenches &amp; drain trenches</t>
        </is>
      </c>
      <c r="E157" s="28" t="inlineStr">
        <is>
          <t>10 cum</t>
        </is>
      </c>
      <c r="F157" s="32" t="inlineStr">
        <is>
          <t>Labour (Unskilled / Haulage)</t>
        </is>
      </c>
      <c r="G157" s="21" t="inlineStr">
        <is>
          <t>0115</t>
        </is>
      </c>
      <c r="H157" s="76" t="inlineStr">
        <is>
          <t>Coolie</t>
        </is>
      </c>
      <c r="I157" s="86" t="n">
        <v>2.05</v>
      </c>
      <c r="J157" s="50" t="inlineStr">
        <is>
          <t>day</t>
        </is>
      </c>
      <c r="K157" s="51" t="n">
        <v>558</v>
      </c>
      <c r="L157" s="84" t="n">
        <v>1143.9</v>
      </c>
      <c r="M157" s="52" t="n">
        <v>60.7</v>
      </c>
      <c r="N157" s="89" t="n">
        <v>4.878048780487806</v>
      </c>
      <c r="O157" s="39" t="inlineStr">
        <is>
          <t>1 man × 0.40 h (24 min) ÷ 8 = 0.05 bhisti-day. Trench bottom dampening &amp; dust control.</t>
        </is>
      </c>
      <c r="P157" t="inlineStr">
        <is>
          <t>Foundation &amp; Pipeline Trenching|All kinds of soil|Manual labor (depth ≤1.5m)|Foundation trenches &amp; drain trenches|4</t>
        </is>
      </c>
      <c r="Q157" t="n">
        <v>4</v>
      </c>
      <c r="R157" t="n">
        <v>10</v>
      </c>
      <c r="S157" t="inlineStr">
        <is>
          <t>cum</t>
        </is>
      </c>
      <c r="T157" t="n">
        <v>252.3</v>
      </c>
      <c r="U157" t="inlineStr">
        <is>
          <t>Pickaxe Beldar / crowbar</t>
        </is>
      </c>
      <c r="V157" t="inlineStr">
        <is>
          <t>Basket Coolie (50m lead / 1.5m lift)</t>
        </is>
      </c>
      <c r="W157" t="inlineStr">
        <is>
          <t>Trench bank disposal</t>
        </is>
      </c>
      <c r="X157" t="inlineStr">
        <is>
          <t>None</t>
        </is>
      </c>
      <c r="Y157" t="inlineStr">
        <is>
          <t>None</t>
        </is>
      </c>
    </row>
    <row r="158" ht="22" customHeight="1">
      <c r="A158" s="16" t="inlineStr">
        <is>
          <t>Foundation &amp; Pipeline Trenching</t>
        </is>
      </c>
      <c r="B158" s="76" t="inlineStr">
        <is>
          <t>Ordinary rock</t>
        </is>
      </c>
      <c r="C158" s="76" t="inlineStr">
        <is>
          <t>Manual labor (depth ≤1.5m)</t>
        </is>
      </c>
      <c r="D158" s="76" t="inlineStr">
        <is>
          <t>Foundation trenches &amp; drain trenches</t>
        </is>
      </c>
      <c r="E158" s="28" t="inlineStr">
        <is>
          <t>10 cum</t>
        </is>
      </c>
      <c r="F158" s="32" t="inlineStr">
        <is>
          <t>Plant &amp; Machinery</t>
        </is>
      </c>
      <c r="G158" s="21" t="inlineStr">
        <is>
          <t>0020</t>
        </is>
      </c>
      <c r="H158" s="76" t="inlineStr">
        <is>
          <t>Hydraulic Excavator (3D) incl driver+fuel</t>
        </is>
      </c>
      <c r="I158" s="86" t="n">
        <v>0.0625</v>
      </c>
      <c r="J158" s="50" t="inlineStr">
        <is>
          <t>day</t>
        </is>
      </c>
      <c r="K158" s="51" t="n">
        <v>7000</v>
      </c>
      <c r="L158" s="84" t="n">
        <v>437.5</v>
      </c>
      <c r="M158" s="52" t="n">
        <v>13.1</v>
      </c>
      <c r="N158" s="89" t="n">
        <v>160</v>
      </c>
      <c r="O158" s="39" t="inlineStr"/>
      <c r="P158" t="inlineStr">
        <is>
          <t>Foundation &amp; Pipeline Trenching|Ordinary rock|Manual labor (depth ≤1.5m)|Foundation trenches &amp; drain trenches|1</t>
        </is>
      </c>
      <c r="Q158" t="n">
        <v>1</v>
      </c>
      <c r="R158" t="n">
        <v>10</v>
      </c>
      <c r="S158" t="inlineStr">
        <is>
          <t>cum</t>
        </is>
      </c>
      <c r="T158" t="n">
        <v>448.15</v>
      </c>
      <c r="U158" t="inlineStr">
        <is>
          <t>Pickaxe Beldar / crowbar</t>
        </is>
      </c>
      <c r="V158" t="inlineStr">
        <is>
          <t>Basket Coolie (50m lead / 1.5m lift)</t>
        </is>
      </c>
      <c r="W158" t="inlineStr">
        <is>
          <t>Trench bank disposal</t>
        </is>
      </c>
      <c r="X158" t="inlineStr">
        <is>
          <t>None</t>
        </is>
      </c>
      <c r="Y158" t="inlineStr">
        <is>
          <t>None</t>
        </is>
      </c>
    </row>
    <row r="159" ht="22" customHeight="1">
      <c r="A159" s="16" t="inlineStr">
        <is>
          <t>Foundation &amp; Pipeline Trenching</t>
        </is>
      </c>
      <c r="B159" s="76" t="inlineStr">
        <is>
          <t>Ordinary rock</t>
        </is>
      </c>
      <c r="C159" s="76" t="inlineStr">
        <is>
          <t>Manual labor (depth ≤1.5m)</t>
        </is>
      </c>
      <c r="D159" s="76" t="inlineStr">
        <is>
          <t>Foundation trenches &amp; drain trenches</t>
        </is>
      </c>
      <c r="E159" s="28" t="inlineStr">
        <is>
          <t>10 cum</t>
        </is>
      </c>
      <c r="F159" s="32" t="inlineStr">
        <is>
          <t>Plant &amp; Machinery</t>
        </is>
      </c>
      <c r="G159" s="21" t="inlineStr">
        <is>
          <t>0017</t>
        </is>
      </c>
      <c r="H159" s="76" t="inlineStr">
        <is>
          <t>Hire – Tipper</t>
        </is>
      </c>
      <c r="I159" s="86" t="n">
        <v>0.0625</v>
      </c>
      <c r="J159" s="50" t="inlineStr">
        <is>
          <t>day</t>
        </is>
      </c>
      <c r="K159" s="51" t="n">
        <v>1700</v>
      </c>
      <c r="L159" s="84" t="n">
        <v>106.25</v>
      </c>
      <c r="M159" s="52" t="n">
        <v>3.2</v>
      </c>
      <c r="N159" s="89" t="n">
        <v>160</v>
      </c>
      <c r="O159" s="39" t="inlineStr"/>
      <c r="P159" t="inlineStr">
        <is>
          <t>Foundation &amp; Pipeline Trenching|Ordinary rock|Manual labor (depth ≤1.5m)|Foundation trenches &amp; drain trenches|2</t>
        </is>
      </c>
      <c r="Q159" t="n">
        <v>2</v>
      </c>
      <c r="R159" t="n">
        <v>10</v>
      </c>
      <c r="S159" t="inlineStr">
        <is>
          <t>cum</t>
        </is>
      </c>
      <c r="T159" t="n">
        <v>448.15</v>
      </c>
      <c r="U159" t="inlineStr">
        <is>
          <t>Pickaxe Beldar / crowbar</t>
        </is>
      </c>
      <c r="V159" t="inlineStr">
        <is>
          <t>Basket Coolie (50m lead / 1.5m lift)</t>
        </is>
      </c>
      <c r="W159" t="inlineStr">
        <is>
          <t>Trench bank disposal</t>
        </is>
      </c>
      <c r="X159" t="inlineStr">
        <is>
          <t>None</t>
        </is>
      </c>
      <c r="Y159" t="inlineStr">
        <is>
          <t>None</t>
        </is>
      </c>
    </row>
    <row r="160" ht="22" customHeight="1">
      <c r="A160" s="16" t="inlineStr">
        <is>
          <t>Foundation &amp; Pipeline Trenching</t>
        </is>
      </c>
      <c r="B160" s="76" t="inlineStr">
        <is>
          <t>Ordinary rock</t>
        </is>
      </c>
      <c r="C160" s="76" t="inlineStr">
        <is>
          <t>Manual labor (depth ≤1.5m)</t>
        </is>
      </c>
      <c r="D160" s="76" t="inlineStr">
        <is>
          <t>Foundation trenches &amp; drain trenches</t>
        </is>
      </c>
      <c r="E160" s="28" t="inlineStr">
        <is>
          <t>10 cum</t>
        </is>
      </c>
      <c r="F160" s="32" t="inlineStr">
        <is>
          <t>Sundries &amp; Allowances</t>
        </is>
      </c>
      <c r="G160" s="21" t="inlineStr">
        <is>
          <t>0132</t>
        </is>
      </c>
      <c r="H160" s="76" t="inlineStr">
        <is>
          <t>Rock Excavator</t>
        </is>
      </c>
      <c r="I160" s="86" t="n">
        <v>0.885</v>
      </c>
      <c r="J160" s="50" t="inlineStr">
        <is>
          <t>day</t>
        </is>
      </c>
      <c r="K160" s="51" t="n">
        <v>558</v>
      </c>
      <c r="L160" s="84" t="n">
        <v>493.83</v>
      </c>
      <c r="M160" s="52" t="n">
        <v>14.7</v>
      </c>
      <c r="N160" s="89" t="n">
        <v>11.29943502824859</v>
      </c>
      <c r="O160" s="39" t="inlineStr"/>
      <c r="P160" t="inlineStr">
        <is>
          <t>Foundation &amp; Pipeline Trenching|Ordinary rock|Manual labor (depth ≤1.5m)|Foundation trenches &amp; drain trenches|3</t>
        </is>
      </c>
      <c r="Q160" t="n">
        <v>3</v>
      </c>
      <c r="R160" t="n">
        <v>10</v>
      </c>
      <c r="S160" t="inlineStr">
        <is>
          <t>cum</t>
        </is>
      </c>
      <c r="T160" t="n">
        <v>448.15</v>
      </c>
      <c r="U160" t="inlineStr">
        <is>
          <t>Pickaxe Beldar / crowbar</t>
        </is>
      </c>
      <c r="V160" t="inlineStr">
        <is>
          <t>Basket Coolie (50m lead / 1.5m lift)</t>
        </is>
      </c>
      <c r="W160" t="inlineStr">
        <is>
          <t>Trench bank disposal</t>
        </is>
      </c>
      <c r="X160" t="inlineStr">
        <is>
          <t>None</t>
        </is>
      </c>
      <c r="Y160" t="inlineStr">
        <is>
          <t>None</t>
        </is>
      </c>
    </row>
    <row r="161" ht="22" customHeight="1">
      <c r="A161" s="16" t="inlineStr">
        <is>
          <t>Foundation &amp; Pipeline Trenching</t>
        </is>
      </c>
      <c r="B161" s="76" t="inlineStr">
        <is>
          <t>Ordinary rock</t>
        </is>
      </c>
      <c r="C161" s="76" t="inlineStr">
        <is>
          <t>Manual labor (depth ≤1.5m)</t>
        </is>
      </c>
      <c r="D161" s="76" t="inlineStr">
        <is>
          <t>Foundation trenches &amp; drain trenches</t>
        </is>
      </c>
      <c r="E161" s="28" t="inlineStr">
        <is>
          <t>10 cum</t>
        </is>
      </c>
      <c r="F161" s="32" t="inlineStr">
        <is>
          <t>Sundries &amp; Allowances</t>
        </is>
      </c>
      <c r="G161" s="21" t="inlineStr">
        <is>
          <t>0133</t>
        </is>
      </c>
      <c r="H161" s="76" t="inlineStr">
        <is>
          <t>Rock Breaker</t>
        </is>
      </c>
      <c r="I161" s="86" t="n">
        <v>1.765</v>
      </c>
      <c r="J161" s="50" t="inlineStr">
        <is>
          <t>day</t>
        </is>
      </c>
      <c r="K161" s="51" t="n">
        <v>558</v>
      </c>
      <c r="L161" s="84" t="n">
        <v>984.87</v>
      </c>
      <c r="M161" s="52" t="n">
        <v>29.4</v>
      </c>
      <c r="N161" s="89" t="n">
        <v>5.6657223796034</v>
      </c>
      <c r="O161" s="39" t="inlineStr"/>
      <c r="P161" t="inlineStr">
        <is>
          <t>Foundation &amp; Pipeline Trenching|Ordinary rock|Manual labor (depth ≤1.5m)|Foundation trenches &amp; drain trenches|4</t>
        </is>
      </c>
      <c r="Q161" t="n">
        <v>4</v>
      </c>
      <c r="R161" t="n">
        <v>10</v>
      </c>
      <c r="S161" t="inlineStr">
        <is>
          <t>cum</t>
        </is>
      </c>
      <c r="T161" t="n">
        <v>448.15</v>
      </c>
      <c r="U161" t="inlineStr">
        <is>
          <t>Pickaxe Beldar / crowbar</t>
        </is>
      </c>
      <c r="V161" t="inlineStr">
        <is>
          <t>Basket Coolie (50m lead / 1.5m lift)</t>
        </is>
      </c>
      <c r="W161" t="inlineStr">
        <is>
          <t>Trench bank disposal</t>
        </is>
      </c>
      <c r="X161" t="inlineStr">
        <is>
          <t>None</t>
        </is>
      </c>
      <c r="Y161" t="inlineStr">
        <is>
          <t>None</t>
        </is>
      </c>
    </row>
    <row r="162" ht="22" customHeight="1">
      <c r="A162" s="16" t="inlineStr">
        <is>
          <t>Foundation &amp; Pipeline Trenching</t>
        </is>
      </c>
      <c r="B162" s="76" t="inlineStr">
        <is>
          <t>Ordinary rock</t>
        </is>
      </c>
      <c r="C162" s="76" t="inlineStr">
        <is>
          <t>Manual labor (depth ≤1.5m)</t>
        </is>
      </c>
      <c r="D162" s="76" t="inlineStr">
        <is>
          <t>Foundation trenches &amp; drain trenches</t>
        </is>
      </c>
      <c r="E162" s="28" t="inlineStr">
        <is>
          <t>10 cum</t>
        </is>
      </c>
      <c r="F162" s="32" t="inlineStr">
        <is>
          <t>Sundries &amp; Allowances</t>
        </is>
      </c>
      <c r="G162" s="21" t="inlineStr">
        <is>
          <t>0134</t>
        </is>
      </c>
      <c r="H162" s="76" t="inlineStr">
        <is>
          <t>Rock Hole Driller</t>
        </is>
      </c>
      <c r="I162" s="86" t="n">
        <v>0.53</v>
      </c>
      <c r="J162" s="50" t="inlineStr">
        <is>
          <t>day</t>
        </is>
      </c>
      <c r="K162" s="51" t="n">
        <v>558</v>
      </c>
      <c r="L162" s="84" t="n">
        <v>295.74</v>
      </c>
      <c r="M162" s="52" t="n">
        <v>8.800000000000001</v>
      </c>
      <c r="N162" s="89" t="n">
        <v>18.86792452830188</v>
      </c>
      <c r="O162" s="39" t="inlineStr"/>
      <c r="P162" t="inlineStr">
        <is>
          <t>Foundation &amp; Pipeline Trenching|Ordinary rock|Manual labor (depth ≤1.5m)|Foundation trenches &amp; drain trenches|5</t>
        </is>
      </c>
      <c r="Q162" t="n">
        <v>5</v>
      </c>
      <c r="R162" t="n">
        <v>10</v>
      </c>
      <c r="S162" t="inlineStr">
        <is>
          <t>cum</t>
        </is>
      </c>
      <c r="T162" t="n">
        <v>448.15</v>
      </c>
      <c r="U162" t="inlineStr">
        <is>
          <t>Pickaxe Beldar / crowbar</t>
        </is>
      </c>
      <c r="V162" t="inlineStr">
        <is>
          <t>Basket Coolie (50m lead / 1.5m lift)</t>
        </is>
      </c>
      <c r="W162" t="inlineStr">
        <is>
          <t>Trench bank disposal</t>
        </is>
      </c>
      <c r="X162" t="inlineStr">
        <is>
          <t>None</t>
        </is>
      </c>
      <c r="Y162" t="inlineStr">
        <is>
          <t>None</t>
        </is>
      </c>
    </row>
    <row r="163" ht="22" customHeight="1">
      <c r="A163" s="16" t="inlineStr">
        <is>
          <t>Foundation &amp; Pipeline Trenching</t>
        </is>
      </c>
      <c r="B163" s="76" t="inlineStr">
        <is>
          <t>Ordinary rock</t>
        </is>
      </c>
      <c r="C163" s="76" t="inlineStr">
        <is>
          <t>Manual labor (depth ≤1.5m)</t>
        </is>
      </c>
      <c r="D163" s="76" t="inlineStr">
        <is>
          <t>Foundation trenches &amp; drain trenches</t>
        </is>
      </c>
      <c r="E163" s="28" t="inlineStr">
        <is>
          <t>10 cum</t>
        </is>
      </c>
      <c r="F163" s="32" t="inlineStr">
        <is>
          <t>Labour (Semi-Skilled / Operational)</t>
        </is>
      </c>
      <c r="G163" s="21" t="inlineStr">
        <is>
          <t>0114</t>
        </is>
      </c>
      <c r="H163" s="76" t="inlineStr">
        <is>
          <t>Beldar</t>
        </is>
      </c>
      <c r="I163" s="86" t="n">
        <v>0.5</v>
      </c>
      <c r="J163" s="50" t="inlineStr">
        <is>
          <t>day</t>
        </is>
      </c>
      <c r="K163" s="51" t="n">
        <v>558</v>
      </c>
      <c r="L163" s="84" t="n">
        <v>279</v>
      </c>
      <c r="M163" s="52" t="n">
        <v>8.300000000000001</v>
      </c>
      <c r="N163" s="89" t="n">
        <v>20</v>
      </c>
      <c r="O163" s="39" t="inlineStr"/>
      <c r="P163" t="inlineStr">
        <is>
          <t>Foundation &amp; Pipeline Trenching|Ordinary rock|Manual labor (depth ≤1.5m)|Foundation trenches &amp; drain trenches|6</t>
        </is>
      </c>
      <c r="Q163" t="n">
        <v>6</v>
      </c>
      <c r="R163" t="n">
        <v>10</v>
      </c>
      <c r="S163" t="inlineStr">
        <is>
          <t>cum</t>
        </is>
      </c>
      <c r="T163" t="n">
        <v>448.15</v>
      </c>
      <c r="U163" t="inlineStr">
        <is>
          <t>Pickaxe Beldar / crowbar</t>
        </is>
      </c>
      <c r="V163" t="inlineStr">
        <is>
          <t>Basket Coolie (50m lead / 1.5m lift)</t>
        </is>
      </c>
      <c r="W163" t="inlineStr">
        <is>
          <t>Trench bank disposal</t>
        </is>
      </c>
      <c r="X163" t="inlineStr">
        <is>
          <t>None</t>
        </is>
      </c>
      <c r="Y163" t="inlineStr">
        <is>
          <t>None</t>
        </is>
      </c>
    </row>
    <row r="164" ht="22" customHeight="1">
      <c r="A164" s="16" t="inlineStr">
        <is>
          <t>Foundation &amp; Pipeline Trenching</t>
        </is>
      </c>
      <c r="B164" s="76" t="inlineStr">
        <is>
          <t>Ordinary rock</t>
        </is>
      </c>
      <c r="C164" s="76" t="inlineStr">
        <is>
          <t>Manual labor (depth ≤1.5m)</t>
        </is>
      </c>
      <c r="D164" s="76" t="inlineStr">
        <is>
          <t>Foundation trenches &amp; drain trenches</t>
        </is>
      </c>
      <c r="E164" s="28" t="inlineStr">
        <is>
          <t>10 cum</t>
        </is>
      </c>
      <c r="F164" s="32" t="inlineStr">
        <is>
          <t>Labour (Unskilled / Haulage)</t>
        </is>
      </c>
      <c r="G164" s="21" t="inlineStr">
        <is>
          <t>0115</t>
        </is>
      </c>
      <c r="H164" s="76" t="inlineStr">
        <is>
          <t>Coolie</t>
        </is>
      </c>
      <c r="I164" s="86" t="n">
        <v>1.3</v>
      </c>
      <c r="J164" s="50" t="inlineStr">
        <is>
          <t>day</t>
        </is>
      </c>
      <c r="K164" s="51" t="n">
        <v>558</v>
      </c>
      <c r="L164" s="84" t="n">
        <v>725.4</v>
      </c>
      <c r="M164" s="52" t="n">
        <v>21.7</v>
      </c>
      <c r="N164" s="89" t="n">
        <v>7.692307692307692</v>
      </c>
      <c r="O164" s="39" t="inlineStr"/>
      <c r="P164" t="inlineStr">
        <is>
          <t>Foundation &amp; Pipeline Trenching|Ordinary rock|Manual labor (depth ≤1.5m)|Foundation trenches &amp; drain trenches|7</t>
        </is>
      </c>
      <c r="Q164" t="n">
        <v>7</v>
      </c>
      <c r="R164" t="n">
        <v>10</v>
      </c>
      <c r="S164" t="inlineStr">
        <is>
          <t>cum</t>
        </is>
      </c>
      <c r="T164" t="n">
        <v>448.15</v>
      </c>
      <c r="U164" t="inlineStr">
        <is>
          <t>Pickaxe Beldar / crowbar</t>
        </is>
      </c>
      <c r="V164" t="inlineStr">
        <is>
          <t>Basket Coolie (50m lead / 1.5m lift)</t>
        </is>
      </c>
      <c r="W164" t="inlineStr">
        <is>
          <t>Trench bank disposal</t>
        </is>
      </c>
      <c r="X164" t="inlineStr">
        <is>
          <t>None</t>
        </is>
      </c>
      <c r="Y164" t="inlineStr">
        <is>
          <t>None</t>
        </is>
      </c>
    </row>
    <row r="165" ht="22" customHeight="1">
      <c r="A165" s="16" t="inlineStr">
        <is>
          <t>Foundation &amp; Pipeline Trenching</t>
        </is>
      </c>
      <c r="B165" s="76" t="inlineStr">
        <is>
          <t>Ordinary rock</t>
        </is>
      </c>
      <c r="C165" s="76" t="inlineStr">
        <is>
          <t>Manual labor (depth ≤1.5m)</t>
        </is>
      </c>
      <c r="D165" s="76" t="inlineStr">
        <is>
          <t>Foundation trenches &amp; drain trenches</t>
        </is>
      </c>
      <c r="E165" s="28" t="inlineStr">
        <is>
          <t>10 cum</t>
        </is>
      </c>
      <c r="F165" s="32" t="inlineStr">
        <is>
          <t>Sundries &amp; Allowances</t>
        </is>
      </c>
      <c r="G165" s="21" t="inlineStr">
        <is>
          <t>9999</t>
        </is>
      </c>
      <c r="H165" s="76" t="inlineStr">
        <is>
          <t>Sundries</t>
        </is>
      </c>
      <c r="I165" s="86" t="n">
        <v>13.52</v>
      </c>
      <c r="J165" s="50" t="inlineStr">
        <is>
          <t>L.S.</t>
        </is>
      </c>
      <c r="K165" s="51" t="n">
        <v>2</v>
      </c>
      <c r="L165" s="84" t="n">
        <v>27.04</v>
      </c>
      <c r="M165" s="52" t="n">
        <v>0.8</v>
      </c>
      <c r="N165" s="32" t="inlineStr"/>
      <c r="O165" s="39" t="inlineStr"/>
      <c r="P165" t="inlineStr">
        <is>
          <t>Foundation &amp; Pipeline Trenching|Ordinary rock|Manual labor (depth ≤1.5m)|Foundation trenches &amp; drain trenches|8</t>
        </is>
      </c>
      <c r="Q165" t="n">
        <v>8</v>
      </c>
      <c r="R165" t="n">
        <v>10</v>
      </c>
      <c r="S165" t="inlineStr">
        <is>
          <t>cum</t>
        </is>
      </c>
      <c r="T165" t="n">
        <v>448.15</v>
      </c>
      <c r="U165" t="inlineStr">
        <is>
          <t>Pickaxe Beldar / crowbar</t>
        </is>
      </c>
      <c r="V165" t="inlineStr">
        <is>
          <t>Basket Coolie (50m lead / 1.5m lift)</t>
        </is>
      </c>
      <c r="W165" t="inlineStr">
        <is>
          <t>Trench bank disposal</t>
        </is>
      </c>
      <c r="X165" t="inlineStr">
        <is>
          <t>None</t>
        </is>
      </c>
      <c r="Y165" t="inlineStr">
        <is>
          <t>None</t>
        </is>
      </c>
    </row>
    <row r="166" ht="22" customHeight="1">
      <c r="A166" s="16" t="inlineStr">
        <is>
          <t>Foundation &amp; Pipeline Trenching</t>
        </is>
      </c>
      <c r="B166" s="76" t="inlineStr">
        <is>
          <t>Hard rock (blasting permitted)</t>
        </is>
      </c>
      <c r="C166" s="76" t="inlineStr">
        <is>
          <t>Manual labor (depth ≤1.5m)</t>
        </is>
      </c>
      <c r="D166" s="76" t="inlineStr">
        <is>
          <t>Rock blasting + manual trench excavation</t>
        </is>
      </c>
      <c r="E166" s="28" t="inlineStr">
        <is>
          <t>10 cum</t>
        </is>
      </c>
      <c r="F166" s="32" t="inlineStr">
        <is>
          <t>Plant &amp; Machinery</t>
        </is>
      </c>
      <c r="G166" s="21" t="inlineStr">
        <is>
          <t>0020</t>
        </is>
      </c>
      <c r="H166" s="76" t="inlineStr">
        <is>
          <t>Hydraulic Excavator (3D) incl driver+fuel</t>
        </is>
      </c>
      <c r="I166" s="86" t="n">
        <v>0.125</v>
      </c>
      <c r="J166" s="50" t="inlineStr">
        <is>
          <t>day</t>
        </is>
      </c>
      <c r="K166" s="51" t="n">
        <v>7000</v>
      </c>
      <c r="L166" s="84" t="n">
        <v>875</v>
      </c>
      <c r="M166" s="52" t="n">
        <v>16.1</v>
      </c>
      <c r="N166" s="89" t="n">
        <v>80</v>
      </c>
      <c r="O166" s="39" t="inlineStr"/>
      <c r="P166" t="inlineStr">
        <is>
          <t>Foundation &amp; Pipeline Trenching|Hard rock (blasting permitted)|Manual labor (depth ≤1.5m)|Rock blasting + manual trench excavation|1</t>
        </is>
      </c>
      <c r="Q166" t="n">
        <v>1</v>
      </c>
      <c r="R166" t="n">
        <v>10</v>
      </c>
      <c r="S166" t="inlineStr">
        <is>
          <t>cum</t>
        </is>
      </c>
      <c r="T166" t="n">
        <v>729</v>
      </c>
      <c r="U166" t="inlineStr">
        <is>
          <t>Manual blasting &amp; sledging</t>
        </is>
      </c>
      <c r="V166" t="inlineStr">
        <is>
          <t>Basket Coolie (50m lead / 1.5m lift)</t>
        </is>
      </c>
      <c r="W166" t="inlineStr">
        <is>
          <t>Trench bank disposal</t>
        </is>
      </c>
      <c r="X166" t="inlineStr">
        <is>
          <t>None</t>
        </is>
      </c>
      <c r="Y166" t="inlineStr">
        <is>
          <t>None</t>
        </is>
      </c>
    </row>
    <row r="167" ht="22" customHeight="1">
      <c r="A167" s="16" t="inlineStr">
        <is>
          <t>Foundation &amp; Pipeline Trenching</t>
        </is>
      </c>
      <c r="B167" s="76" t="inlineStr">
        <is>
          <t>Hard rock (blasting permitted)</t>
        </is>
      </c>
      <c r="C167" s="76" t="inlineStr">
        <is>
          <t>Manual labor (depth ≤1.5m)</t>
        </is>
      </c>
      <c r="D167" s="76" t="inlineStr">
        <is>
          <t>Rock blasting + manual trench excavation</t>
        </is>
      </c>
      <c r="E167" s="28" t="inlineStr">
        <is>
          <t>10 cum</t>
        </is>
      </c>
      <c r="F167" s="32" t="inlineStr">
        <is>
          <t>Plant &amp; Machinery</t>
        </is>
      </c>
      <c r="G167" s="21" t="inlineStr">
        <is>
          <t>0017</t>
        </is>
      </c>
      <c r="H167" s="76" t="inlineStr">
        <is>
          <t>Hire – Tipper</t>
        </is>
      </c>
      <c r="I167" s="86" t="n">
        <v>0.125</v>
      </c>
      <c r="J167" s="50" t="inlineStr">
        <is>
          <t>day</t>
        </is>
      </c>
      <c r="K167" s="51" t="n">
        <v>1700</v>
      </c>
      <c r="L167" s="84" t="n">
        <v>212.5</v>
      </c>
      <c r="M167" s="52" t="n">
        <v>3.9</v>
      </c>
      <c r="N167" s="89" t="n">
        <v>80</v>
      </c>
      <c r="O167" s="39" t="inlineStr"/>
      <c r="P167" t="inlineStr">
        <is>
          <t>Foundation &amp; Pipeline Trenching|Hard rock (blasting permitted)|Manual labor (depth ≤1.5m)|Rock blasting + manual trench excavation|2</t>
        </is>
      </c>
      <c r="Q167" t="n">
        <v>2</v>
      </c>
      <c r="R167" t="n">
        <v>10</v>
      </c>
      <c r="S167" t="inlineStr">
        <is>
          <t>cum</t>
        </is>
      </c>
      <c r="T167" t="n">
        <v>729</v>
      </c>
      <c r="U167" t="inlineStr">
        <is>
          <t>Manual blasting &amp; sledging</t>
        </is>
      </c>
      <c r="V167" t="inlineStr">
        <is>
          <t>Basket Coolie (50m lead / 1.5m lift)</t>
        </is>
      </c>
      <c r="W167" t="inlineStr">
        <is>
          <t>Trench bank disposal</t>
        </is>
      </c>
      <c r="X167" t="inlineStr">
        <is>
          <t>None</t>
        </is>
      </c>
      <c r="Y167" t="inlineStr">
        <is>
          <t>None</t>
        </is>
      </c>
    </row>
    <row r="168" ht="22" customHeight="1">
      <c r="A168" s="16" t="inlineStr">
        <is>
          <t>Foundation &amp; Pipeline Trenching</t>
        </is>
      </c>
      <c r="B168" s="76" t="inlineStr">
        <is>
          <t>Hard rock (blasting permitted)</t>
        </is>
      </c>
      <c r="C168" s="76" t="inlineStr">
        <is>
          <t>Manual labor (depth ≤1.5m)</t>
        </is>
      </c>
      <c r="D168" s="76" t="inlineStr">
        <is>
          <t>Rock blasting + manual trench excavation</t>
        </is>
      </c>
      <c r="E168" s="28" t="inlineStr">
        <is>
          <t>10 cum</t>
        </is>
      </c>
      <c r="F168" s="32" t="inlineStr">
        <is>
          <t>Sundries &amp; Allowances</t>
        </is>
      </c>
      <c r="G168" s="21" t="inlineStr">
        <is>
          <t>0132</t>
        </is>
      </c>
      <c r="H168" s="76" t="inlineStr">
        <is>
          <t>Rock Excavator</t>
        </is>
      </c>
      <c r="I168" s="86" t="n">
        <v>1.24</v>
      </c>
      <c r="J168" s="50" t="inlineStr">
        <is>
          <t>day</t>
        </is>
      </c>
      <c r="K168" s="51" t="n">
        <v>558</v>
      </c>
      <c r="L168" s="84" t="n">
        <v>691.92</v>
      </c>
      <c r="M168" s="52" t="n">
        <v>12.7</v>
      </c>
      <c r="N168" s="89" t="n">
        <v>8.064516129032258</v>
      </c>
      <c r="O168" s="39" t="inlineStr"/>
      <c r="P168" t="inlineStr">
        <is>
          <t>Foundation &amp; Pipeline Trenching|Hard rock (blasting permitted)|Manual labor (depth ≤1.5m)|Rock blasting + manual trench excavation|3</t>
        </is>
      </c>
      <c r="Q168" t="n">
        <v>3</v>
      </c>
      <c r="R168" t="n">
        <v>10</v>
      </c>
      <c r="S168" t="inlineStr">
        <is>
          <t>cum</t>
        </is>
      </c>
      <c r="T168" t="n">
        <v>729</v>
      </c>
      <c r="U168" t="inlineStr">
        <is>
          <t>Manual blasting &amp; sledging</t>
        </is>
      </c>
      <c r="V168" t="inlineStr">
        <is>
          <t>Basket Coolie (50m lead / 1.5m lift)</t>
        </is>
      </c>
      <c r="W168" t="inlineStr">
        <is>
          <t>Trench bank disposal</t>
        </is>
      </c>
      <c r="X168" t="inlineStr">
        <is>
          <t>None</t>
        </is>
      </c>
      <c r="Y168" t="inlineStr">
        <is>
          <t>None</t>
        </is>
      </c>
    </row>
    <row r="169" ht="22" customHeight="1">
      <c r="A169" s="16" t="inlineStr">
        <is>
          <t>Foundation &amp; Pipeline Trenching</t>
        </is>
      </c>
      <c r="B169" s="76" t="inlineStr">
        <is>
          <t>Hard rock (blasting permitted)</t>
        </is>
      </c>
      <c r="C169" s="76" t="inlineStr">
        <is>
          <t>Manual labor (depth ≤1.5m)</t>
        </is>
      </c>
      <c r="D169" s="76" t="inlineStr">
        <is>
          <t>Rock blasting + manual trench excavation</t>
        </is>
      </c>
      <c r="E169" s="28" t="inlineStr">
        <is>
          <t>10 cum</t>
        </is>
      </c>
      <c r="F169" s="32" t="inlineStr">
        <is>
          <t>Sundries &amp; Allowances</t>
        </is>
      </c>
      <c r="G169" s="21" t="inlineStr">
        <is>
          <t>0133</t>
        </is>
      </c>
      <c r="H169" s="76" t="inlineStr">
        <is>
          <t>Rock Breaker</t>
        </is>
      </c>
      <c r="I169" s="86" t="n">
        <v>3</v>
      </c>
      <c r="J169" s="50" t="inlineStr">
        <is>
          <t>day</t>
        </is>
      </c>
      <c r="K169" s="51" t="n">
        <v>558</v>
      </c>
      <c r="L169" s="84" t="n">
        <v>1674</v>
      </c>
      <c r="M169" s="52" t="n">
        <v>30.7</v>
      </c>
      <c r="N169" s="89" t="n">
        <v>3.333333333333333</v>
      </c>
      <c r="O169" s="39" t="inlineStr"/>
      <c r="P169" t="inlineStr">
        <is>
          <t>Foundation &amp; Pipeline Trenching|Hard rock (blasting permitted)|Manual labor (depth ≤1.5m)|Rock blasting + manual trench excavation|4</t>
        </is>
      </c>
      <c r="Q169" t="n">
        <v>4</v>
      </c>
      <c r="R169" t="n">
        <v>10</v>
      </c>
      <c r="S169" t="inlineStr">
        <is>
          <t>cum</t>
        </is>
      </c>
      <c r="T169" t="n">
        <v>729</v>
      </c>
      <c r="U169" t="inlineStr">
        <is>
          <t>Manual blasting &amp; sledging</t>
        </is>
      </c>
      <c r="V169" t="inlineStr">
        <is>
          <t>Basket Coolie (50m lead / 1.5m lift)</t>
        </is>
      </c>
      <c r="W169" t="inlineStr">
        <is>
          <t>Trench bank disposal</t>
        </is>
      </c>
      <c r="X169" t="inlineStr">
        <is>
          <t>None</t>
        </is>
      </c>
      <c r="Y169" t="inlineStr">
        <is>
          <t>None</t>
        </is>
      </c>
    </row>
    <row r="170" ht="22" customHeight="1">
      <c r="A170" s="16" t="inlineStr">
        <is>
          <t>Foundation &amp; Pipeline Trenching</t>
        </is>
      </c>
      <c r="B170" s="76" t="inlineStr">
        <is>
          <t>Hard rock (blasting permitted)</t>
        </is>
      </c>
      <c r="C170" s="76" t="inlineStr">
        <is>
          <t>Manual labor (depth ≤1.5m)</t>
        </is>
      </c>
      <c r="D170" s="76" t="inlineStr">
        <is>
          <t>Rock blasting + manual trench excavation</t>
        </is>
      </c>
      <c r="E170" s="28" t="inlineStr">
        <is>
          <t>10 cum</t>
        </is>
      </c>
      <c r="F170" s="32" t="inlineStr">
        <is>
          <t>Sundries &amp; Allowances</t>
        </is>
      </c>
      <c r="G170" s="21" t="inlineStr">
        <is>
          <t>0134</t>
        </is>
      </c>
      <c r="H170" s="76" t="inlineStr">
        <is>
          <t>Rock Hole Driller</t>
        </is>
      </c>
      <c r="I170" s="86" t="n">
        <v>1.06</v>
      </c>
      <c r="J170" s="50" t="inlineStr">
        <is>
          <t>day</t>
        </is>
      </c>
      <c r="K170" s="51" t="n">
        <v>558</v>
      </c>
      <c r="L170" s="84" t="n">
        <v>591.48</v>
      </c>
      <c r="M170" s="52" t="n">
        <v>10.9</v>
      </c>
      <c r="N170" s="89" t="n">
        <v>9.433962264150942</v>
      </c>
      <c r="O170" s="39" t="inlineStr"/>
      <c r="P170" t="inlineStr">
        <is>
          <t>Foundation &amp; Pipeline Trenching|Hard rock (blasting permitted)|Manual labor (depth ≤1.5m)|Rock blasting + manual trench excavation|5</t>
        </is>
      </c>
      <c r="Q170" t="n">
        <v>5</v>
      </c>
      <c r="R170" t="n">
        <v>10</v>
      </c>
      <c r="S170" t="inlineStr">
        <is>
          <t>cum</t>
        </is>
      </c>
      <c r="T170" t="n">
        <v>729</v>
      </c>
      <c r="U170" t="inlineStr">
        <is>
          <t>Manual blasting &amp; sledging</t>
        </is>
      </c>
      <c r="V170" t="inlineStr">
        <is>
          <t>Basket Coolie (50m lead / 1.5m lift)</t>
        </is>
      </c>
      <c r="W170" t="inlineStr">
        <is>
          <t>Trench bank disposal</t>
        </is>
      </c>
      <c r="X170" t="inlineStr">
        <is>
          <t>None</t>
        </is>
      </c>
      <c r="Y170" t="inlineStr">
        <is>
          <t>None</t>
        </is>
      </c>
    </row>
    <row r="171" ht="22" customHeight="1">
      <c r="A171" s="16" t="inlineStr">
        <is>
          <t>Foundation &amp; Pipeline Trenching</t>
        </is>
      </c>
      <c r="B171" s="76" t="inlineStr">
        <is>
          <t>Hard rock (blasting permitted)</t>
        </is>
      </c>
      <c r="C171" s="76" t="inlineStr">
        <is>
          <t>Manual labor (depth ≤1.5m)</t>
        </is>
      </c>
      <c r="D171" s="76" t="inlineStr">
        <is>
          <t>Rock blasting + manual trench excavation</t>
        </is>
      </c>
      <c r="E171" s="28" t="inlineStr">
        <is>
          <t>10 cum</t>
        </is>
      </c>
      <c r="F171" s="32" t="inlineStr">
        <is>
          <t>Labour (Semi-Skilled / Operational)</t>
        </is>
      </c>
      <c r="G171" s="21" t="inlineStr">
        <is>
          <t>0114</t>
        </is>
      </c>
      <c r="H171" s="76" t="inlineStr">
        <is>
          <t>Beldar</t>
        </is>
      </c>
      <c r="I171" s="86" t="n">
        <v>0.5</v>
      </c>
      <c r="J171" s="50" t="inlineStr">
        <is>
          <t>day</t>
        </is>
      </c>
      <c r="K171" s="51" t="n">
        <v>558</v>
      </c>
      <c r="L171" s="84" t="n">
        <v>279</v>
      </c>
      <c r="M171" s="52" t="n">
        <v>5.1</v>
      </c>
      <c r="N171" s="89" t="n">
        <v>20</v>
      </c>
      <c r="O171" s="39" t="inlineStr"/>
      <c r="P171" t="inlineStr">
        <is>
          <t>Foundation &amp; Pipeline Trenching|Hard rock (blasting permitted)|Manual labor (depth ≤1.5m)|Rock blasting + manual trench excavation|6</t>
        </is>
      </c>
      <c r="Q171" t="n">
        <v>6</v>
      </c>
      <c r="R171" t="n">
        <v>10</v>
      </c>
      <c r="S171" t="inlineStr">
        <is>
          <t>cum</t>
        </is>
      </c>
      <c r="T171" t="n">
        <v>729</v>
      </c>
      <c r="U171" t="inlineStr">
        <is>
          <t>Manual blasting &amp; sledging</t>
        </is>
      </c>
      <c r="V171" t="inlineStr">
        <is>
          <t>Basket Coolie (50m lead / 1.5m lift)</t>
        </is>
      </c>
      <c r="W171" t="inlineStr">
        <is>
          <t>Trench bank disposal</t>
        </is>
      </c>
      <c r="X171" t="inlineStr">
        <is>
          <t>None</t>
        </is>
      </c>
      <c r="Y171" t="inlineStr">
        <is>
          <t>None</t>
        </is>
      </c>
    </row>
    <row r="172" ht="22" customHeight="1">
      <c r="A172" s="16" t="inlineStr">
        <is>
          <t>Foundation &amp; Pipeline Trenching</t>
        </is>
      </c>
      <c r="B172" s="76" t="inlineStr">
        <is>
          <t>Hard rock (blasting permitted)</t>
        </is>
      </c>
      <c r="C172" s="76" t="inlineStr">
        <is>
          <t>Manual labor (depth ≤1.5m)</t>
        </is>
      </c>
      <c r="D172" s="76" t="inlineStr">
        <is>
          <t>Rock blasting + manual trench excavation</t>
        </is>
      </c>
      <c r="E172" s="28" t="inlineStr">
        <is>
          <t>10 cum</t>
        </is>
      </c>
      <c r="F172" s="32" t="inlineStr">
        <is>
          <t>Labour (Unskilled / Haulage)</t>
        </is>
      </c>
      <c r="G172" s="21" t="inlineStr">
        <is>
          <t>0115</t>
        </is>
      </c>
      <c r="H172" s="76" t="inlineStr">
        <is>
          <t>Coolie</t>
        </is>
      </c>
      <c r="I172" s="86" t="n">
        <v>1.3</v>
      </c>
      <c r="J172" s="50" t="inlineStr">
        <is>
          <t>day</t>
        </is>
      </c>
      <c r="K172" s="51" t="n">
        <v>558</v>
      </c>
      <c r="L172" s="84" t="n">
        <v>725.4</v>
      </c>
      <c r="M172" s="52" t="n">
        <v>13.3</v>
      </c>
      <c r="N172" s="89" t="n">
        <v>7.692307692307692</v>
      </c>
      <c r="O172" s="39" t="inlineStr"/>
      <c r="P172" t="inlineStr">
        <is>
          <t>Foundation &amp; Pipeline Trenching|Hard rock (blasting permitted)|Manual labor (depth ≤1.5m)|Rock blasting + manual trench excavation|7</t>
        </is>
      </c>
      <c r="Q172" t="n">
        <v>7</v>
      </c>
      <c r="R172" t="n">
        <v>10</v>
      </c>
      <c r="S172" t="inlineStr">
        <is>
          <t>cum</t>
        </is>
      </c>
      <c r="T172" t="n">
        <v>729</v>
      </c>
      <c r="U172" t="inlineStr">
        <is>
          <t>Manual blasting &amp; sledging</t>
        </is>
      </c>
      <c r="V172" t="inlineStr">
        <is>
          <t>Basket Coolie (50m lead / 1.5m lift)</t>
        </is>
      </c>
      <c r="W172" t="inlineStr">
        <is>
          <t>Trench bank disposal</t>
        </is>
      </c>
      <c r="X172" t="inlineStr">
        <is>
          <t>None</t>
        </is>
      </c>
      <c r="Y172" t="inlineStr">
        <is>
          <t>None</t>
        </is>
      </c>
    </row>
    <row r="173" ht="22" customHeight="1">
      <c r="A173" s="16" t="inlineStr">
        <is>
          <t>Foundation &amp; Pipeline Trenching</t>
        </is>
      </c>
      <c r="B173" s="76" t="inlineStr">
        <is>
          <t>Hard rock (blasting permitted)</t>
        </is>
      </c>
      <c r="C173" s="76" t="inlineStr">
        <is>
          <t>Manual labor (depth ≤1.5m)</t>
        </is>
      </c>
      <c r="D173" s="76" t="inlineStr">
        <is>
          <t>Rock blasting + manual trench excavation</t>
        </is>
      </c>
      <c r="E173" s="28" t="inlineStr">
        <is>
          <t>10 cum</t>
        </is>
      </c>
      <c r="F173" s="32" t="inlineStr">
        <is>
          <t>Material &amp; Consumables</t>
        </is>
      </c>
      <c r="G173" s="21" t="inlineStr">
        <is>
          <t>0325</t>
        </is>
      </c>
      <c r="H173" s="76" t="inlineStr">
        <is>
          <t>Blasting powder</t>
        </is>
      </c>
      <c r="I173" s="86" t="n">
        <v>6.42</v>
      </c>
      <c r="J173" s="50" t="inlineStr">
        <is>
          <t>kg</t>
        </is>
      </c>
      <c r="K173" s="51" t="n">
        <v>40</v>
      </c>
      <c r="L173" s="84" t="n">
        <v>256.8</v>
      </c>
      <c r="M173" s="52" t="n">
        <v>4.7</v>
      </c>
      <c r="N173" s="32" t="inlineStr"/>
      <c r="O173" s="39" t="inlineStr"/>
      <c r="P173" t="inlineStr">
        <is>
          <t>Foundation &amp; Pipeline Trenching|Hard rock (blasting permitted)|Manual labor (depth ≤1.5m)|Rock blasting + manual trench excavation|8</t>
        </is>
      </c>
      <c r="Q173" t="n">
        <v>8</v>
      </c>
      <c r="R173" t="n">
        <v>10</v>
      </c>
      <c r="S173" t="inlineStr">
        <is>
          <t>cum</t>
        </is>
      </c>
      <c r="T173" t="n">
        <v>729</v>
      </c>
      <c r="U173" t="inlineStr">
        <is>
          <t>Manual blasting &amp; sledging</t>
        </is>
      </c>
      <c r="V173" t="inlineStr">
        <is>
          <t>Basket Coolie (50m lead / 1.5m lift)</t>
        </is>
      </c>
      <c r="W173" t="inlineStr">
        <is>
          <t>Trench bank disposal</t>
        </is>
      </c>
      <c r="X173" t="inlineStr">
        <is>
          <t>None</t>
        </is>
      </c>
      <c r="Y173" t="inlineStr">
        <is>
          <t>None</t>
        </is>
      </c>
    </row>
    <row r="174" ht="22" customHeight="1">
      <c r="A174" s="16" t="inlineStr">
        <is>
          <t>Foundation &amp; Pipeline Trenching</t>
        </is>
      </c>
      <c r="B174" s="76" t="inlineStr">
        <is>
          <t>Hard rock (blasting permitted)</t>
        </is>
      </c>
      <c r="C174" s="76" t="inlineStr">
        <is>
          <t>Manual labor (depth ≤1.5m)</t>
        </is>
      </c>
      <c r="D174" s="76" t="inlineStr">
        <is>
          <t>Rock blasting + manual trench excavation</t>
        </is>
      </c>
      <c r="E174" s="28" t="inlineStr">
        <is>
          <t>10 cum</t>
        </is>
      </c>
      <c r="F174" s="32" t="inlineStr">
        <is>
          <t>Material &amp; Consumables</t>
        </is>
      </c>
      <c r="G174" s="21" t="inlineStr">
        <is>
          <t>0326</t>
        </is>
      </c>
      <c r="H174" s="76" t="inlineStr">
        <is>
          <t>Blasting fuse wire</t>
        </is>
      </c>
      <c r="I174" s="86" t="n">
        <v>7</v>
      </c>
      <c r="J174" s="50" t="inlineStr">
        <is>
          <t>each</t>
        </is>
      </c>
      <c r="K174" s="51" t="n">
        <v>15</v>
      </c>
      <c r="L174" s="84" t="n">
        <v>105</v>
      </c>
      <c r="M174" s="52" t="n">
        <v>1.9</v>
      </c>
      <c r="N174" s="32" t="inlineStr"/>
      <c r="O174" s="39" t="inlineStr"/>
      <c r="P174" t="inlineStr">
        <is>
          <t>Foundation &amp; Pipeline Trenching|Hard rock (blasting permitted)|Manual labor (depth ≤1.5m)|Rock blasting + manual trench excavation|9</t>
        </is>
      </c>
      <c r="Q174" t="n">
        <v>9</v>
      </c>
      <c r="R174" t="n">
        <v>10</v>
      </c>
      <c r="S174" t="inlineStr">
        <is>
          <t>cum</t>
        </is>
      </c>
      <c r="T174" t="n">
        <v>729</v>
      </c>
      <c r="U174" t="inlineStr">
        <is>
          <t>Manual blasting &amp; sledging</t>
        </is>
      </c>
      <c r="V174" t="inlineStr">
        <is>
          <t>Basket Coolie (50m lead / 1.5m lift)</t>
        </is>
      </c>
      <c r="W174" t="inlineStr">
        <is>
          <t>Trench bank disposal</t>
        </is>
      </c>
      <c r="X174" t="inlineStr">
        <is>
          <t>None</t>
        </is>
      </c>
      <c r="Y174" t="inlineStr">
        <is>
          <t>None</t>
        </is>
      </c>
    </row>
    <row r="175" ht="22" customHeight="1">
      <c r="A175" s="16" t="inlineStr">
        <is>
          <t>Foundation &amp; Pipeline Trenching</t>
        </is>
      </c>
      <c r="B175" s="76" t="inlineStr">
        <is>
          <t>Hard rock (blasting permitted)</t>
        </is>
      </c>
      <c r="C175" s="76" t="inlineStr">
        <is>
          <t>Manual labor (depth ≤1.5m)</t>
        </is>
      </c>
      <c r="D175" s="76" t="inlineStr">
        <is>
          <t>Rock blasting + manual trench excavation</t>
        </is>
      </c>
      <c r="E175" s="28" t="inlineStr">
        <is>
          <t>10 cum</t>
        </is>
      </c>
      <c r="F175" s="32" t="inlineStr">
        <is>
          <t>Sundries &amp; Allowances</t>
        </is>
      </c>
      <c r="G175" s="21" t="inlineStr">
        <is>
          <t>9999</t>
        </is>
      </c>
      <c r="H175" s="76" t="inlineStr">
        <is>
          <t>Sundries</t>
        </is>
      </c>
      <c r="I175" s="86" t="n">
        <v>18.85</v>
      </c>
      <c r="J175" s="50" t="inlineStr">
        <is>
          <t>L.S.</t>
        </is>
      </c>
      <c r="K175" s="51" t="n">
        <v>2</v>
      </c>
      <c r="L175" s="84" t="n">
        <v>37.7</v>
      </c>
      <c r="M175" s="52" t="n">
        <v>0.7</v>
      </c>
      <c r="N175" s="32" t="inlineStr"/>
      <c r="O175" s="39" t="inlineStr"/>
      <c r="P175" t="inlineStr">
        <is>
          <t>Foundation &amp; Pipeline Trenching|Hard rock (blasting permitted)|Manual labor (depth ≤1.5m)|Rock blasting + manual trench excavation|10</t>
        </is>
      </c>
      <c r="Q175" t="n">
        <v>10</v>
      </c>
      <c r="R175" t="n">
        <v>10</v>
      </c>
      <c r="S175" t="inlineStr">
        <is>
          <t>cum</t>
        </is>
      </c>
      <c r="T175" t="n">
        <v>729</v>
      </c>
      <c r="U175" t="inlineStr">
        <is>
          <t>Manual blasting &amp; sledging</t>
        </is>
      </c>
      <c r="V175" t="inlineStr">
        <is>
          <t>Basket Coolie (50m lead / 1.5m lift)</t>
        </is>
      </c>
      <c r="W175" t="inlineStr">
        <is>
          <t>Trench bank disposal</t>
        </is>
      </c>
      <c r="X175" t="inlineStr">
        <is>
          <t>None</t>
        </is>
      </c>
      <c r="Y175" t="inlineStr">
        <is>
          <t>None</t>
        </is>
      </c>
    </row>
    <row r="176" ht="22" customHeight="1">
      <c r="A176" s="16" t="inlineStr">
        <is>
          <t>Foundation &amp; Pipeline Trenching</t>
        </is>
      </c>
      <c r="B176" s="76" t="inlineStr">
        <is>
          <t>Hard rock (blasting prohibited)</t>
        </is>
      </c>
      <c r="C176" s="76" t="inlineStr">
        <is>
          <t>Manual labor (depth ≤1.5m)</t>
        </is>
      </c>
      <c r="D176" s="76" t="inlineStr">
        <is>
          <t>Manual rock chiselling (no blasting)</t>
        </is>
      </c>
      <c r="E176" s="28" t="inlineStr">
        <is>
          <t>10 cum</t>
        </is>
      </c>
      <c r="F176" s="32" t="inlineStr">
        <is>
          <t>Plant &amp; Machinery</t>
        </is>
      </c>
      <c r="G176" s="21" t="inlineStr">
        <is>
          <t>0020</t>
        </is>
      </c>
      <c r="H176" s="76" t="inlineStr">
        <is>
          <t>Hydraulic Excavator (3D) incl driver+fuel</t>
        </is>
      </c>
      <c r="I176" s="86" t="n">
        <v>0.125</v>
      </c>
      <c r="J176" s="50" t="inlineStr">
        <is>
          <t>day</t>
        </is>
      </c>
      <c r="K176" s="51" t="n">
        <v>7000</v>
      </c>
      <c r="L176" s="84" t="n">
        <v>875</v>
      </c>
      <c r="M176" s="52" t="n">
        <v>10.8</v>
      </c>
      <c r="N176" s="89" t="n">
        <v>80</v>
      </c>
      <c r="O176" s="39" t="inlineStr"/>
      <c r="P176" t="inlineStr">
        <is>
          <t>Foundation &amp; Pipeline Trenching|Hard rock (blasting prohibited)|Manual labor (depth ≤1.5m)|Manual rock chiselling (no blasting)|1</t>
        </is>
      </c>
      <c r="Q176" t="n">
        <v>1</v>
      </c>
      <c r="R176" t="n">
        <v>10</v>
      </c>
      <c r="S176" t="inlineStr">
        <is>
          <t>cum</t>
        </is>
      </c>
      <c r="T176" t="n">
        <v>1080.55</v>
      </c>
      <c r="U176" t="inlineStr">
        <is>
          <t>Steel chiselling &amp; hammer striking</t>
        </is>
      </c>
      <c r="V176" t="inlineStr">
        <is>
          <t>Basket Coolie (50m lead / 1.5m lift)</t>
        </is>
      </c>
      <c r="W176" t="inlineStr">
        <is>
          <t>Trench bank disposal</t>
        </is>
      </c>
      <c r="X176" t="inlineStr">
        <is>
          <t>None</t>
        </is>
      </c>
      <c r="Y176" t="inlineStr">
        <is>
          <t>None</t>
        </is>
      </c>
    </row>
    <row r="177" ht="22" customHeight="1">
      <c r="A177" s="16" t="inlineStr">
        <is>
          <t>Foundation &amp; Pipeline Trenching</t>
        </is>
      </c>
      <c r="B177" s="76" t="inlineStr">
        <is>
          <t>Hard rock (blasting prohibited)</t>
        </is>
      </c>
      <c r="C177" s="76" t="inlineStr">
        <is>
          <t>Manual labor (depth ≤1.5m)</t>
        </is>
      </c>
      <c r="D177" s="76" t="inlineStr">
        <is>
          <t>Manual rock chiselling (no blasting)</t>
        </is>
      </c>
      <c r="E177" s="28" t="inlineStr">
        <is>
          <t>10 cum</t>
        </is>
      </c>
      <c r="F177" s="32" t="inlineStr">
        <is>
          <t>Plant &amp; Machinery</t>
        </is>
      </c>
      <c r="G177" s="21" t="inlineStr">
        <is>
          <t>0017</t>
        </is>
      </c>
      <c r="H177" s="76" t="inlineStr">
        <is>
          <t>Hire – Tipper</t>
        </is>
      </c>
      <c r="I177" s="86" t="n">
        <v>0.125</v>
      </c>
      <c r="J177" s="50" t="inlineStr">
        <is>
          <t>day</t>
        </is>
      </c>
      <c r="K177" s="51" t="n">
        <v>1700</v>
      </c>
      <c r="L177" s="84" t="n">
        <v>212.5</v>
      </c>
      <c r="M177" s="52" t="n">
        <v>2.6</v>
      </c>
      <c r="N177" s="89" t="n">
        <v>80</v>
      </c>
      <c r="O177" s="39" t="inlineStr"/>
      <c r="P177" t="inlineStr">
        <is>
          <t>Foundation &amp; Pipeline Trenching|Hard rock (blasting prohibited)|Manual labor (depth ≤1.5m)|Manual rock chiselling (no blasting)|2</t>
        </is>
      </c>
      <c r="Q177" t="n">
        <v>2</v>
      </c>
      <c r="R177" t="n">
        <v>10</v>
      </c>
      <c r="S177" t="inlineStr">
        <is>
          <t>cum</t>
        </is>
      </c>
      <c r="T177" t="n">
        <v>1080.55</v>
      </c>
      <c r="U177" t="inlineStr">
        <is>
          <t>Steel chiselling &amp; hammer striking</t>
        </is>
      </c>
      <c r="V177" t="inlineStr">
        <is>
          <t>Basket Coolie (50m lead / 1.5m lift)</t>
        </is>
      </c>
      <c r="W177" t="inlineStr">
        <is>
          <t>Trench bank disposal</t>
        </is>
      </c>
      <c r="X177" t="inlineStr">
        <is>
          <t>None</t>
        </is>
      </c>
      <c r="Y177" t="inlineStr">
        <is>
          <t>None</t>
        </is>
      </c>
    </row>
    <row r="178" ht="22" customHeight="1">
      <c r="A178" s="16" t="inlineStr">
        <is>
          <t>Foundation &amp; Pipeline Trenching</t>
        </is>
      </c>
      <c r="B178" s="76" t="inlineStr">
        <is>
          <t>Hard rock (blasting prohibited)</t>
        </is>
      </c>
      <c r="C178" s="76" t="inlineStr">
        <is>
          <t>Manual labor (depth ≤1.5m)</t>
        </is>
      </c>
      <c r="D178" s="76" t="inlineStr">
        <is>
          <t>Manual rock chiselling (no blasting)</t>
        </is>
      </c>
      <c r="E178" s="28" t="inlineStr">
        <is>
          <t>10 cum</t>
        </is>
      </c>
      <c r="F178" s="32" t="inlineStr">
        <is>
          <t>Sundries &amp; Allowances</t>
        </is>
      </c>
      <c r="G178" s="21" t="inlineStr">
        <is>
          <t>0132</t>
        </is>
      </c>
      <c r="H178" s="76" t="inlineStr">
        <is>
          <t>Rock Excavator</t>
        </is>
      </c>
      <c r="I178" s="86" t="n">
        <v>2.65</v>
      </c>
      <c r="J178" s="50" t="inlineStr">
        <is>
          <t>day</t>
        </is>
      </c>
      <c r="K178" s="51" t="n">
        <v>558</v>
      </c>
      <c r="L178" s="84" t="n">
        <v>1478.7</v>
      </c>
      <c r="M178" s="52" t="n">
        <v>18.3</v>
      </c>
      <c r="N178" s="89" t="n">
        <v>3.773584905660377</v>
      </c>
      <c r="O178" s="39" t="inlineStr"/>
      <c r="P178" t="inlineStr">
        <is>
          <t>Foundation &amp; Pipeline Trenching|Hard rock (blasting prohibited)|Manual labor (depth ≤1.5m)|Manual rock chiselling (no blasting)|3</t>
        </is>
      </c>
      <c r="Q178" t="n">
        <v>3</v>
      </c>
      <c r="R178" t="n">
        <v>10</v>
      </c>
      <c r="S178" t="inlineStr">
        <is>
          <t>cum</t>
        </is>
      </c>
      <c r="T178" t="n">
        <v>1080.55</v>
      </c>
      <c r="U178" t="inlineStr">
        <is>
          <t>Steel chiselling &amp; hammer striking</t>
        </is>
      </c>
      <c r="V178" t="inlineStr">
        <is>
          <t>Basket Coolie (50m lead / 1.5m lift)</t>
        </is>
      </c>
      <c r="W178" t="inlineStr">
        <is>
          <t>Trench bank disposal</t>
        </is>
      </c>
      <c r="X178" t="inlineStr">
        <is>
          <t>None</t>
        </is>
      </c>
      <c r="Y178" t="inlineStr">
        <is>
          <t>None</t>
        </is>
      </c>
    </row>
    <row r="179" ht="22" customHeight="1">
      <c r="A179" s="16" t="inlineStr">
        <is>
          <t>Foundation &amp; Pipeline Trenching</t>
        </is>
      </c>
      <c r="B179" s="76" t="inlineStr">
        <is>
          <t>Hard rock (blasting prohibited)</t>
        </is>
      </c>
      <c r="C179" s="76" t="inlineStr">
        <is>
          <t>Manual labor (depth ≤1.5m)</t>
        </is>
      </c>
      <c r="D179" s="76" t="inlineStr">
        <is>
          <t>Manual rock chiselling (no blasting)</t>
        </is>
      </c>
      <c r="E179" s="28" t="inlineStr">
        <is>
          <t>10 cum</t>
        </is>
      </c>
      <c r="F179" s="32" t="inlineStr">
        <is>
          <t>Sundries &amp; Allowances</t>
        </is>
      </c>
      <c r="G179" s="21" t="inlineStr">
        <is>
          <t>0133</t>
        </is>
      </c>
      <c r="H179" s="76" t="inlineStr">
        <is>
          <t>Rock Breaker</t>
        </is>
      </c>
      <c r="I179" s="86" t="n">
        <v>6.175</v>
      </c>
      <c r="J179" s="50" t="inlineStr">
        <is>
          <t>day</t>
        </is>
      </c>
      <c r="K179" s="51" t="n">
        <v>558</v>
      </c>
      <c r="L179" s="84" t="n">
        <v>3445.65</v>
      </c>
      <c r="M179" s="52" t="n">
        <v>42.7</v>
      </c>
      <c r="N179" s="89" t="n">
        <v>1.619433198380567</v>
      </c>
      <c r="O179" s="39" t="inlineStr"/>
      <c r="P179" t="inlineStr">
        <is>
          <t>Foundation &amp; Pipeline Trenching|Hard rock (blasting prohibited)|Manual labor (depth ≤1.5m)|Manual rock chiselling (no blasting)|4</t>
        </is>
      </c>
      <c r="Q179" t="n">
        <v>4</v>
      </c>
      <c r="R179" t="n">
        <v>10</v>
      </c>
      <c r="S179" t="inlineStr">
        <is>
          <t>cum</t>
        </is>
      </c>
      <c r="T179" t="n">
        <v>1080.55</v>
      </c>
      <c r="U179" t="inlineStr">
        <is>
          <t>Steel chiselling &amp; hammer striking</t>
        </is>
      </c>
      <c r="V179" t="inlineStr">
        <is>
          <t>Basket Coolie (50m lead / 1.5m lift)</t>
        </is>
      </c>
      <c r="W179" t="inlineStr">
        <is>
          <t>Trench bank disposal</t>
        </is>
      </c>
      <c r="X179" t="inlineStr">
        <is>
          <t>None</t>
        </is>
      </c>
      <c r="Y179" t="inlineStr">
        <is>
          <t>None</t>
        </is>
      </c>
    </row>
    <row r="180" ht="22" customHeight="1">
      <c r="A180" s="16" t="inlineStr">
        <is>
          <t>Foundation &amp; Pipeline Trenching</t>
        </is>
      </c>
      <c r="B180" s="76" t="inlineStr">
        <is>
          <t>Hard rock (blasting prohibited)</t>
        </is>
      </c>
      <c r="C180" s="76" t="inlineStr">
        <is>
          <t>Manual labor (depth ≤1.5m)</t>
        </is>
      </c>
      <c r="D180" s="76" t="inlineStr">
        <is>
          <t>Manual rock chiselling (no blasting)</t>
        </is>
      </c>
      <c r="E180" s="28" t="inlineStr">
        <is>
          <t>10 cum</t>
        </is>
      </c>
      <c r="F180" s="32" t="inlineStr">
        <is>
          <t>Sundries &amp; Allowances</t>
        </is>
      </c>
      <c r="G180" s="21" t="inlineStr">
        <is>
          <t>0135</t>
        </is>
      </c>
      <c r="H180" s="76" t="inlineStr">
        <is>
          <t>Stone Chiseller</t>
        </is>
      </c>
      <c r="I180" s="86" t="n">
        <v>1.06</v>
      </c>
      <c r="J180" s="50" t="inlineStr">
        <is>
          <t>day</t>
        </is>
      </c>
      <c r="K180" s="51" t="n">
        <v>617</v>
      </c>
      <c r="L180" s="84" t="n">
        <v>654.02</v>
      </c>
      <c r="M180" s="52" t="n">
        <v>8.1</v>
      </c>
      <c r="N180" s="89" t="n">
        <v>9.433962264150942</v>
      </c>
      <c r="O180" s="39" t="inlineStr"/>
      <c r="P180" t="inlineStr">
        <is>
          <t>Foundation &amp; Pipeline Trenching|Hard rock (blasting prohibited)|Manual labor (depth ≤1.5m)|Manual rock chiselling (no blasting)|5</t>
        </is>
      </c>
      <c r="Q180" t="n">
        <v>5</v>
      </c>
      <c r="R180" t="n">
        <v>10</v>
      </c>
      <c r="S180" t="inlineStr">
        <is>
          <t>cum</t>
        </is>
      </c>
      <c r="T180" t="n">
        <v>1080.55</v>
      </c>
      <c r="U180" t="inlineStr">
        <is>
          <t>Steel chiselling &amp; hammer striking</t>
        </is>
      </c>
      <c r="V180" t="inlineStr">
        <is>
          <t>Basket Coolie (50m lead / 1.5m lift)</t>
        </is>
      </c>
      <c r="W180" t="inlineStr">
        <is>
          <t>Trench bank disposal</t>
        </is>
      </c>
      <c r="X180" t="inlineStr">
        <is>
          <t>None</t>
        </is>
      </c>
      <c r="Y180" t="inlineStr">
        <is>
          <t>None</t>
        </is>
      </c>
    </row>
    <row r="181" ht="22" customHeight="1">
      <c r="A181" s="16" t="inlineStr">
        <is>
          <t>Foundation &amp; Pipeline Trenching</t>
        </is>
      </c>
      <c r="B181" s="76" t="inlineStr">
        <is>
          <t>Hard rock (blasting prohibited)</t>
        </is>
      </c>
      <c r="C181" s="76" t="inlineStr">
        <is>
          <t>Manual labor (depth ≤1.5m)</t>
        </is>
      </c>
      <c r="D181" s="76" t="inlineStr">
        <is>
          <t>Manual rock chiselling (no blasting)</t>
        </is>
      </c>
      <c r="E181" s="28" t="inlineStr">
        <is>
          <t>10 cum</t>
        </is>
      </c>
      <c r="F181" s="32" t="inlineStr">
        <is>
          <t>Sundries &amp; Allowances</t>
        </is>
      </c>
      <c r="G181" s="21" t="inlineStr">
        <is>
          <t>0103</t>
        </is>
      </c>
      <c r="H181" s="76" t="inlineStr">
        <is>
          <t>Blacksmith 2nd class</t>
        </is>
      </c>
      <c r="I181" s="86" t="n">
        <v>0.175</v>
      </c>
      <c r="J181" s="50" t="inlineStr">
        <is>
          <t>day</t>
        </is>
      </c>
      <c r="K181" s="51" t="n">
        <v>679</v>
      </c>
      <c r="L181" s="84" t="n">
        <v>118.82</v>
      </c>
      <c r="M181" s="52" t="n">
        <v>1.5</v>
      </c>
      <c r="N181" s="89" t="n">
        <v>57.14285714285715</v>
      </c>
      <c r="O181" s="39" t="inlineStr"/>
      <c r="P181" t="inlineStr">
        <is>
          <t>Foundation &amp; Pipeline Trenching|Hard rock (blasting prohibited)|Manual labor (depth ≤1.5m)|Manual rock chiselling (no blasting)|6</t>
        </is>
      </c>
      <c r="Q181" t="n">
        <v>6</v>
      </c>
      <c r="R181" t="n">
        <v>10</v>
      </c>
      <c r="S181" t="inlineStr">
        <is>
          <t>cum</t>
        </is>
      </c>
      <c r="T181" t="n">
        <v>1080.55</v>
      </c>
      <c r="U181" t="inlineStr">
        <is>
          <t>Steel chiselling &amp; hammer striking</t>
        </is>
      </c>
      <c r="V181" t="inlineStr">
        <is>
          <t>Basket Coolie (50m lead / 1.5m lift)</t>
        </is>
      </c>
      <c r="W181" t="inlineStr">
        <is>
          <t>Trench bank disposal</t>
        </is>
      </c>
      <c r="X181" t="inlineStr">
        <is>
          <t>None</t>
        </is>
      </c>
      <c r="Y181" t="inlineStr">
        <is>
          <t>None</t>
        </is>
      </c>
    </row>
    <row r="182" ht="22" customHeight="1">
      <c r="A182" s="16" t="inlineStr">
        <is>
          <t>Foundation &amp; Pipeline Trenching</t>
        </is>
      </c>
      <c r="B182" s="76" t="inlineStr">
        <is>
          <t>Hard rock (blasting prohibited)</t>
        </is>
      </c>
      <c r="C182" s="76" t="inlineStr">
        <is>
          <t>Manual labor (depth ≤1.5m)</t>
        </is>
      </c>
      <c r="D182" s="76" t="inlineStr">
        <is>
          <t>Manual rock chiselling (no blasting)</t>
        </is>
      </c>
      <c r="E182" s="28" t="inlineStr">
        <is>
          <t>10 cum</t>
        </is>
      </c>
      <c r="F182" s="32" t="inlineStr">
        <is>
          <t>Labour (Semi-Skilled / Operational)</t>
        </is>
      </c>
      <c r="G182" s="21" t="inlineStr">
        <is>
          <t>0114</t>
        </is>
      </c>
      <c r="H182" s="76" t="inlineStr">
        <is>
          <t>Beldar</t>
        </is>
      </c>
      <c r="I182" s="86" t="n">
        <v>0.75</v>
      </c>
      <c r="J182" s="50" t="inlineStr">
        <is>
          <t>day</t>
        </is>
      </c>
      <c r="K182" s="51" t="n">
        <v>558</v>
      </c>
      <c r="L182" s="84" t="n">
        <v>418.5</v>
      </c>
      <c r="M182" s="52" t="n">
        <v>5.2</v>
      </c>
      <c r="N182" s="89" t="n">
        <v>13.33333333333333</v>
      </c>
      <c r="O182" s="39" t="inlineStr"/>
      <c r="P182" t="inlineStr">
        <is>
          <t>Foundation &amp; Pipeline Trenching|Hard rock (blasting prohibited)|Manual labor (depth ≤1.5m)|Manual rock chiselling (no blasting)|7</t>
        </is>
      </c>
      <c r="Q182" t="n">
        <v>7</v>
      </c>
      <c r="R182" t="n">
        <v>10</v>
      </c>
      <c r="S182" t="inlineStr">
        <is>
          <t>cum</t>
        </is>
      </c>
      <c r="T182" t="n">
        <v>1080.55</v>
      </c>
      <c r="U182" t="inlineStr">
        <is>
          <t>Steel chiselling &amp; hammer striking</t>
        </is>
      </c>
      <c r="V182" t="inlineStr">
        <is>
          <t>Basket Coolie (50m lead / 1.5m lift)</t>
        </is>
      </c>
      <c r="W182" t="inlineStr">
        <is>
          <t>Trench bank disposal</t>
        </is>
      </c>
      <c r="X182" t="inlineStr">
        <is>
          <t>None</t>
        </is>
      </c>
      <c r="Y182" t="inlineStr">
        <is>
          <t>None</t>
        </is>
      </c>
    </row>
    <row r="183" ht="22" customHeight="1">
      <c r="A183" s="16" t="inlineStr">
        <is>
          <t>Foundation &amp; Pipeline Trenching</t>
        </is>
      </c>
      <c r="B183" s="76" t="inlineStr">
        <is>
          <t>Hard rock (blasting prohibited)</t>
        </is>
      </c>
      <c r="C183" s="76" t="inlineStr">
        <is>
          <t>Manual labor (depth ≤1.5m)</t>
        </is>
      </c>
      <c r="D183" s="76" t="inlineStr">
        <is>
          <t>Manual rock chiselling (no blasting)</t>
        </is>
      </c>
      <c r="E183" s="28" t="inlineStr">
        <is>
          <t>10 cum</t>
        </is>
      </c>
      <c r="F183" s="32" t="inlineStr">
        <is>
          <t>Labour (Unskilled / Haulage)</t>
        </is>
      </c>
      <c r="G183" s="21" t="inlineStr">
        <is>
          <t>0115</t>
        </is>
      </c>
      <c r="H183" s="76" t="inlineStr">
        <is>
          <t>Coolie</t>
        </is>
      </c>
      <c r="I183" s="86" t="n">
        <v>1.5</v>
      </c>
      <c r="J183" s="50" t="inlineStr">
        <is>
          <t>day</t>
        </is>
      </c>
      <c r="K183" s="51" t="n">
        <v>558</v>
      </c>
      <c r="L183" s="84" t="n">
        <v>837</v>
      </c>
      <c r="M183" s="52" t="n">
        <v>10.4</v>
      </c>
      <c r="N183" s="89" t="n">
        <v>6.666666666666667</v>
      </c>
      <c r="O183" s="39" t="inlineStr"/>
      <c r="P183" t="inlineStr">
        <is>
          <t>Foundation &amp; Pipeline Trenching|Hard rock (blasting prohibited)|Manual labor (depth ≤1.5m)|Manual rock chiselling (no blasting)|8</t>
        </is>
      </c>
      <c r="Q183" t="n">
        <v>8</v>
      </c>
      <c r="R183" t="n">
        <v>10</v>
      </c>
      <c r="S183" t="inlineStr">
        <is>
          <t>cum</t>
        </is>
      </c>
      <c r="T183" t="n">
        <v>1080.55</v>
      </c>
      <c r="U183" t="inlineStr">
        <is>
          <t>Steel chiselling &amp; hammer striking</t>
        </is>
      </c>
      <c r="V183" t="inlineStr">
        <is>
          <t>Basket Coolie (50m lead / 1.5m lift)</t>
        </is>
      </c>
      <c r="W183" t="inlineStr">
        <is>
          <t>Trench bank disposal</t>
        </is>
      </c>
      <c r="X183" t="inlineStr">
        <is>
          <t>None</t>
        </is>
      </c>
      <c r="Y183" t="inlineStr">
        <is>
          <t>None</t>
        </is>
      </c>
    </row>
    <row r="184" ht="22" customHeight="1">
      <c r="A184" s="16" t="inlineStr">
        <is>
          <t>Foundation &amp; Pipeline Trenching</t>
        </is>
      </c>
      <c r="B184" s="76" t="inlineStr">
        <is>
          <t>Hard rock (blasting prohibited)</t>
        </is>
      </c>
      <c r="C184" s="76" t="inlineStr">
        <is>
          <t>Manual labor (depth ≤1.5m)</t>
        </is>
      </c>
      <c r="D184" s="76" t="inlineStr">
        <is>
          <t>Manual rock chiselling (no blasting)</t>
        </is>
      </c>
      <c r="E184" s="28" t="inlineStr">
        <is>
          <t>10 cum</t>
        </is>
      </c>
      <c r="F184" s="32" t="inlineStr">
        <is>
          <t>Sundries &amp; Allowances</t>
        </is>
      </c>
      <c r="G184" s="21" t="inlineStr">
        <is>
          <t>9999</t>
        </is>
      </c>
      <c r="H184" s="76" t="inlineStr">
        <is>
          <t>Sundries</t>
        </is>
      </c>
      <c r="I184" s="86" t="n">
        <v>17.94</v>
      </c>
      <c r="J184" s="50" t="inlineStr">
        <is>
          <t>L.S.</t>
        </is>
      </c>
      <c r="K184" s="51" t="n">
        <v>2</v>
      </c>
      <c r="L184" s="84" t="n">
        <v>35.88</v>
      </c>
      <c r="M184" s="52" t="n">
        <v>0.4</v>
      </c>
      <c r="N184" s="32" t="inlineStr"/>
      <c r="O184" s="39" t="inlineStr"/>
      <c r="P184" t="inlineStr">
        <is>
          <t>Foundation &amp; Pipeline Trenching|Hard rock (blasting prohibited)|Manual labor (depth ≤1.5m)|Manual rock chiselling (no blasting)|9</t>
        </is>
      </c>
      <c r="Q184" t="n">
        <v>9</v>
      </c>
      <c r="R184" t="n">
        <v>10</v>
      </c>
      <c r="S184" t="inlineStr">
        <is>
          <t>cum</t>
        </is>
      </c>
      <c r="T184" t="n">
        <v>1080.55</v>
      </c>
      <c r="U184" t="inlineStr">
        <is>
          <t>Steel chiselling &amp; hammer striking</t>
        </is>
      </c>
      <c r="V184" t="inlineStr">
        <is>
          <t>Basket Coolie (50m lead / 1.5m lift)</t>
        </is>
      </c>
      <c r="W184" t="inlineStr">
        <is>
          <t>Trench bank disposal</t>
        </is>
      </c>
      <c r="X184" t="inlineStr">
        <is>
          <t>None</t>
        </is>
      </c>
      <c r="Y184" t="inlineStr">
        <is>
          <t>None</t>
        </is>
      </c>
    </row>
    <row r="185" ht="22" customHeight="1">
      <c r="A185" s="16" t="inlineStr">
        <is>
          <t>Foundation &amp; Pipeline Trenching</t>
        </is>
      </c>
      <c r="B185" s="76" t="inlineStr">
        <is>
          <t>All kinds of soil</t>
        </is>
      </c>
      <c r="C185" s="76" t="inlineStr">
        <is>
          <t>Manual labor (depth ≤1.5m)</t>
        </is>
      </c>
      <c r="D185" s="76" t="inlineStr">
        <is>
          <t>Pipe / Cable trenches (dia ≤ 80 mm)</t>
        </is>
      </c>
      <c r="E185" s="28" t="inlineStr">
        <is>
          <t>1 m</t>
        </is>
      </c>
      <c r="F185" s="32" t="inlineStr">
        <is>
          <t>Sundries &amp; Allowances</t>
        </is>
      </c>
      <c r="G185" s="21" t="inlineStr">
        <is>
          <t>2.8.1</t>
        </is>
      </c>
      <c r="H185" s="76" t="inlineStr">
        <is>
          <t>Rate item 2.8.1 – Mech exca foundation all soil</t>
        </is>
      </c>
      <c r="I185" s="86" t="n">
        <v>0.4725</v>
      </c>
      <c r="J185" s="50" t="inlineStr">
        <is>
          <t>cum</t>
        </is>
      </c>
      <c r="K185" s="51" t="n">
        <v>252.3</v>
      </c>
      <c r="L185" s="84" t="n">
        <v>119.21</v>
      </c>
      <c r="M185" s="52" t="n">
        <v>53.5</v>
      </c>
      <c r="N185" s="32" t="inlineStr"/>
      <c r="O185" s="39" t="inlineStr">
        <is>
          <t>85.05 cum per 180 m = 0.4725 cum/m</t>
        </is>
      </c>
      <c r="P185" t="inlineStr">
        <is>
          <t>Foundation &amp; Pipeline Trenching|All kinds of soil|Manual labor (depth ≤1.5m)|Pipe / Cable trenches (dia ≤ 80 mm)|1</t>
        </is>
      </c>
      <c r="Q185" t="n">
        <v>1</v>
      </c>
      <c r="R185" t="n">
        <v>1</v>
      </c>
      <c r="S185" t="inlineStr">
        <is>
          <t>m</t>
        </is>
      </c>
      <c r="T185" t="n">
        <v>223</v>
      </c>
      <c r="U185" t="inlineStr">
        <is>
          <t>Narrow trench spade / pickaxe</t>
        </is>
      </c>
      <c r="V185" t="inlineStr">
        <is>
          <t>Basket Coolie along trench edge</t>
        </is>
      </c>
      <c r="W185" t="inlineStr">
        <is>
          <t>Trench bank disposal</t>
        </is>
      </c>
      <c r="X185" t="inlineStr">
        <is>
          <t>None</t>
        </is>
      </c>
      <c r="Y185" t="inlineStr">
        <is>
          <t>None</t>
        </is>
      </c>
    </row>
    <row r="186" ht="22" customHeight="1">
      <c r="A186" s="16" t="inlineStr">
        <is>
          <t>Foundation &amp; Pipeline Trenching</t>
        </is>
      </c>
      <c r="B186" s="76" t="inlineStr">
        <is>
          <t>All kinds of soil</t>
        </is>
      </c>
      <c r="C186" s="76" t="inlineStr">
        <is>
          <t>Manual labor (depth ≤1.5m)</t>
        </is>
      </c>
      <c r="D186" s="76" t="inlineStr">
        <is>
          <t>Pipe / Cable trenches (dia ≤ 80 mm)</t>
        </is>
      </c>
      <c r="E186" s="28" t="inlineStr">
        <is>
          <t>1 m</t>
        </is>
      </c>
      <c r="F186" s="32" t="inlineStr">
        <is>
          <t>Sundries &amp; Allowances</t>
        </is>
      </c>
      <c r="G186" s="21" t="inlineStr">
        <is>
          <t>2.25</t>
        </is>
      </c>
      <c r="H186" s="76" t="inlineStr">
        <is>
          <t>Rate item 2.25 – Filling excavated earth</t>
        </is>
      </c>
      <c r="I186" s="86" t="n">
        <v>0.4725</v>
      </c>
      <c r="J186" s="50" t="inlineStr">
        <is>
          <t>cum</t>
        </is>
      </c>
      <c r="K186" s="51" t="n">
        <v>219.65</v>
      </c>
      <c r="L186" s="84" t="n">
        <v>103.78</v>
      </c>
      <c r="M186" s="52" t="n">
        <v>46.5</v>
      </c>
      <c r="N186" s="32" t="inlineStr"/>
      <c r="O186" s="39" t="inlineStr"/>
      <c r="P186" t="inlineStr">
        <is>
          <t>Foundation &amp; Pipeline Trenching|All kinds of soil|Manual labor (depth ≤1.5m)|Pipe / Cable trenches (dia ≤ 80 mm)|2</t>
        </is>
      </c>
      <c r="Q186" t="n">
        <v>2</v>
      </c>
      <c r="R186" t="n">
        <v>1</v>
      </c>
      <c r="S186" t="inlineStr">
        <is>
          <t>m</t>
        </is>
      </c>
      <c r="T186" t="n">
        <v>223</v>
      </c>
      <c r="U186" t="inlineStr">
        <is>
          <t>Narrow trench spade / pickaxe</t>
        </is>
      </c>
      <c r="V186" t="inlineStr">
        <is>
          <t>Basket Coolie along trench edge</t>
        </is>
      </c>
      <c r="W186" t="inlineStr">
        <is>
          <t>Trench bank disposal</t>
        </is>
      </c>
      <c r="X186" t="inlineStr">
        <is>
          <t>None</t>
        </is>
      </c>
      <c r="Y186" t="inlineStr">
        <is>
          <t>None</t>
        </is>
      </c>
    </row>
    <row r="187" ht="22" customHeight="1">
      <c r="A187" s="16" t="inlineStr">
        <is>
          <t>Foundation &amp; Pipeline Trenching</t>
        </is>
      </c>
      <c r="B187" s="76" t="inlineStr">
        <is>
          <t>All kinds of soil</t>
        </is>
      </c>
      <c r="C187" s="76" t="inlineStr">
        <is>
          <t>Manual labor (depth ≤1.5m)</t>
        </is>
      </c>
      <c r="D187" s="76" t="inlineStr">
        <is>
          <t>Pipe / Cable trenches (dia 80-300 mm)</t>
        </is>
      </c>
      <c r="E187" s="28" t="inlineStr">
        <is>
          <t>1 m</t>
        </is>
      </c>
      <c r="F187" s="32" t="inlineStr">
        <is>
          <t>Sundries &amp; Allowances</t>
        </is>
      </c>
      <c r="G187" s="21" t="inlineStr">
        <is>
          <t>2.8.1</t>
        </is>
      </c>
      <c r="H187" s="76" t="inlineStr">
        <is>
          <t>Rate item 2.8.1 – Mech exca foundation all soil</t>
        </is>
      </c>
      <c r="I187" s="86" t="n">
        <v>0.7717000000000001</v>
      </c>
      <c r="J187" s="50" t="inlineStr">
        <is>
          <t>cum</t>
        </is>
      </c>
      <c r="K187" s="51" t="n">
        <v>252.3</v>
      </c>
      <c r="L187" s="84" t="n">
        <v>194.7</v>
      </c>
      <c r="M187" s="52" t="n">
        <v>53.5</v>
      </c>
      <c r="N187" s="32" t="inlineStr"/>
      <c r="O187" s="39" t="inlineStr">
        <is>
          <t>84.89 cum per 110 m</t>
        </is>
      </c>
      <c r="P187" t="inlineStr">
        <is>
          <t>Foundation &amp; Pipeline Trenching|All kinds of soil|Manual labor (depth ≤1.5m)|Pipe / Cable trenches (dia 80-300 mm)|1</t>
        </is>
      </c>
      <c r="Q187" t="n">
        <v>1</v>
      </c>
      <c r="R187" t="n">
        <v>1</v>
      </c>
      <c r="S187" t="inlineStr">
        <is>
          <t>m</t>
        </is>
      </c>
      <c r="T187" t="n">
        <v>364.2</v>
      </c>
      <c r="U187" t="inlineStr">
        <is>
          <t>Narrow trench spade / pickaxe</t>
        </is>
      </c>
      <c r="V187" t="inlineStr">
        <is>
          <t>Basket Coolie along trench edge</t>
        </is>
      </c>
      <c r="W187" t="inlineStr">
        <is>
          <t>Trench bank disposal</t>
        </is>
      </c>
      <c r="X187" t="inlineStr">
        <is>
          <t>None</t>
        </is>
      </c>
      <c r="Y187" t="inlineStr">
        <is>
          <t>None</t>
        </is>
      </c>
    </row>
    <row r="188" ht="22" customHeight="1">
      <c r="A188" s="16" t="inlineStr">
        <is>
          <t>Foundation &amp; Pipeline Trenching</t>
        </is>
      </c>
      <c r="B188" s="76" t="inlineStr">
        <is>
          <t>All kinds of soil</t>
        </is>
      </c>
      <c r="C188" s="76" t="inlineStr">
        <is>
          <t>Manual labor (depth ≤1.5m)</t>
        </is>
      </c>
      <c r="D188" s="76" t="inlineStr">
        <is>
          <t>Pipe / Cable trenches (dia 80-300 mm)</t>
        </is>
      </c>
      <c r="E188" s="28" t="inlineStr">
        <is>
          <t>1 m</t>
        </is>
      </c>
      <c r="F188" s="32" t="inlineStr">
        <is>
          <t>Sundries &amp; Allowances</t>
        </is>
      </c>
      <c r="G188" s="21" t="inlineStr">
        <is>
          <t>2.25</t>
        </is>
      </c>
      <c r="H188" s="76" t="inlineStr">
        <is>
          <t>Rate item 2.25 – Filling excavated earth</t>
        </is>
      </c>
      <c r="I188" s="86" t="n">
        <v>0.7717000000000001</v>
      </c>
      <c r="J188" s="50" t="inlineStr">
        <is>
          <t>cum</t>
        </is>
      </c>
      <c r="K188" s="51" t="n">
        <v>219.65</v>
      </c>
      <c r="L188" s="84" t="n">
        <v>169.5</v>
      </c>
      <c r="M188" s="52" t="n">
        <v>46.5</v>
      </c>
      <c r="N188" s="32" t="inlineStr"/>
      <c r="O188" s="39" t="inlineStr"/>
      <c r="P188" t="inlineStr">
        <is>
          <t>Foundation &amp; Pipeline Trenching|All kinds of soil|Manual labor (depth ≤1.5m)|Pipe / Cable trenches (dia 80-300 mm)|2</t>
        </is>
      </c>
      <c r="Q188" t="n">
        <v>2</v>
      </c>
      <c r="R188" t="n">
        <v>1</v>
      </c>
      <c r="S188" t="inlineStr">
        <is>
          <t>m</t>
        </is>
      </c>
      <c r="T188" t="n">
        <v>364.2</v>
      </c>
      <c r="U188" t="inlineStr">
        <is>
          <t>Narrow trench spade / pickaxe</t>
        </is>
      </c>
      <c r="V188" t="inlineStr">
        <is>
          <t>Basket Coolie along trench edge</t>
        </is>
      </c>
      <c r="W188" t="inlineStr">
        <is>
          <t>Trench bank disposal</t>
        </is>
      </c>
      <c r="X188" t="inlineStr">
        <is>
          <t>None</t>
        </is>
      </c>
      <c r="Y188" t="inlineStr">
        <is>
          <t>None</t>
        </is>
      </c>
    </row>
    <row r="189" ht="22" customHeight="1">
      <c r="A189" s="16" t="inlineStr">
        <is>
          <t>Foundation &amp; Pipeline Trenching</t>
        </is>
      </c>
      <c r="B189" s="76" t="inlineStr">
        <is>
          <t>All kinds of soil</t>
        </is>
      </c>
      <c r="C189" s="76" t="inlineStr">
        <is>
          <t>Manual labor (depth ≤1.5m)</t>
        </is>
      </c>
      <c r="D189" s="76" t="inlineStr">
        <is>
          <t>Pipe / Cable trenches (dia &gt; 300 mm)</t>
        </is>
      </c>
      <c r="E189" s="28" t="inlineStr">
        <is>
          <t>1 m</t>
        </is>
      </c>
      <c r="F189" s="32" t="inlineStr">
        <is>
          <t>Sundries &amp; Allowances</t>
        </is>
      </c>
      <c r="G189" s="21" t="inlineStr">
        <is>
          <t>2.8.1</t>
        </is>
      </c>
      <c r="H189" s="76" t="inlineStr">
        <is>
          <t>Rate item 2.8.1 – Mech exca foundation all soil</t>
        </is>
      </c>
      <c r="I189" s="86" t="n">
        <v>1.2048</v>
      </c>
      <c r="J189" s="50" t="inlineStr">
        <is>
          <t>cum</t>
        </is>
      </c>
      <c r="K189" s="51" t="n">
        <v>252.3</v>
      </c>
      <c r="L189" s="84" t="n">
        <v>303.97</v>
      </c>
      <c r="M189" s="52" t="n">
        <v>53.5</v>
      </c>
      <c r="N189" s="32" t="inlineStr"/>
      <c r="O189" s="39" t="inlineStr">
        <is>
          <t>72.29 cum per 60 m</t>
        </is>
      </c>
      <c r="P189" t="inlineStr">
        <is>
          <t>Foundation &amp; Pipeline Trenching|All kinds of soil|Manual labor (depth ≤1.5m)|Pipe / Cable trenches (dia &gt; 300 mm)|1</t>
        </is>
      </c>
      <c r="Q189" t="n">
        <v>1</v>
      </c>
      <c r="R189" t="n">
        <v>1</v>
      </c>
      <c r="S189" t="inlineStr">
        <is>
          <t>m</t>
        </is>
      </c>
      <c r="T189" t="n">
        <v>568.8</v>
      </c>
      <c r="U189" t="inlineStr">
        <is>
          <t>Pickaxe &amp; shovel Beldar</t>
        </is>
      </c>
      <c r="V189" t="inlineStr">
        <is>
          <t>Basket Coolie along trench edge</t>
        </is>
      </c>
      <c r="W189" t="inlineStr">
        <is>
          <t>Trench bank disposal</t>
        </is>
      </c>
      <c r="X189" t="inlineStr">
        <is>
          <t>None</t>
        </is>
      </c>
      <c r="Y189" t="inlineStr">
        <is>
          <t>None</t>
        </is>
      </c>
    </row>
    <row r="190" ht="22" customHeight="1">
      <c r="A190" s="16" t="inlineStr">
        <is>
          <t>Foundation &amp; Pipeline Trenching</t>
        </is>
      </c>
      <c r="B190" s="76" t="inlineStr">
        <is>
          <t>All kinds of soil</t>
        </is>
      </c>
      <c r="C190" s="76" t="inlineStr">
        <is>
          <t>Manual labor (depth ≤1.5m)</t>
        </is>
      </c>
      <c r="D190" s="76" t="inlineStr">
        <is>
          <t>Pipe / Cable trenches (dia &gt; 300 mm)</t>
        </is>
      </c>
      <c r="E190" s="28" t="inlineStr">
        <is>
          <t>1 m</t>
        </is>
      </c>
      <c r="F190" s="32" t="inlineStr">
        <is>
          <t>Sundries &amp; Allowances</t>
        </is>
      </c>
      <c r="G190" s="21" t="inlineStr">
        <is>
          <t>2.25</t>
        </is>
      </c>
      <c r="H190" s="76" t="inlineStr">
        <is>
          <t>Rate item 2.25 – Filling excavated earth</t>
        </is>
      </c>
      <c r="I190" s="86" t="n">
        <v>1.2048</v>
      </c>
      <c r="J190" s="50" t="inlineStr">
        <is>
          <t>cum</t>
        </is>
      </c>
      <c r="K190" s="51" t="n">
        <v>219.65</v>
      </c>
      <c r="L190" s="84" t="n">
        <v>264.63</v>
      </c>
      <c r="M190" s="52" t="n">
        <v>46.5</v>
      </c>
      <c r="N190" s="32" t="inlineStr"/>
      <c r="O190" s="39" t="inlineStr"/>
      <c r="P190" t="inlineStr">
        <is>
          <t>Foundation &amp; Pipeline Trenching|All kinds of soil|Manual labor (depth ≤1.5m)|Pipe / Cable trenches (dia &gt; 300 mm)|2</t>
        </is>
      </c>
      <c r="Q190" t="n">
        <v>2</v>
      </c>
      <c r="R190" t="n">
        <v>1</v>
      </c>
      <c r="S190" t="inlineStr">
        <is>
          <t>m</t>
        </is>
      </c>
      <c r="T190" t="n">
        <v>568.8</v>
      </c>
      <c r="U190" t="inlineStr">
        <is>
          <t>Pickaxe &amp; shovel Beldar</t>
        </is>
      </c>
      <c r="V190" t="inlineStr">
        <is>
          <t>Basket Coolie along trench edge</t>
        </is>
      </c>
      <c r="W190" t="inlineStr">
        <is>
          <t>Trench bank disposal</t>
        </is>
      </c>
      <c r="X190" t="inlineStr">
        <is>
          <t>None</t>
        </is>
      </c>
      <c r="Y190" t="inlineStr">
        <is>
          <t>None</t>
        </is>
      </c>
    </row>
    <row r="191" ht="22" customHeight="1">
      <c r="A191" s="16" t="inlineStr">
        <is>
          <t>Foundation &amp; Pipeline Trenching</t>
        </is>
      </c>
      <c r="B191" s="76" t="inlineStr">
        <is>
          <t>All kinds of soil</t>
        </is>
      </c>
      <c r="C191" s="76" t="inlineStr">
        <is>
          <t>Extra depth &gt;1.5m to 3.0m</t>
        </is>
      </c>
      <c r="D191" s="76" t="inlineStr">
        <is>
          <t>Extra for pipe trench depth 1.5m to 3.0m</t>
        </is>
      </c>
      <c r="E191" s="28" t="inlineStr">
        <is>
          <t>1 m</t>
        </is>
      </c>
      <c r="F191" s="32" t="inlineStr">
        <is>
          <t>Sundries &amp; Allowances</t>
        </is>
      </c>
      <c r="G191" s="21" t="inlineStr">
        <is>
          <t>2.10.1.2</t>
        </is>
      </c>
      <c r="H191" s="76" t="inlineStr">
        <is>
          <t>Base: Rate item 2.10.1.2 (soil trench 80-300mm)</t>
        </is>
      </c>
      <c r="I191" s="86" t="n">
        <v>1.27</v>
      </c>
      <c r="J191" s="50" t="inlineStr">
        <is>
          <t>pct</t>
        </is>
      </c>
      <c r="K191" s="51" t="n">
        <v>364.2</v>
      </c>
      <c r="L191" s="84" t="n">
        <v>462.53</v>
      </c>
      <c r="M191" s="52" t="n">
        <v>100</v>
      </c>
      <c r="N191" s="32" t="inlineStr"/>
      <c r="O191" s="39" t="inlineStr">
        <is>
          <t>127% of 2.10.1.2 rate; extra for depth 1.5-3m</t>
        </is>
      </c>
      <c r="P191" t="inlineStr">
        <is>
          <t>Foundation &amp; Pipeline Trenching|All kinds of soil|Extra depth &gt;1.5m to 3.0m|Extra for pipe trench depth 1.5m to 3.0m|1</t>
        </is>
      </c>
      <c r="Q191" t="n">
        <v>1</v>
      </c>
      <c r="R191" t="n">
        <v>1</v>
      </c>
      <c r="S191" t="inlineStr">
        <is>
          <t>m</t>
        </is>
      </c>
      <c r="T191" t="n">
        <v>127</v>
      </c>
      <c r="U191" t="inlineStr">
        <is>
          <t>Deep trench pickaxe</t>
        </is>
      </c>
      <c r="V191" t="inlineStr">
        <is>
          <t>Double handling stage lift</t>
        </is>
      </c>
      <c r="W191" t="inlineStr">
        <is>
          <t>Trench bank disposal</t>
        </is>
      </c>
      <c r="X191" t="inlineStr">
        <is>
          <t>None</t>
        </is>
      </c>
      <c r="Y191" t="inlineStr">
        <is>
          <t>None</t>
        </is>
      </c>
    </row>
    <row r="192" ht="22" customHeight="1">
      <c r="A192" s="16" t="inlineStr">
        <is>
          <t>Foundation &amp; Pipeline Trenching</t>
        </is>
      </c>
      <c r="B192" s="76" t="inlineStr">
        <is>
          <t>All kinds of soil</t>
        </is>
      </c>
      <c r="C192" s="76" t="inlineStr">
        <is>
          <t>Extra depth &gt;3.0m to 4.5m</t>
        </is>
      </c>
      <c r="D192" s="76" t="inlineStr">
        <is>
          <t>Extra for pipe trench depth 3.0m to 4.5m</t>
        </is>
      </c>
      <c r="E192" s="28" t="inlineStr">
        <is>
          <t>1 m</t>
        </is>
      </c>
      <c r="F192" s="32" t="inlineStr">
        <is>
          <t>Sundries &amp; Allowances</t>
        </is>
      </c>
      <c r="G192" s="21" t="inlineStr">
        <is>
          <t>2.10.1.2</t>
        </is>
      </c>
      <c r="H192" s="76" t="inlineStr">
        <is>
          <t>Base: Rate item 2.10.1.2 (soil trench 80-300mm)</t>
        </is>
      </c>
      <c r="I192" s="86" t="n">
        <v>3.1504</v>
      </c>
      <c r="J192" s="50" t="inlineStr">
        <is>
          <t>pct</t>
        </is>
      </c>
      <c r="K192" s="51" t="n">
        <v>364.2</v>
      </c>
      <c r="L192" s="84" t="n">
        <v>1147.38</v>
      </c>
      <c r="M192" s="52" t="n">
        <v>100</v>
      </c>
      <c r="N192" s="32" t="inlineStr"/>
      <c r="O192" s="39" t="inlineStr">
        <is>
          <t>315.04% of 2.10.1.2 rate; extra for depth 3-4.5m</t>
        </is>
      </c>
      <c r="P192" t="inlineStr">
        <is>
          <t>Foundation &amp; Pipeline Trenching|All kinds of soil|Extra depth &gt;3.0m to 4.5m|Extra for pipe trench depth 3.0m to 4.5m|1</t>
        </is>
      </c>
      <c r="Q192" t="n">
        <v>1</v>
      </c>
      <c r="R192" t="n">
        <v>1</v>
      </c>
      <c r="S192" t="inlineStr">
        <is>
          <t>m</t>
        </is>
      </c>
      <c r="T192" t="n">
        <v>315.05</v>
      </c>
      <c r="U192" t="inlineStr">
        <is>
          <t>Deep trench pickaxe</t>
        </is>
      </c>
      <c r="V192" t="inlineStr">
        <is>
          <t>Triple stage hoist / lift</t>
        </is>
      </c>
      <c r="W192" t="inlineStr">
        <is>
          <t>Trench bank disposal</t>
        </is>
      </c>
      <c r="X192" t="inlineStr">
        <is>
          <t>None</t>
        </is>
      </c>
      <c r="Y192" t="inlineStr">
        <is>
          <t>None</t>
        </is>
      </c>
    </row>
    <row r="193" ht="22" customHeight="1">
      <c r="A193" s="16" t="inlineStr">
        <is>
          <t>Foundation &amp; Pipeline Trenching</t>
        </is>
      </c>
      <c r="B193" s="76" t="inlineStr">
        <is>
          <t>Ordinary rock</t>
        </is>
      </c>
      <c r="C193" s="76" t="inlineStr">
        <is>
          <t>Manual labor (depth ≤1.5m)</t>
        </is>
      </c>
      <c r="D193" s="76" t="inlineStr">
        <is>
          <t>Pipe trenches in ordinary rock (≤80mm)</t>
        </is>
      </c>
      <c r="E193" s="28" t="inlineStr">
        <is>
          <t>1 m</t>
        </is>
      </c>
      <c r="F193" s="32" t="inlineStr">
        <is>
          <t>Sundries &amp; Allowances</t>
        </is>
      </c>
      <c r="G193" s="21" t="inlineStr">
        <is>
          <t>2.9.1</t>
        </is>
      </c>
      <c r="H193" s="76" t="inlineStr">
        <is>
          <t>Rate item 2.9.1 – Foundation trench ordinary rock</t>
        </is>
      </c>
      <c r="I193" s="86" t="n">
        <v>0.4725</v>
      </c>
      <c r="J193" s="50" t="inlineStr">
        <is>
          <t>cum</t>
        </is>
      </c>
      <c r="K193" s="51" t="n">
        <v>448.15</v>
      </c>
      <c r="L193" s="84" t="n">
        <v>211.75</v>
      </c>
      <c r="M193" s="52" t="n">
        <v>65.8</v>
      </c>
      <c r="N193" s="32" t="inlineStr"/>
      <c r="O193" s="39" t="inlineStr"/>
      <c r="P193" t="inlineStr">
        <is>
          <t>Foundation &amp; Pipeline Trenching|Ordinary rock|Manual labor (depth ≤1.5m)|Pipe trenches in ordinary rock (≤80mm)|1</t>
        </is>
      </c>
      <c r="Q193" t="n">
        <v>1</v>
      </c>
      <c r="R193" t="n">
        <v>1</v>
      </c>
      <c r="S193" t="inlineStr">
        <is>
          <t>m</t>
        </is>
      </c>
      <c r="T193" t="n">
        <v>323.85</v>
      </c>
      <c r="U193" t="inlineStr">
        <is>
          <t>Crowbar &amp; sledge hammer</t>
        </is>
      </c>
      <c r="V193" t="inlineStr">
        <is>
          <t>Basket Coolie along trench edge</t>
        </is>
      </c>
      <c r="W193" t="inlineStr">
        <is>
          <t>Trench bank disposal</t>
        </is>
      </c>
      <c r="X193" t="inlineStr">
        <is>
          <t>None</t>
        </is>
      </c>
      <c r="Y193" t="inlineStr">
        <is>
          <t>None</t>
        </is>
      </c>
    </row>
    <row r="194" ht="22" customHeight="1">
      <c r="A194" s="16" t="inlineStr">
        <is>
          <t>Foundation &amp; Pipeline Trenching</t>
        </is>
      </c>
      <c r="B194" s="76" t="inlineStr">
        <is>
          <t>Ordinary rock</t>
        </is>
      </c>
      <c r="C194" s="76" t="inlineStr">
        <is>
          <t>Manual labor (depth ≤1.5m)</t>
        </is>
      </c>
      <c r="D194" s="76" t="inlineStr">
        <is>
          <t>Pipe trenches in ordinary rock (≤80mm)</t>
        </is>
      </c>
      <c r="E194" s="28" t="inlineStr">
        <is>
          <t>1 m</t>
        </is>
      </c>
      <c r="F194" s="32" t="inlineStr">
        <is>
          <t>Sundries &amp; Allowances</t>
        </is>
      </c>
      <c r="G194" s="21" t="inlineStr">
        <is>
          <t>2.25</t>
        </is>
      </c>
      <c r="H194" s="76" t="inlineStr">
        <is>
          <t>Rate item 2.25 – Filling excavated earth</t>
        </is>
      </c>
      <c r="I194" s="86" t="n">
        <v>0.4725</v>
      </c>
      <c r="J194" s="50" t="inlineStr">
        <is>
          <t>cum</t>
        </is>
      </c>
      <c r="K194" s="51" t="n">
        <v>219.65</v>
      </c>
      <c r="L194" s="84" t="n">
        <v>103.78</v>
      </c>
      <c r="M194" s="52" t="n">
        <v>32.3</v>
      </c>
      <c r="N194" s="32" t="inlineStr"/>
      <c r="O194" s="39" t="inlineStr"/>
      <c r="P194" t="inlineStr">
        <is>
          <t>Foundation &amp; Pipeline Trenching|Ordinary rock|Manual labor (depth ≤1.5m)|Pipe trenches in ordinary rock (≤80mm)|2</t>
        </is>
      </c>
      <c r="Q194" t="n">
        <v>2</v>
      </c>
      <c r="R194" t="n">
        <v>1</v>
      </c>
      <c r="S194" t="inlineStr">
        <is>
          <t>m</t>
        </is>
      </c>
      <c r="T194" t="n">
        <v>323.85</v>
      </c>
      <c r="U194" t="inlineStr">
        <is>
          <t>Crowbar &amp; sledge hammer</t>
        </is>
      </c>
      <c r="V194" t="inlineStr">
        <is>
          <t>Basket Coolie along trench edge</t>
        </is>
      </c>
      <c r="W194" t="inlineStr">
        <is>
          <t>Trench bank disposal</t>
        </is>
      </c>
      <c r="X194" t="inlineStr">
        <is>
          <t>None</t>
        </is>
      </c>
      <c r="Y194" t="inlineStr">
        <is>
          <t>None</t>
        </is>
      </c>
    </row>
    <row r="195" ht="22" customHeight="1">
      <c r="A195" s="16" t="inlineStr">
        <is>
          <t>Foundation &amp; Pipeline Trenching</t>
        </is>
      </c>
      <c r="B195" s="76" t="inlineStr">
        <is>
          <t>Ordinary rock</t>
        </is>
      </c>
      <c r="C195" s="76" t="inlineStr">
        <is>
          <t>Manual labor (depth ≤1.5m)</t>
        </is>
      </c>
      <c r="D195" s="76" t="inlineStr">
        <is>
          <t>Pipe trenches in ordinary rock (≤80mm)</t>
        </is>
      </c>
      <c r="E195" s="28" t="inlineStr">
        <is>
          <t>1 m</t>
        </is>
      </c>
      <c r="F195" s="32" t="inlineStr">
        <is>
          <t>Labour (Semi-Skilled / Operational)</t>
        </is>
      </c>
      <c r="G195" s="21" t="inlineStr">
        <is>
          <t>0114</t>
        </is>
      </c>
      <c r="H195" s="76" t="inlineStr">
        <is>
          <t>Beldar – extra for ramming rock fragments</t>
        </is>
      </c>
      <c r="I195" s="86" t="n">
        <v>0.01111</v>
      </c>
      <c r="J195" s="50" t="inlineStr">
        <is>
          <t>day</t>
        </is>
      </c>
      <c r="K195" s="51" t="n">
        <v>558</v>
      </c>
      <c r="L195" s="84" t="n">
        <v>6.2</v>
      </c>
      <c r="M195" s="52" t="n">
        <v>1.9</v>
      </c>
      <c r="N195" s="90" t="n">
        <v>90.00900090009002</v>
      </c>
      <c r="O195" s="39" t="inlineStr">
        <is>
          <t>2 bd per 180 m</t>
        </is>
      </c>
      <c r="P195" t="inlineStr">
        <is>
          <t>Foundation &amp; Pipeline Trenching|Ordinary rock|Manual labor (depth ≤1.5m)|Pipe trenches in ordinary rock (≤80mm)|3</t>
        </is>
      </c>
      <c r="Q195" t="n">
        <v>3</v>
      </c>
      <c r="R195" t="n">
        <v>1</v>
      </c>
      <c r="S195" t="inlineStr">
        <is>
          <t>m</t>
        </is>
      </c>
      <c r="T195" t="n">
        <v>323.85</v>
      </c>
      <c r="U195" t="inlineStr">
        <is>
          <t>Crowbar &amp; sledge hammer</t>
        </is>
      </c>
      <c r="V195" t="inlineStr">
        <is>
          <t>Basket Coolie along trench edge</t>
        </is>
      </c>
      <c r="W195" t="inlineStr">
        <is>
          <t>Trench bank disposal</t>
        </is>
      </c>
      <c r="X195" t="inlineStr">
        <is>
          <t>None</t>
        </is>
      </c>
      <c r="Y195" t="inlineStr">
        <is>
          <t>None</t>
        </is>
      </c>
    </row>
    <row r="196" ht="22" customHeight="1">
      <c r="A196" s="16" t="inlineStr">
        <is>
          <t>Foundation &amp; Pipeline Trenching</t>
        </is>
      </c>
      <c r="B196" s="76" t="inlineStr">
        <is>
          <t>All kinds of soil</t>
        </is>
      </c>
      <c r="C196" s="76" t="inlineStr">
        <is>
          <t>Manual labor (depth ≤1.5m)</t>
        </is>
      </c>
      <c r="D196" s="76" t="inlineStr">
        <is>
          <t>Extra for wet/water position (+20%)</t>
        </is>
      </c>
      <c r="E196" s="28" t="inlineStr">
        <is>
          <t>1 m-depth</t>
        </is>
      </c>
      <c r="F196" s="32" t="inlineStr">
        <is>
          <t>Sundries &amp; Allowances</t>
        </is>
      </c>
      <c r="G196" s="21" t="inlineStr">
        <is>
          <t>BASE</t>
        </is>
      </c>
      <c r="H196" s="76" t="inlineStr">
        <is>
          <t>Extra 20% over applicable depth item rate</t>
        </is>
      </c>
      <c r="I196" s="86" t="n">
        <v>0.2</v>
      </c>
      <c r="J196" s="50" t="inlineStr">
        <is>
          <t>pct</t>
        </is>
      </c>
      <c r="K196" s="51" t="n">
        <v>0</v>
      </c>
      <c r="L196" s="84" t="n">
        <v>0</v>
      </c>
      <c r="M196" s="52" t="n">
        <v>0</v>
      </c>
      <c r="N196" s="32" t="inlineStr"/>
      <c r="O196" s="39" t="inlineStr">
        <is>
          <t>Work executed in/under water or liquid mud</t>
        </is>
      </c>
      <c r="P196" t="inlineStr">
        <is>
          <t>Foundation &amp; Pipeline Trenching|All kinds of soil|Manual labor (depth ≤1.5m)|Extra for wet/water position (+20%)|1</t>
        </is>
      </c>
      <c r="Q196" t="n">
        <v>1</v>
      </c>
      <c r="R196" t="n">
        <v>1</v>
      </c>
      <c r="S196" t="inlineStr">
        <is>
          <t>m-depth</t>
        </is>
      </c>
      <c r="T196" t="n">
        <v>20</v>
      </c>
      <c r="U196" t="inlineStr">
        <is>
          <t>Excavation under wet / foul conditions</t>
        </is>
      </c>
      <c r="V196" t="inlineStr">
        <is>
          <t>Mud / slush bailing &amp; haulage</t>
        </is>
      </c>
      <c r="W196" t="inlineStr">
        <is>
          <t>Disposal</t>
        </is>
      </c>
      <c r="X196" t="inlineStr">
        <is>
          <t>Submerged / wet</t>
        </is>
      </c>
      <c r="Y196" t="inlineStr">
        <is>
          <t>None</t>
        </is>
      </c>
    </row>
    <row r="197" ht="22" customHeight="1">
      <c r="A197" s="16" t="inlineStr">
        <is>
          <t>Foundation &amp; Pipeline Trenching</t>
        </is>
      </c>
      <c r="B197" s="76" t="inlineStr">
        <is>
          <t>All kinds of soil</t>
        </is>
      </c>
      <c r="C197" s="76" t="inlineStr">
        <is>
          <t>Manual labor (depth ≤1.5m)</t>
        </is>
      </c>
      <c r="D197" s="76" t="inlineStr">
        <is>
          <t>Extra for foul position (+25%)</t>
        </is>
      </c>
      <c r="E197" s="28" t="inlineStr">
        <is>
          <t>1 m-depth</t>
        </is>
      </c>
      <c r="F197" s="32" t="inlineStr">
        <is>
          <t>Sundries &amp; Allowances</t>
        </is>
      </c>
      <c r="G197" s="21" t="inlineStr">
        <is>
          <t>BASE</t>
        </is>
      </c>
      <c r="H197" s="76" t="inlineStr">
        <is>
          <t>Extra 25% over applicable depth item rate</t>
        </is>
      </c>
      <c r="I197" s="86" t="n">
        <v>0.25</v>
      </c>
      <c r="J197" s="50" t="inlineStr">
        <is>
          <t>pct</t>
        </is>
      </c>
      <c r="K197" s="51" t="n">
        <v>0</v>
      </c>
      <c r="L197" s="84" t="n">
        <v>0</v>
      </c>
      <c r="M197" s="52" t="n">
        <v>0</v>
      </c>
      <c r="N197" s="32" t="inlineStr"/>
      <c r="O197" s="39" t="inlineStr">
        <is>
          <t>Work in foul position</t>
        </is>
      </c>
      <c r="P197" t="inlineStr">
        <is>
          <t>Foundation &amp; Pipeline Trenching|All kinds of soil|Manual labor (depth ≤1.5m)|Extra for foul position (+25%)|1</t>
        </is>
      </c>
      <c r="Q197" t="n">
        <v>1</v>
      </c>
      <c r="R197" t="n">
        <v>1</v>
      </c>
      <c r="S197" t="inlineStr">
        <is>
          <t>m-depth</t>
        </is>
      </c>
      <c r="T197" t="n">
        <v>25</v>
      </c>
      <c r="U197" t="inlineStr">
        <is>
          <t>Excavation under wet / foul conditions</t>
        </is>
      </c>
      <c r="V197" t="inlineStr">
        <is>
          <t>Mud / slush bailing &amp; haulage</t>
        </is>
      </c>
      <c r="W197" t="inlineStr">
        <is>
          <t>Disposal</t>
        </is>
      </c>
      <c r="X197" t="inlineStr">
        <is>
          <t>Submerged / wet</t>
        </is>
      </c>
      <c r="Y197" t="inlineStr">
        <is>
          <t>None</t>
        </is>
      </c>
    </row>
    <row r="198" ht="22" customHeight="1">
      <c r="A198" s="16" t="inlineStr">
        <is>
          <t>Backfilling &amp; Compaction</t>
        </is>
      </c>
      <c r="B198" s="76" t="inlineStr">
        <is>
          <t>All kinds of soil</t>
        </is>
      </c>
      <c r="C198" s="76" t="inlineStr">
        <is>
          <t>Manual labor (depth ≤1.5m)</t>
        </is>
      </c>
      <c r="D198" s="76" t="inlineStr">
        <is>
          <t>Filling available excavated earth in plinth/trenches</t>
        </is>
      </c>
      <c r="E198" s="28" t="inlineStr">
        <is>
          <t>10 cum</t>
        </is>
      </c>
      <c r="F198" s="32" t="inlineStr">
        <is>
          <t>Labour (Supervisory / Mate)</t>
        </is>
      </c>
      <c r="G198" s="21" t="inlineStr">
        <is>
          <t>0128</t>
        </is>
      </c>
      <c r="H198" s="76" t="inlineStr">
        <is>
          <t>Mate</t>
        </is>
      </c>
      <c r="I198" s="86" t="n">
        <v>0.2</v>
      </c>
      <c r="J198" s="50" t="inlineStr">
        <is>
          <t>day</t>
        </is>
      </c>
      <c r="K198" s="51" t="n">
        <v>617</v>
      </c>
      <c r="L198" s="84" t="n">
        <v>123.4</v>
      </c>
      <c r="M198" s="52" t="n">
        <v>7.5</v>
      </c>
      <c r="N198" s="89" t="n">
        <v>50</v>
      </c>
      <c r="O198" s="39" t="inlineStr">
        <is>
          <t>2 men × 6.80 h = 13.60 man-hrs ÷ 8 = 1.70 cd. Hauling from heaps within 50m lead: 5.882 cum/8-hr day (1.36 hr/cum).</t>
        </is>
      </c>
      <c r="P198" t="inlineStr">
        <is>
          <t>Backfilling &amp; Compaction|All kinds of soil|Manual labor (depth ≤1.5m)|Filling available excavated earth in plinth/trenches|1</t>
        </is>
      </c>
      <c r="Q198" t="n">
        <v>1</v>
      </c>
      <c r="R198" t="n">
        <v>10</v>
      </c>
      <c r="S198" t="inlineStr">
        <is>
          <t>cum</t>
        </is>
      </c>
      <c r="T198" t="n">
        <v>219.65</v>
      </c>
      <c r="U198" t="inlineStr">
        <is>
          <t>Available excavated spoil (no digging)</t>
        </is>
      </c>
      <c r="V198" t="inlineStr">
        <is>
          <t>Basket Coolie return lead ≤50m</t>
        </is>
      </c>
      <c r="W198" t="inlineStr">
        <is>
          <t>Spreading in layers ≤20 cm</t>
        </is>
      </c>
      <c r="X198" t="inlineStr">
        <is>
          <t>Watering each layer</t>
        </is>
      </c>
      <c r="Y198" t="inlineStr">
        <is>
          <t>Durmat ramming / hand compaction</t>
        </is>
      </c>
    </row>
    <row r="199" ht="22" customHeight="1">
      <c r="A199" s="16" t="inlineStr">
        <is>
          <t>Backfilling &amp; Compaction</t>
        </is>
      </c>
      <c r="B199" s="76" t="inlineStr">
        <is>
          <t>All kinds of soil</t>
        </is>
      </c>
      <c r="C199" s="76" t="inlineStr">
        <is>
          <t>Manual labor (depth ≤1.5m)</t>
        </is>
      </c>
      <c r="D199" s="76" t="inlineStr">
        <is>
          <t>Filling available excavated earth in plinth/trenches</t>
        </is>
      </c>
      <c r="E199" s="28" t="inlineStr">
        <is>
          <t>10 cum</t>
        </is>
      </c>
      <c r="F199" s="32" t="inlineStr">
        <is>
          <t>Labour (Unskilled / Haulage)</t>
        </is>
      </c>
      <c r="G199" s="21" t="inlineStr">
        <is>
          <t>0115</t>
        </is>
      </c>
      <c r="H199" s="76" t="inlineStr">
        <is>
          <t>Coolie</t>
        </is>
      </c>
      <c r="I199" s="86" t="n">
        <v>2.5</v>
      </c>
      <c r="J199" s="50" t="inlineStr">
        <is>
          <t>day</t>
        </is>
      </c>
      <c r="K199" s="51" t="n">
        <v>558</v>
      </c>
      <c r="L199" s="84" t="n">
        <v>1395</v>
      </c>
      <c r="M199" s="52" t="n">
        <v>85</v>
      </c>
      <c r="N199" s="89" t="n">
        <v>4</v>
      </c>
      <c r="O199" s="39" t="inlineStr">
        <is>
          <t>1 man × 6.40 h = 6.40 man-hrs ÷ 8 = 0.80 bd. Spreading in 20cm layers &amp; durmat ramming: 12.50 cum/8-hr day (0.64 hr/cum).</t>
        </is>
      </c>
      <c r="P199" t="inlineStr">
        <is>
          <t>Backfilling &amp; Compaction|All kinds of soil|Manual labor (depth ≤1.5m)|Filling available excavated earth in plinth/trenches|2</t>
        </is>
      </c>
      <c r="Q199" t="n">
        <v>2</v>
      </c>
      <c r="R199" t="n">
        <v>10</v>
      </c>
      <c r="S199" t="inlineStr">
        <is>
          <t>cum</t>
        </is>
      </c>
      <c r="T199" t="n">
        <v>219.65</v>
      </c>
      <c r="U199" t="inlineStr">
        <is>
          <t>Available excavated spoil (no digging)</t>
        </is>
      </c>
      <c r="V199" t="inlineStr">
        <is>
          <t>Basket Coolie return lead ≤50m</t>
        </is>
      </c>
      <c r="W199" t="inlineStr">
        <is>
          <t>Spreading in layers ≤20 cm</t>
        </is>
      </c>
      <c r="X199" t="inlineStr">
        <is>
          <t>Watering each layer</t>
        </is>
      </c>
      <c r="Y199" t="inlineStr">
        <is>
          <t>Durmat ramming / hand compaction</t>
        </is>
      </c>
    </row>
    <row r="200" ht="22" customHeight="1">
      <c r="A200" s="16" t="inlineStr">
        <is>
          <t>Backfilling &amp; Compaction</t>
        </is>
      </c>
      <c r="B200" s="76" t="inlineStr">
        <is>
          <t>All kinds of soil</t>
        </is>
      </c>
      <c r="C200" s="76" t="inlineStr">
        <is>
          <t>Manual labor (depth ≤1.5m)</t>
        </is>
      </c>
      <c r="D200" s="76" t="inlineStr">
        <is>
          <t>Filling available excavated earth in plinth/trenches</t>
        </is>
      </c>
      <c r="E200" s="28" t="inlineStr">
        <is>
          <t>10 cum</t>
        </is>
      </c>
      <c r="F200" s="32" t="inlineStr">
        <is>
          <t>Labour (Operational / Bhishti)</t>
        </is>
      </c>
      <c r="G200" s="21" t="inlineStr">
        <is>
          <t>0101</t>
        </is>
      </c>
      <c r="H200" s="76" t="inlineStr">
        <is>
          <t>Bhisti</t>
        </is>
      </c>
      <c r="I200" s="86" t="n">
        <v>0.2</v>
      </c>
      <c r="J200" s="50" t="inlineStr">
        <is>
          <t>day</t>
        </is>
      </c>
      <c r="K200" s="51" t="n">
        <v>617</v>
      </c>
      <c r="L200" s="84" t="n">
        <v>123.4</v>
      </c>
      <c r="M200" s="52" t="n">
        <v>7.5</v>
      </c>
      <c r="N200" s="89" t="n">
        <v>50</v>
      </c>
      <c r="O200" s="39" t="inlineStr">
        <is>
          <t>1 man × 1.60 h = 1.60 man-hrs ÷ 8 = 0.20 bhisti-day. Consolidation watering: 50 cum/8-hr day (0.16 hr/cum).</t>
        </is>
      </c>
      <c r="P200" t="inlineStr">
        <is>
          <t>Backfilling &amp; Compaction|All kinds of soil|Manual labor (depth ≤1.5m)|Filling available excavated earth in plinth/trenches|3</t>
        </is>
      </c>
      <c r="Q200" t="n">
        <v>3</v>
      </c>
      <c r="R200" t="n">
        <v>10</v>
      </c>
      <c r="S200" t="inlineStr">
        <is>
          <t>cum</t>
        </is>
      </c>
      <c r="T200" t="n">
        <v>219.65</v>
      </c>
      <c r="U200" t="inlineStr">
        <is>
          <t>Available excavated spoil (no digging)</t>
        </is>
      </c>
      <c r="V200" t="inlineStr">
        <is>
          <t>Basket Coolie return lead ≤50m</t>
        </is>
      </c>
      <c r="W200" t="inlineStr">
        <is>
          <t>Spreading in layers ≤20 cm</t>
        </is>
      </c>
      <c r="X200" t="inlineStr">
        <is>
          <t>Watering each layer</t>
        </is>
      </c>
      <c r="Y200" t="inlineStr">
        <is>
          <t>Durmat ramming / hand compaction</t>
        </is>
      </c>
    </row>
    <row r="201" ht="22" customHeight="1">
      <c r="A201" s="16" t="inlineStr">
        <is>
          <t>Foundation &amp; Pipeline Trenching</t>
        </is>
      </c>
      <c r="B201" s="76" t="inlineStr">
        <is>
          <t>All kinds of soil</t>
        </is>
      </c>
      <c r="C201" s="76" t="inlineStr">
        <is>
          <t>Extra depth &gt;1.5m to 3.0m</t>
        </is>
      </c>
      <c r="D201" s="76" t="inlineStr">
        <is>
          <t>Extra lift for every additional 1.5m</t>
        </is>
      </c>
      <c r="E201" s="28" t="inlineStr">
        <is>
          <t>10 cum</t>
        </is>
      </c>
      <c r="F201" s="32" t="inlineStr">
        <is>
          <t>Labour (Supervisory / Mate)</t>
        </is>
      </c>
      <c r="G201" s="21" t="inlineStr">
        <is>
          <t>0128</t>
        </is>
      </c>
      <c r="H201" s="76" t="inlineStr">
        <is>
          <t>Mate</t>
        </is>
      </c>
      <c r="I201" s="86" t="n">
        <v>0.1</v>
      </c>
      <c r="J201" s="50" t="inlineStr">
        <is>
          <t>day</t>
        </is>
      </c>
      <c r="K201" s="51" t="n">
        <v>617</v>
      </c>
      <c r="L201" s="84" t="n">
        <v>61.7</v>
      </c>
      <c r="M201" s="52" t="n">
        <v>9.1</v>
      </c>
      <c r="N201" s="89" t="n">
        <v>100</v>
      </c>
      <c r="O201" s="39" t="inlineStr">
        <is>
          <t>Extra lift per 1.5m: Staging platform relay: 0.60 Coolie-day (16.67 cum/8-hr day).</t>
        </is>
      </c>
      <c r="P201" t="inlineStr">
        <is>
          <t>Foundation &amp; Pipeline Trenching|All kinds of soil|Extra depth &gt;1.5m to 3.0m|Extra lift for every additional 1.5m|1</t>
        </is>
      </c>
      <c r="Q201" t="n">
        <v>1</v>
      </c>
      <c r="R201" t="n">
        <v>10</v>
      </c>
      <c r="S201" t="inlineStr">
        <is>
          <t>cum</t>
        </is>
      </c>
      <c r="T201" t="n">
        <v>90.40000000000001</v>
      </c>
      <c r="U201" t="inlineStr">
        <is>
          <t>Deep excavation lift</t>
        </is>
      </c>
      <c r="V201" t="inlineStr">
        <is>
          <t>Staged manual lifting per 1.5m</t>
        </is>
      </c>
      <c r="W201" t="inlineStr">
        <is>
          <t>Disposal</t>
        </is>
      </c>
      <c r="X201" t="inlineStr">
        <is>
          <t>None</t>
        </is>
      </c>
      <c r="Y201" t="inlineStr">
        <is>
          <t>None</t>
        </is>
      </c>
    </row>
    <row r="202" ht="22" customHeight="1">
      <c r="A202" s="16" t="inlineStr">
        <is>
          <t>Foundation &amp; Pipeline Trenching</t>
        </is>
      </c>
      <c r="B202" s="76" t="inlineStr">
        <is>
          <t>All kinds of soil</t>
        </is>
      </c>
      <c r="C202" s="76" t="inlineStr">
        <is>
          <t>Extra depth &gt;1.5m to 3.0m</t>
        </is>
      </c>
      <c r="D202" s="76" t="inlineStr">
        <is>
          <t>Extra lift for every additional 1.5m</t>
        </is>
      </c>
      <c r="E202" s="28" t="inlineStr">
        <is>
          <t>10 cum</t>
        </is>
      </c>
      <c r="F202" s="32" t="inlineStr">
        <is>
          <t>Labour (Semi-Skilled / Operational)</t>
        </is>
      </c>
      <c r="G202" s="21" t="inlineStr">
        <is>
          <t>0114</t>
        </is>
      </c>
      <c r="H202" s="76" t="inlineStr">
        <is>
          <t>Beldar</t>
        </is>
      </c>
      <c r="I202" s="86" t="n">
        <v>1.1</v>
      </c>
      <c r="J202" s="50" t="inlineStr">
        <is>
          <t>day</t>
        </is>
      </c>
      <c r="K202" s="51" t="n">
        <v>558</v>
      </c>
      <c r="L202" s="84" t="n">
        <v>613.8</v>
      </c>
      <c r="M202" s="52" t="n">
        <v>90.90000000000001</v>
      </c>
      <c r="N202" s="89" t="n">
        <v>9.09090909090909</v>
      </c>
      <c r="O202" s="39" t="inlineStr">
        <is>
          <t>Extra lift per 1.5m: Re-handling on stage: 0.35 Beldar-day (28.57 cum/8-hr day).</t>
        </is>
      </c>
      <c r="P202" t="inlineStr">
        <is>
          <t>Foundation &amp; Pipeline Trenching|All kinds of soil|Extra depth &gt;1.5m to 3.0m|Extra lift for every additional 1.5m|2</t>
        </is>
      </c>
      <c r="Q202" t="n">
        <v>2</v>
      </c>
      <c r="R202" t="n">
        <v>10</v>
      </c>
      <c r="S202" t="inlineStr">
        <is>
          <t>cum</t>
        </is>
      </c>
      <c r="T202" t="n">
        <v>90.40000000000001</v>
      </c>
      <c r="U202" t="inlineStr">
        <is>
          <t>Deep excavation lift</t>
        </is>
      </c>
      <c r="V202" t="inlineStr">
        <is>
          <t>Staged manual lifting per 1.5m</t>
        </is>
      </c>
      <c r="W202" t="inlineStr">
        <is>
          <t>Disposal</t>
        </is>
      </c>
      <c r="X202" t="inlineStr">
        <is>
          <t>None</t>
        </is>
      </c>
      <c r="Y202" t="inlineStr">
        <is>
          <t>None</t>
        </is>
      </c>
    </row>
    <row r="203" ht="22" customHeight="1">
      <c r="A203" s="16" t="inlineStr">
        <is>
          <t>Foundation &amp; Pipeline Trenching</t>
        </is>
      </c>
      <c r="B203" s="76" t="inlineStr">
        <is>
          <t>Ordinary rock</t>
        </is>
      </c>
      <c r="C203" s="76" t="inlineStr">
        <is>
          <t>Extra depth &gt;1.5m to 3.0m</t>
        </is>
      </c>
      <c r="D203" s="76" t="inlineStr">
        <is>
          <t>Extra lift for every additional 1.5m</t>
        </is>
      </c>
      <c r="E203" s="28" t="inlineStr">
        <is>
          <t>10 cum</t>
        </is>
      </c>
      <c r="F203" s="32" t="inlineStr">
        <is>
          <t>Labour (Supervisory / Mate)</t>
        </is>
      </c>
      <c r="G203" s="21" t="inlineStr">
        <is>
          <t>0128</t>
        </is>
      </c>
      <c r="H203" s="76" t="inlineStr">
        <is>
          <t>Mate</t>
        </is>
      </c>
      <c r="I203" s="86" t="n">
        <v>0.2</v>
      </c>
      <c r="J203" s="50" t="inlineStr">
        <is>
          <t>day</t>
        </is>
      </c>
      <c r="K203" s="51" t="n">
        <v>617</v>
      </c>
      <c r="L203" s="84" t="n">
        <v>123.4</v>
      </c>
      <c r="M203" s="52" t="n">
        <v>10.2</v>
      </c>
      <c r="N203" s="89" t="n">
        <v>50</v>
      </c>
      <c r="O203" s="39" t="inlineStr"/>
      <c r="P203" t="inlineStr">
        <is>
          <t>Foundation &amp; Pipeline Trenching|Ordinary rock|Extra depth &gt;1.5m to 3.0m|Extra lift for every additional 1.5m|1</t>
        </is>
      </c>
      <c r="Q203" t="n">
        <v>1</v>
      </c>
      <c r="R203" t="n">
        <v>10</v>
      </c>
      <c r="S203" t="inlineStr">
        <is>
          <t>cum</t>
        </is>
      </c>
      <c r="T203" t="n">
        <v>162.1</v>
      </c>
      <c r="U203" t="inlineStr">
        <is>
          <t>Deep excavation lift</t>
        </is>
      </c>
      <c r="V203" t="inlineStr">
        <is>
          <t>Staged manual lifting per 1.5m</t>
        </is>
      </c>
      <c r="W203" t="inlineStr">
        <is>
          <t>Disposal</t>
        </is>
      </c>
      <c r="X203" t="inlineStr">
        <is>
          <t>None</t>
        </is>
      </c>
      <c r="Y203" t="inlineStr">
        <is>
          <t>None</t>
        </is>
      </c>
    </row>
    <row r="204" ht="22" customHeight="1">
      <c r="A204" s="16" t="inlineStr">
        <is>
          <t>Foundation &amp; Pipeline Trenching</t>
        </is>
      </c>
      <c r="B204" s="76" t="inlineStr">
        <is>
          <t>Ordinary rock</t>
        </is>
      </c>
      <c r="C204" s="76" t="inlineStr">
        <is>
          <t>Extra depth &gt;1.5m to 3.0m</t>
        </is>
      </c>
      <c r="D204" s="76" t="inlineStr">
        <is>
          <t>Extra lift for every additional 1.5m</t>
        </is>
      </c>
      <c r="E204" s="28" t="inlineStr">
        <is>
          <t>10 cum</t>
        </is>
      </c>
      <c r="F204" s="32" t="inlineStr">
        <is>
          <t>Labour (Semi-Skilled / Operational)</t>
        </is>
      </c>
      <c r="G204" s="21" t="inlineStr">
        <is>
          <t>0114</t>
        </is>
      </c>
      <c r="H204" s="76" t="inlineStr">
        <is>
          <t>Beldar</t>
        </is>
      </c>
      <c r="I204" s="86" t="n">
        <v>1.95</v>
      </c>
      <c r="J204" s="50" t="inlineStr">
        <is>
          <t>day</t>
        </is>
      </c>
      <c r="K204" s="51" t="n">
        <v>558</v>
      </c>
      <c r="L204" s="84" t="n">
        <v>1088.1</v>
      </c>
      <c r="M204" s="52" t="n">
        <v>89.8</v>
      </c>
      <c r="N204" s="89" t="n">
        <v>5.128205128205129</v>
      </c>
      <c r="O204" s="39" t="inlineStr"/>
      <c r="P204" t="inlineStr">
        <is>
          <t>Foundation &amp; Pipeline Trenching|Ordinary rock|Extra depth &gt;1.5m to 3.0m|Extra lift for every additional 1.5m|2</t>
        </is>
      </c>
      <c r="Q204" t="n">
        <v>2</v>
      </c>
      <c r="R204" t="n">
        <v>10</v>
      </c>
      <c r="S204" t="inlineStr">
        <is>
          <t>cum</t>
        </is>
      </c>
      <c r="T204" t="n">
        <v>162.1</v>
      </c>
      <c r="U204" t="inlineStr">
        <is>
          <t>Deep excavation lift</t>
        </is>
      </c>
      <c r="V204" t="inlineStr">
        <is>
          <t>Staged manual lifting per 1.5m</t>
        </is>
      </c>
      <c r="W204" t="inlineStr">
        <is>
          <t>Disposal</t>
        </is>
      </c>
      <c r="X204" t="inlineStr">
        <is>
          <t>None</t>
        </is>
      </c>
      <c r="Y204" t="inlineStr">
        <is>
          <t>None</t>
        </is>
      </c>
    </row>
    <row r="205" ht="22" customHeight="1">
      <c r="A205" s="16" t="inlineStr">
        <is>
          <t>Backfilling &amp; Compaction</t>
        </is>
      </c>
      <c r="B205" s="76" t="inlineStr">
        <is>
          <t>Ordinary rock</t>
        </is>
      </c>
      <c r="C205" s="76" t="inlineStr">
        <is>
          <t>Manual labor (depth ≤1.5m)</t>
        </is>
      </c>
      <c r="D205" s="76" t="inlineStr">
        <is>
          <t>Supplying and filling quarry moorum</t>
        </is>
      </c>
      <c r="E205" s="28" t="inlineStr">
        <is>
          <t>10 cum</t>
        </is>
      </c>
      <c r="F205" s="32" t="inlineStr">
        <is>
          <t>Material &amp; Consumables</t>
        </is>
      </c>
      <c r="G205" s="21" t="inlineStr">
        <is>
          <t>6501</t>
        </is>
      </c>
      <c r="H205" s="76" t="inlineStr">
        <is>
          <t>Sand zone V (Jamuna) at source</t>
        </is>
      </c>
      <c r="I205" s="86" t="n">
        <v>10</v>
      </c>
      <c r="J205" s="50" t="inlineStr">
        <is>
          <t>cum</t>
        </is>
      </c>
      <c r="K205" s="51" t="n">
        <v>1225</v>
      </c>
      <c r="L205" s="84" t="n">
        <v>12250</v>
      </c>
      <c r="M205" s="52" t="n">
        <v>83.90000000000001</v>
      </c>
      <c r="N205" s="32" t="inlineStr"/>
      <c r="O205" s="39" t="inlineStr"/>
      <c r="P205" t="inlineStr">
        <is>
          <t>Backfilling &amp; Compaction|Ordinary rock|Manual labor (depth ≤1.5m)|Supplying and filling quarry moorum|1</t>
        </is>
      </c>
      <c r="Q205" t="n">
        <v>1</v>
      </c>
      <c r="R205" t="n">
        <v>10</v>
      </c>
      <c r="S205" t="inlineStr">
        <is>
          <t>cum</t>
        </is>
      </c>
      <c r="T205" t="n">
        <v>1953.05</v>
      </c>
      <c r="U205" t="inlineStr">
        <is>
          <t>Material supply (quarry moorum)</t>
        </is>
      </c>
      <c r="V205" t="inlineStr">
        <is>
          <t>Carriage to plinth &amp; wheeling</t>
        </is>
      </c>
      <c r="W205" t="inlineStr">
        <is>
          <t>Spreading in layers ≤20 cm</t>
        </is>
      </c>
      <c r="X205" t="inlineStr">
        <is>
          <t>Watering each layer</t>
        </is>
      </c>
      <c r="Y205" t="inlineStr">
        <is>
          <t>Durmat ramming / hand compaction</t>
        </is>
      </c>
    </row>
    <row r="206" ht="22" customHeight="1">
      <c r="A206" s="16" t="inlineStr">
        <is>
          <t>Backfilling &amp; Compaction</t>
        </is>
      </c>
      <c r="B206" s="76" t="inlineStr">
        <is>
          <t>Ordinary rock</t>
        </is>
      </c>
      <c r="C206" s="76" t="inlineStr">
        <is>
          <t>Manual labor (depth ≤1.5m)</t>
        </is>
      </c>
      <c r="D206" s="76" t="inlineStr">
        <is>
          <t>Supplying and filling quarry moorum</t>
        </is>
      </c>
      <c r="E206" s="28" t="inlineStr">
        <is>
          <t>10 cum</t>
        </is>
      </c>
      <c r="F206" s="32" t="inlineStr">
        <is>
          <t>Material &amp; Consumables</t>
        </is>
      </c>
      <c r="G206" s="21" t="inlineStr">
        <is>
          <t>2335</t>
        </is>
      </c>
      <c r="H206" s="76" t="inlineStr">
        <is>
          <t>Carriage of sand</t>
        </is>
      </c>
      <c r="I206" s="86" t="n">
        <v>10</v>
      </c>
      <c r="J206" s="50" t="inlineStr">
        <is>
          <t>cum</t>
        </is>
      </c>
      <c r="K206" s="51" t="n">
        <v>103.77</v>
      </c>
      <c r="L206" s="84" t="n">
        <v>1037.7</v>
      </c>
      <c r="M206" s="52" t="n">
        <v>7.1</v>
      </c>
      <c r="N206" s="32" t="inlineStr"/>
      <c r="O206" s="39" t="inlineStr"/>
      <c r="P206" t="inlineStr">
        <is>
          <t>Backfilling &amp; Compaction|Ordinary rock|Manual labor (depth ≤1.5m)|Supplying and filling quarry moorum|2</t>
        </is>
      </c>
      <c r="Q206" t="n">
        <v>2</v>
      </c>
      <c r="R206" t="n">
        <v>10</v>
      </c>
      <c r="S206" t="inlineStr">
        <is>
          <t>cum</t>
        </is>
      </c>
      <c r="T206" t="n">
        <v>1953.05</v>
      </c>
      <c r="U206" t="inlineStr">
        <is>
          <t>Material supply (quarry moorum)</t>
        </is>
      </c>
      <c r="V206" t="inlineStr">
        <is>
          <t>Carriage to plinth &amp; wheeling</t>
        </is>
      </c>
      <c r="W206" t="inlineStr">
        <is>
          <t>Spreading in layers ≤20 cm</t>
        </is>
      </c>
      <c r="X206" t="inlineStr">
        <is>
          <t>Watering each layer</t>
        </is>
      </c>
      <c r="Y206" t="inlineStr">
        <is>
          <t>Durmat ramming / hand compaction</t>
        </is>
      </c>
    </row>
    <row r="207" ht="22" customHeight="1">
      <c r="A207" s="16" t="inlineStr">
        <is>
          <t>Backfilling &amp; Compaction</t>
        </is>
      </c>
      <c r="B207" s="76" t="inlineStr">
        <is>
          <t>Ordinary rock</t>
        </is>
      </c>
      <c r="C207" s="76" t="inlineStr">
        <is>
          <t>Manual labor (depth ≤1.5m)</t>
        </is>
      </c>
      <c r="D207" s="76" t="inlineStr">
        <is>
          <t>Supplying and filling quarry moorum</t>
        </is>
      </c>
      <c r="E207" s="28" t="inlineStr">
        <is>
          <t>10 cum</t>
        </is>
      </c>
      <c r="F207" s="32" t="inlineStr">
        <is>
          <t>Labour (Semi-Skilled / Operational)</t>
        </is>
      </c>
      <c r="G207" s="21" t="inlineStr">
        <is>
          <t>0114</t>
        </is>
      </c>
      <c r="H207" s="76" t="inlineStr">
        <is>
          <t>Beldar</t>
        </is>
      </c>
      <c r="I207" s="86" t="n">
        <v>0.89</v>
      </c>
      <c r="J207" s="50" t="inlineStr">
        <is>
          <t>day</t>
        </is>
      </c>
      <c r="K207" s="51" t="n">
        <v>558</v>
      </c>
      <c r="L207" s="84" t="n">
        <v>496.62</v>
      </c>
      <c r="M207" s="52" t="n">
        <v>3.4</v>
      </c>
      <c r="N207" s="89" t="n">
        <v>11.23595505617977</v>
      </c>
      <c r="O207" s="39" t="inlineStr"/>
      <c r="P207" t="inlineStr">
        <is>
          <t>Backfilling &amp; Compaction|Ordinary rock|Manual labor (depth ≤1.5m)|Supplying and filling quarry moorum|3</t>
        </is>
      </c>
      <c r="Q207" t="n">
        <v>3</v>
      </c>
      <c r="R207" t="n">
        <v>10</v>
      </c>
      <c r="S207" t="inlineStr">
        <is>
          <t>cum</t>
        </is>
      </c>
      <c r="T207" t="n">
        <v>1953.05</v>
      </c>
      <c r="U207" t="inlineStr">
        <is>
          <t>Material supply (quarry moorum)</t>
        </is>
      </c>
      <c r="V207" t="inlineStr">
        <is>
          <t>Carriage to plinth &amp; wheeling</t>
        </is>
      </c>
      <c r="W207" t="inlineStr">
        <is>
          <t>Spreading in layers ≤20 cm</t>
        </is>
      </c>
      <c r="X207" t="inlineStr">
        <is>
          <t>Watering each layer</t>
        </is>
      </c>
      <c r="Y207" t="inlineStr">
        <is>
          <t>Durmat ramming / hand compaction</t>
        </is>
      </c>
    </row>
    <row r="208" ht="22" customHeight="1">
      <c r="A208" s="16" t="inlineStr">
        <is>
          <t>Backfilling &amp; Compaction</t>
        </is>
      </c>
      <c r="B208" s="76" t="inlineStr">
        <is>
          <t>Ordinary rock</t>
        </is>
      </c>
      <c r="C208" s="76" t="inlineStr">
        <is>
          <t>Manual labor (depth ≤1.5m)</t>
        </is>
      </c>
      <c r="D208" s="76" t="inlineStr">
        <is>
          <t>Supplying and filling quarry moorum</t>
        </is>
      </c>
      <c r="E208" s="28" t="inlineStr">
        <is>
          <t>10 cum</t>
        </is>
      </c>
      <c r="F208" s="32" t="inlineStr">
        <is>
          <t>Labour (Unskilled / Haulage)</t>
        </is>
      </c>
      <c r="G208" s="21" t="inlineStr">
        <is>
          <t>0115</t>
        </is>
      </c>
      <c r="H208" s="76" t="inlineStr">
        <is>
          <t>Coolie</t>
        </is>
      </c>
      <c r="I208" s="86" t="n">
        <v>1.07</v>
      </c>
      <c r="J208" s="50" t="inlineStr">
        <is>
          <t>day</t>
        </is>
      </c>
      <c r="K208" s="51" t="n">
        <v>558</v>
      </c>
      <c r="L208" s="84" t="n">
        <v>597.0599999999999</v>
      </c>
      <c r="M208" s="52" t="n">
        <v>4.1</v>
      </c>
      <c r="N208" s="89" t="n">
        <v>9.345794392523365</v>
      </c>
      <c r="O208" s="39" t="inlineStr"/>
      <c r="P208" t="inlineStr">
        <is>
          <t>Backfilling &amp; Compaction|Ordinary rock|Manual labor (depth ≤1.5m)|Supplying and filling quarry moorum|4</t>
        </is>
      </c>
      <c r="Q208" t="n">
        <v>4</v>
      </c>
      <c r="R208" t="n">
        <v>10</v>
      </c>
      <c r="S208" t="inlineStr">
        <is>
          <t>cum</t>
        </is>
      </c>
      <c r="T208" t="n">
        <v>1953.05</v>
      </c>
      <c r="U208" t="inlineStr">
        <is>
          <t>Material supply (quarry moorum)</t>
        </is>
      </c>
      <c r="V208" t="inlineStr">
        <is>
          <t>Carriage to plinth &amp; wheeling</t>
        </is>
      </c>
      <c r="W208" t="inlineStr">
        <is>
          <t>Spreading in layers ≤20 cm</t>
        </is>
      </c>
      <c r="X208" t="inlineStr">
        <is>
          <t>Watering each layer</t>
        </is>
      </c>
      <c r="Y208" t="inlineStr">
        <is>
          <t>Durmat ramming / hand compaction</t>
        </is>
      </c>
    </row>
    <row r="209" ht="22" customHeight="1">
      <c r="A209" s="16" t="inlineStr">
        <is>
          <t>Backfilling &amp; Compaction</t>
        </is>
      </c>
      <c r="B209" s="76" t="inlineStr">
        <is>
          <t>Ordinary rock</t>
        </is>
      </c>
      <c r="C209" s="76" t="inlineStr">
        <is>
          <t>Manual labor (depth ≤1.5m)</t>
        </is>
      </c>
      <c r="D209" s="76" t="inlineStr">
        <is>
          <t>Supplying and filling quarry moorum</t>
        </is>
      </c>
      <c r="E209" s="28" t="inlineStr">
        <is>
          <t>10 cum</t>
        </is>
      </c>
      <c r="F209" s="32" t="inlineStr">
        <is>
          <t>Labour (Operational / Bhishti)</t>
        </is>
      </c>
      <c r="G209" s="21" t="inlineStr">
        <is>
          <t>0101</t>
        </is>
      </c>
      <c r="H209" s="76" t="inlineStr">
        <is>
          <t>Bhisti</t>
        </is>
      </c>
      <c r="I209" s="86" t="n">
        <v>0.35</v>
      </c>
      <c r="J209" s="50" t="inlineStr">
        <is>
          <t>day</t>
        </is>
      </c>
      <c r="K209" s="51" t="n">
        <v>617</v>
      </c>
      <c r="L209" s="84" t="n">
        <v>215.95</v>
      </c>
      <c r="M209" s="52" t="n">
        <v>1.5</v>
      </c>
      <c r="N209" s="89" t="n">
        <v>28.57142857142857</v>
      </c>
      <c r="O209" s="39" t="inlineStr"/>
      <c r="P209" t="inlineStr">
        <is>
          <t>Backfilling &amp; Compaction|Ordinary rock|Manual labor (depth ≤1.5m)|Supplying and filling quarry moorum|5</t>
        </is>
      </c>
      <c r="Q209" t="n">
        <v>5</v>
      </c>
      <c r="R209" t="n">
        <v>10</v>
      </c>
      <c r="S209" t="inlineStr">
        <is>
          <t>cum</t>
        </is>
      </c>
      <c r="T209" t="n">
        <v>1953.05</v>
      </c>
      <c r="U209" t="inlineStr">
        <is>
          <t>Material supply (quarry moorum)</t>
        </is>
      </c>
      <c r="V209" t="inlineStr">
        <is>
          <t>Carriage to plinth &amp; wheeling</t>
        </is>
      </c>
      <c r="W209" t="inlineStr">
        <is>
          <t>Spreading in layers ≤20 cm</t>
        </is>
      </c>
      <c r="X209" t="inlineStr">
        <is>
          <t>Watering each layer</t>
        </is>
      </c>
      <c r="Y209" t="inlineStr">
        <is>
          <t>Durmat ramming / hand compaction</t>
        </is>
      </c>
    </row>
    <row r="210" ht="22" customHeight="1">
      <c r="A210" s="16" t="inlineStr">
        <is>
          <t>Surface Excavation (≤30 cm)</t>
        </is>
      </c>
      <c r="B210" s="76" t="inlineStr">
        <is>
          <t>All kinds of soil</t>
        </is>
      </c>
      <c r="C210" s="76" t="inlineStr">
        <is>
          <t>Manual labor (depth ≤1.5m)</t>
        </is>
      </c>
      <c r="D210" s="76" t="inlineStr">
        <is>
          <t>Surface dressing (≤15 cm depth)</t>
        </is>
      </c>
      <c r="E210" s="28" t="inlineStr">
        <is>
          <t>100 sqm</t>
        </is>
      </c>
      <c r="F210" s="32" t="inlineStr">
        <is>
          <t>Labour (Semi-Skilled / Operational)</t>
        </is>
      </c>
      <c r="G210" s="21" t="inlineStr">
        <is>
          <t>0114</t>
        </is>
      </c>
      <c r="H210" s="76" t="inlineStr">
        <is>
          <t>Beldar</t>
        </is>
      </c>
      <c r="I210" s="86" t="n">
        <v>1.97</v>
      </c>
      <c r="J210" s="50" t="inlineStr">
        <is>
          <t>day</t>
        </is>
      </c>
      <c r="K210" s="51" t="n">
        <v>558</v>
      </c>
      <c r="L210" s="84" t="n">
        <v>1099.26</v>
      </c>
      <c r="M210" s="52" t="n">
        <v>60.4</v>
      </c>
      <c r="N210" s="87" t="n">
        <v>50.76142131979695</v>
      </c>
      <c r="O210" s="39" t="inlineStr">
        <is>
          <t>1 man × 7.20 h ÷ 8 = 0.90 bd. Leveling surface humps/hollows &lt;= 15cm: 111.11 sqm/8-hr day (0.072 hr/sqm).</t>
        </is>
      </c>
      <c r="P210" t="inlineStr">
        <is>
          <t>Surface Excavation (≤30 cm)|All kinds of soil|Manual labor (depth ≤1.5m)|Surface dressing (≤15 cm depth)|1</t>
        </is>
      </c>
      <c r="Q210" t="n">
        <v>1</v>
      </c>
      <c r="R210" t="n">
        <v>100</v>
      </c>
      <c r="S210" t="inlineStr">
        <is>
          <t>sqm</t>
        </is>
      </c>
      <c r="T210" t="n">
        <v>24.35</v>
      </c>
      <c r="U210" t="inlineStr">
        <is>
          <t>Manual Beldar skimming</t>
        </is>
      </c>
      <c r="V210" t="inlineStr">
        <is>
          <t>Removal to 50m</t>
        </is>
      </c>
      <c r="W210" t="inlineStr">
        <is>
          <t>Level dressing</t>
        </is>
      </c>
      <c r="X210" t="inlineStr">
        <is>
          <t>None</t>
        </is>
      </c>
      <c r="Y210" t="inlineStr">
        <is>
          <t>None</t>
        </is>
      </c>
    </row>
    <row r="211" ht="22" customHeight="1">
      <c r="A211" s="16" t="inlineStr">
        <is>
          <t>Surface Excavation (≤30 cm)</t>
        </is>
      </c>
      <c r="B211" s="76" t="inlineStr">
        <is>
          <t>All kinds of soil</t>
        </is>
      </c>
      <c r="C211" s="76" t="inlineStr">
        <is>
          <t>Manual labor (depth ≤1.5m)</t>
        </is>
      </c>
      <c r="D211" s="76" t="inlineStr">
        <is>
          <t>Surface dressing (≤15 cm depth)</t>
        </is>
      </c>
      <c r="E211" s="28" t="inlineStr">
        <is>
          <t>100 sqm</t>
        </is>
      </c>
      <c r="F211" s="32" t="inlineStr">
        <is>
          <t>Labour (Unskilled / Haulage)</t>
        </is>
      </c>
      <c r="G211" s="21" t="inlineStr">
        <is>
          <t>0115</t>
        </is>
      </c>
      <c r="H211" s="76" t="inlineStr">
        <is>
          <t>Coolie</t>
        </is>
      </c>
      <c r="I211" s="86" t="n">
        <v>1.29</v>
      </c>
      <c r="J211" s="50" t="inlineStr">
        <is>
          <t>day</t>
        </is>
      </c>
      <c r="K211" s="51" t="n">
        <v>558</v>
      </c>
      <c r="L211" s="84" t="n">
        <v>719.8200000000001</v>
      </c>
      <c r="M211" s="52" t="n">
        <v>39.6</v>
      </c>
      <c r="N211" s="87" t="n">
        <v>77.51937984496124</v>
      </c>
      <c r="O211" s="39" t="inlineStr">
        <is>
          <t>1 man × 5.60 h ÷ 8 = 0.70 cd. Rubbish &amp; weed disposal up to 50m: 142.86 sqm/8-hr day (0.056 hr/sqm).</t>
        </is>
      </c>
      <c r="P211" t="inlineStr">
        <is>
          <t>Surface Excavation (≤30 cm)|All kinds of soil|Manual labor (depth ≤1.5m)|Surface dressing (≤15 cm depth)|2</t>
        </is>
      </c>
      <c r="Q211" t="n">
        <v>2</v>
      </c>
      <c r="R211" t="n">
        <v>100</v>
      </c>
      <c r="S211" t="inlineStr">
        <is>
          <t>sqm</t>
        </is>
      </c>
      <c r="T211" t="n">
        <v>24.35</v>
      </c>
      <c r="U211" t="inlineStr">
        <is>
          <t>Manual Beldar skimming</t>
        </is>
      </c>
      <c r="V211" t="inlineStr">
        <is>
          <t>Removal to 50m</t>
        </is>
      </c>
      <c r="W211" t="inlineStr">
        <is>
          <t>Level dressing</t>
        </is>
      </c>
      <c r="X211" t="inlineStr">
        <is>
          <t>None</t>
        </is>
      </c>
      <c r="Y211" t="inlineStr">
        <is>
          <t>None</t>
        </is>
      </c>
    </row>
    <row r="212" ht="22" customHeight="1">
      <c r="A212" s="16" t="inlineStr">
        <is>
          <t>Surface Excavation (≤30 cm)</t>
        </is>
      </c>
      <c r="B212" s="76" t="inlineStr">
        <is>
          <t>All kinds of soil</t>
        </is>
      </c>
      <c r="C212" s="76" t="inlineStr">
        <is>
          <t>Manual labor (depth ≤1.5m)</t>
        </is>
      </c>
      <c r="D212" s="76" t="inlineStr">
        <is>
          <t>Ploughing ground (15-25 cm) &amp; watering</t>
        </is>
      </c>
      <c r="E212" s="28" t="inlineStr">
        <is>
          <t>100 sqm</t>
        </is>
      </c>
      <c r="F212" s="32" t="inlineStr">
        <is>
          <t>Labour (Semi-Skilled / Operational)</t>
        </is>
      </c>
      <c r="G212" s="21" t="inlineStr">
        <is>
          <t>0114</t>
        </is>
      </c>
      <c r="H212" s="76" t="inlineStr">
        <is>
          <t>Beldar</t>
        </is>
      </c>
      <c r="I212" s="86" t="n">
        <v>2.75</v>
      </c>
      <c r="J212" s="50" t="inlineStr">
        <is>
          <t>day</t>
        </is>
      </c>
      <c r="K212" s="51" t="n">
        <v>558</v>
      </c>
      <c r="L212" s="84" t="n">
        <v>1534.5</v>
      </c>
      <c r="M212" s="52" t="n">
        <v>83.3</v>
      </c>
      <c r="N212" s="87" t="n">
        <v>36.36363636363637</v>
      </c>
      <c r="O212" s="39" t="inlineStr"/>
      <c r="P212" t="inlineStr">
        <is>
          <t>Surface Excavation (≤30 cm)|All kinds of soil|Manual labor (depth ≤1.5m)|Ploughing ground (15-25 cm) &amp; watering|1</t>
        </is>
      </c>
      <c r="Q212" t="n">
        <v>1</v>
      </c>
      <c r="R212" t="n">
        <v>100</v>
      </c>
      <c r="S212" t="inlineStr">
        <is>
          <t>sqm</t>
        </is>
      </c>
      <c r="T212" t="n">
        <v>24.65</v>
      </c>
      <c r="U212" t="inlineStr">
        <is>
          <t>Plough / Beldar</t>
        </is>
      </c>
      <c r="V212" t="inlineStr">
        <is>
          <t>On-site</t>
        </is>
      </c>
      <c r="W212" t="inlineStr">
        <is>
          <t>Rough furrows</t>
        </is>
      </c>
      <c r="X212" t="inlineStr">
        <is>
          <t>Watering by Bhishti</t>
        </is>
      </c>
      <c r="Y212" t="inlineStr">
        <is>
          <t>None</t>
        </is>
      </c>
    </row>
    <row r="213" ht="22" customHeight="1">
      <c r="A213" s="16" t="inlineStr">
        <is>
          <t>Surface Excavation (≤30 cm)</t>
        </is>
      </c>
      <c r="B213" s="76" t="inlineStr">
        <is>
          <t>All kinds of soil</t>
        </is>
      </c>
      <c r="C213" s="76" t="inlineStr">
        <is>
          <t>Manual labor (depth ≤1.5m)</t>
        </is>
      </c>
      <c r="D213" s="76" t="inlineStr">
        <is>
          <t>Ploughing ground (15-25 cm) &amp; watering</t>
        </is>
      </c>
      <c r="E213" s="28" t="inlineStr">
        <is>
          <t>100 sqm</t>
        </is>
      </c>
      <c r="F213" s="32" t="inlineStr">
        <is>
          <t>Labour (Operational / Bhishti)</t>
        </is>
      </c>
      <c r="G213" s="21" t="inlineStr">
        <is>
          <t>0101</t>
        </is>
      </c>
      <c r="H213" s="76" t="inlineStr">
        <is>
          <t>Bhisti</t>
        </is>
      </c>
      <c r="I213" s="86" t="n">
        <v>0.5</v>
      </c>
      <c r="J213" s="50" t="inlineStr">
        <is>
          <t>day</t>
        </is>
      </c>
      <c r="K213" s="51" t="n">
        <v>617</v>
      </c>
      <c r="L213" s="84" t="n">
        <v>308.5</v>
      </c>
      <c r="M213" s="52" t="n">
        <v>16.7</v>
      </c>
      <c r="N213" s="87" t="n">
        <v>200</v>
      </c>
      <c r="O213" s="39" t="inlineStr"/>
      <c r="P213" t="inlineStr">
        <is>
          <t>Surface Excavation (≤30 cm)|All kinds of soil|Manual labor (depth ≤1.5m)|Ploughing ground (15-25 cm) &amp; watering|2</t>
        </is>
      </c>
      <c r="Q213" t="n">
        <v>2</v>
      </c>
      <c r="R213" t="n">
        <v>100</v>
      </c>
      <c r="S213" t="inlineStr">
        <is>
          <t>sqm</t>
        </is>
      </c>
      <c r="T213" t="n">
        <v>24.65</v>
      </c>
      <c r="U213" t="inlineStr">
        <is>
          <t>Plough / Beldar</t>
        </is>
      </c>
      <c r="V213" t="inlineStr">
        <is>
          <t>On-site</t>
        </is>
      </c>
      <c r="W213" t="inlineStr">
        <is>
          <t>Rough furrows</t>
        </is>
      </c>
      <c r="X213" t="inlineStr">
        <is>
          <t>Watering by Bhishti</t>
        </is>
      </c>
      <c r="Y213" t="inlineStr">
        <is>
          <t>None</t>
        </is>
      </c>
    </row>
    <row r="214" ht="22" customHeight="1">
      <c r="A214" s="16" t="inlineStr">
        <is>
          <t>Foundation &amp; Pipeline Trenching</t>
        </is>
      </c>
      <c r="B214" s="76" t="inlineStr">
        <is>
          <t>All kinds of soil</t>
        </is>
      </c>
      <c r="C214" s="76" t="inlineStr">
        <is>
          <t>Manual labor (depth ≤1.5m)</t>
        </is>
      </c>
      <c r="D214" s="76" t="inlineStr">
        <is>
          <t>Excavating post holes 0.1-0.5 cum in soil</t>
        </is>
      </c>
      <c r="E214" s="28" t="inlineStr">
        <is>
          <t>10 hole</t>
        </is>
      </c>
      <c r="F214" s="32" t="inlineStr">
        <is>
          <t>Sundries &amp; Allowances</t>
        </is>
      </c>
      <c r="G214" s="21" t="inlineStr">
        <is>
          <t>2.8.1</t>
        </is>
      </c>
      <c r="H214" s="76" t="inlineStr">
        <is>
          <t>Rate item 2.8.1 – Foundation trench all soil</t>
        </is>
      </c>
      <c r="I214" s="86" t="n">
        <v>3</v>
      </c>
      <c r="J214" s="50" t="inlineStr">
        <is>
          <t>cum</t>
        </is>
      </c>
      <c r="K214" s="51" t="n">
        <v>252.3</v>
      </c>
      <c r="L214" s="84" t="n">
        <v>756.9</v>
      </c>
      <c r="M214" s="52" t="n">
        <v>96.59999999999999</v>
      </c>
      <c r="N214" s="32" t="inlineStr"/>
      <c r="O214" s="39" t="inlineStr">
        <is>
          <t>3 cum avg per hole</t>
        </is>
      </c>
      <c r="P214" t="inlineStr">
        <is>
          <t>Foundation &amp; Pipeline Trenching|All kinds of soil|Manual labor (depth ≤1.5m)|Excavating post holes 0.1-0.5 cum in soil|1</t>
        </is>
      </c>
      <c r="Q214" t="n">
        <v>1</v>
      </c>
      <c r="R214" t="n">
        <v>10</v>
      </c>
      <c r="S214" t="inlineStr">
        <is>
          <t>hole</t>
        </is>
      </c>
      <c r="T214" t="n">
        <v>79.3</v>
      </c>
      <c r="U214" t="inlineStr">
        <is>
          <t>Post hole auger / crowbar</t>
        </is>
      </c>
      <c r="V214" t="inlineStr">
        <is>
          <t>Hand shovel around hole</t>
        </is>
      </c>
      <c r="W214" t="inlineStr">
        <is>
          <t>Neat collar stacking</t>
        </is>
      </c>
      <c r="X214" t="inlineStr">
        <is>
          <t>None</t>
        </is>
      </c>
      <c r="Y214" t="inlineStr">
        <is>
          <t>None</t>
        </is>
      </c>
    </row>
    <row r="215" ht="22" customHeight="1">
      <c r="A215" s="16" t="inlineStr">
        <is>
          <t>Foundation &amp; Pipeline Trenching</t>
        </is>
      </c>
      <c r="B215" s="76" t="inlineStr">
        <is>
          <t>All kinds of soil</t>
        </is>
      </c>
      <c r="C215" s="76" t="inlineStr">
        <is>
          <t>Manual labor (depth ≤1.5m)</t>
        </is>
      </c>
      <c r="D215" s="76" t="inlineStr">
        <is>
          <t>Excavating post holes 0.1-0.5 cum in soil</t>
        </is>
      </c>
      <c r="E215" s="28" t="inlineStr">
        <is>
          <t>10 hole</t>
        </is>
      </c>
      <c r="F215" s="32" t="inlineStr">
        <is>
          <t>Sundries &amp; Allowances</t>
        </is>
      </c>
      <c r="G215" s="21" t="inlineStr">
        <is>
          <t>9999</t>
        </is>
      </c>
      <c r="H215" s="76" t="inlineStr">
        <is>
          <t>Sundries – filling, ramming</t>
        </is>
      </c>
      <c r="I215" s="86" t="n">
        <v>13.52</v>
      </c>
      <c r="J215" s="50" t="inlineStr">
        <is>
          <t>L.S.</t>
        </is>
      </c>
      <c r="K215" s="51" t="n">
        <v>2</v>
      </c>
      <c r="L215" s="84" t="n">
        <v>27.04</v>
      </c>
      <c r="M215" s="52" t="n">
        <v>3.4</v>
      </c>
      <c r="N215" s="32" t="inlineStr"/>
      <c r="O215" s="39" t="inlineStr"/>
      <c r="P215" t="inlineStr">
        <is>
          <t>Foundation &amp; Pipeline Trenching|All kinds of soil|Manual labor (depth ≤1.5m)|Excavating post holes 0.1-0.5 cum in soil|2</t>
        </is>
      </c>
      <c r="Q215" t="n">
        <v>2</v>
      </c>
      <c r="R215" t="n">
        <v>10</v>
      </c>
      <c r="S215" t="inlineStr">
        <is>
          <t>hole</t>
        </is>
      </c>
      <c r="T215" t="n">
        <v>79.3</v>
      </c>
      <c r="U215" t="inlineStr">
        <is>
          <t>Post hole auger / crowbar</t>
        </is>
      </c>
      <c r="V215" t="inlineStr">
        <is>
          <t>Hand shovel around hole</t>
        </is>
      </c>
      <c r="W215" t="inlineStr">
        <is>
          <t>Neat collar stacking</t>
        </is>
      </c>
      <c r="X215" t="inlineStr">
        <is>
          <t>None</t>
        </is>
      </c>
      <c r="Y215" t="inlineStr">
        <is>
          <t>None</t>
        </is>
      </c>
    </row>
    <row r="216" ht="22" customHeight="1">
      <c r="A216" s="16" t="inlineStr">
        <is>
          <t>Foundation &amp; Pipeline Trenching</t>
        </is>
      </c>
      <c r="B216" s="76" t="inlineStr">
        <is>
          <t>Ordinary rock</t>
        </is>
      </c>
      <c r="C216" s="76" t="inlineStr">
        <is>
          <t>Manual labor (depth ≤1.5m)</t>
        </is>
      </c>
      <c r="D216" s="76" t="inlineStr">
        <is>
          <t>Excavating post holes 0.1-0.5 cum in ord rock</t>
        </is>
      </c>
      <c r="E216" s="28" t="inlineStr">
        <is>
          <t>10 hole</t>
        </is>
      </c>
      <c r="F216" s="32" t="inlineStr">
        <is>
          <t>Sundries &amp; Allowances</t>
        </is>
      </c>
      <c r="G216" s="21" t="inlineStr">
        <is>
          <t>2.9.1</t>
        </is>
      </c>
      <c r="H216" s="76" t="inlineStr">
        <is>
          <t>Rate item 2.9.1 – Foundation trench ord rock</t>
        </is>
      </c>
      <c r="I216" s="86" t="n">
        <v>3</v>
      </c>
      <c r="J216" s="50" t="inlineStr">
        <is>
          <t>cum</t>
        </is>
      </c>
      <c r="K216" s="51" t="n">
        <v>448.15</v>
      </c>
      <c r="L216" s="84" t="n">
        <v>1344.45</v>
      </c>
      <c r="M216" s="52" t="n">
        <v>98</v>
      </c>
      <c r="N216" s="32" t="inlineStr"/>
      <c r="O216" s="39" t="inlineStr"/>
      <c r="P216" t="inlineStr">
        <is>
          <t>Foundation &amp; Pipeline Trenching|Ordinary rock|Manual labor (depth ≤1.5m)|Excavating post holes 0.1-0.5 cum in ord rock|1</t>
        </is>
      </c>
      <c r="Q216" t="n">
        <v>1</v>
      </c>
      <c r="R216" t="n">
        <v>10</v>
      </c>
      <c r="S216" t="inlineStr">
        <is>
          <t>hole</t>
        </is>
      </c>
      <c r="T216" t="n">
        <v>138.05</v>
      </c>
      <c r="U216" t="inlineStr">
        <is>
          <t>Post hole auger / crowbar</t>
        </is>
      </c>
      <c r="V216" t="inlineStr">
        <is>
          <t>Hand shovel around hole</t>
        </is>
      </c>
      <c r="W216" t="inlineStr">
        <is>
          <t>Neat collar stacking</t>
        </is>
      </c>
      <c r="X216" t="inlineStr">
        <is>
          <t>None</t>
        </is>
      </c>
      <c r="Y216" t="inlineStr">
        <is>
          <t>None</t>
        </is>
      </c>
    </row>
    <row r="217" ht="22" customHeight="1">
      <c r="A217" s="16" t="inlineStr">
        <is>
          <t>Foundation &amp; Pipeline Trenching</t>
        </is>
      </c>
      <c r="B217" s="76" t="inlineStr">
        <is>
          <t>Ordinary rock</t>
        </is>
      </c>
      <c r="C217" s="76" t="inlineStr">
        <is>
          <t>Manual labor (depth ≤1.5m)</t>
        </is>
      </c>
      <c r="D217" s="76" t="inlineStr">
        <is>
          <t>Excavating post holes 0.1-0.5 cum in ord rock</t>
        </is>
      </c>
      <c r="E217" s="28" t="inlineStr">
        <is>
          <t>10 hole</t>
        </is>
      </c>
      <c r="F217" s="32" t="inlineStr">
        <is>
          <t>Sundries &amp; Allowances</t>
        </is>
      </c>
      <c r="G217" s="21" t="inlineStr">
        <is>
          <t>9999</t>
        </is>
      </c>
      <c r="H217" s="76" t="inlineStr">
        <is>
          <t>Sundries</t>
        </is>
      </c>
      <c r="I217" s="86" t="n">
        <v>13.52</v>
      </c>
      <c r="J217" s="50" t="inlineStr">
        <is>
          <t>L.S.</t>
        </is>
      </c>
      <c r="K217" s="51" t="n">
        <v>2</v>
      </c>
      <c r="L217" s="84" t="n">
        <v>27.04</v>
      </c>
      <c r="M217" s="52" t="n">
        <v>2</v>
      </c>
      <c r="N217" s="32" t="inlineStr"/>
      <c r="O217" s="39" t="inlineStr"/>
      <c r="P217" t="inlineStr">
        <is>
          <t>Foundation &amp; Pipeline Trenching|Ordinary rock|Manual labor (depth ≤1.5m)|Excavating post holes 0.1-0.5 cum in ord rock|2</t>
        </is>
      </c>
      <c r="Q217" t="n">
        <v>2</v>
      </c>
      <c r="R217" t="n">
        <v>10</v>
      </c>
      <c r="S217" t="inlineStr">
        <is>
          <t>hole</t>
        </is>
      </c>
      <c r="T217" t="n">
        <v>138.05</v>
      </c>
      <c r="U217" t="inlineStr">
        <is>
          <t>Post hole auger / crowbar</t>
        </is>
      </c>
      <c r="V217" t="inlineStr">
        <is>
          <t>Hand shovel around hole</t>
        </is>
      </c>
      <c r="W217" t="inlineStr">
        <is>
          <t>Neat collar stacking</t>
        </is>
      </c>
      <c r="X217" t="inlineStr">
        <is>
          <t>None</t>
        </is>
      </c>
      <c r="Y217" t="inlineStr">
        <is>
          <t>None</t>
        </is>
      </c>
    </row>
    <row r="218" ht="22" customHeight="1">
      <c r="A218" s="16" t="inlineStr">
        <is>
          <t>Foundation &amp; Pipeline Trenching</t>
        </is>
      </c>
      <c r="B218" s="76" t="inlineStr">
        <is>
          <t>Hard rock (blasting permitted)</t>
        </is>
      </c>
      <c r="C218" s="76" t="inlineStr">
        <is>
          <t>Manual labor (depth ≤1.5m)</t>
        </is>
      </c>
      <c r="D218" s="76" t="inlineStr">
        <is>
          <t>Excavating post holes 0.1-0.5 cum in hard rock blast</t>
        </is>
      </c>
      <c r="E218" s="28" t="inlineStr">
        <is>
          <t>10 hole</t>
        </is>
      </c>
      <c r="F218" s="32" t="inlineStr">
        <is>
          <t>Sundries &amp; Allowances</t>
        </is>
      </c>
      <c r="G218" s="21" t="inlineStr">
        <is>
          <t>2.9.2</t>
        </is>
      </c>
      <c r="H218" s="76" t="inlineStr">
        <is>
          <t>Rate item 2.9.2 – Hard rock blasting</t>
        </is>
      </c>
      <c r="I218" s="86" t="n">
        <v>3</v>
      </c>
      <c r="J218" s="50" t="inlineStr">
        <is>
          <t>cum</t>
        </is>
      </c>
      <c r="K218" s="51" t="n">
        <v>729</v>
      </c>
      <c r="L218" s="84" t="n">
        <v>2187</v>
      </c>
      <c r="M218" s="52" t="n">
        <v>98.8</v>
      </c>
      <c r="N218" s="32" t="inlineStr"/>
      <c r="O218" s="39" t="inlineStr"/>
      <c r="P218" t="inlineStr">
        <is>
          <t>Foundation &amp; Pipeline Trenching|Hard rock (blasting permitted)|Manual labor (depth ≤1.5m)|Excavating post holes 0.1-0.5 cum in hard rock blast|1</t>
        </is>
      </c>
      <c r="Q218" t="n">
        <v>1</v>
      </c>
      <c r="R218" t="n">
        <v>10</v>
      </c>
      <c r="S218" t="inlineStr">
        <is>
          <t>hole</t>
        </is>
      </c>
      <c r="T218" t="n">
        <v>222.3</v>
      </c>
      <c r="U218" t="inlineStr">
        <is>
          <t>Post hole auger / crowbar</t>
        </is>
      </c>
      <c r="V218" t="inlineStr">
        <is>
          <t>Hand shovel around hole</t>
        </is>
      </c>
      <c r="W218" t="inlineStr">
        <is>
          <t>Neat collar stacking</t>
        </is>
      </c>
      <c r="X218" t="inlineStr">
        <is>
          <t>None</t>
        </is>
      </c>
      <c r="Y218" t="inlineStr">
        <is>
          <t>None</t>
        </is>
      </c>
    </row>
    <row r="219" ht="22" customHeight="1">
      <c r="A219" s="16" t="inlineStr">
        <is>
          <t>Foundation &amp; Pipeline Trenching</t>
        </is>
      </c>
      <c r="B219" s="76" t="inlineStr">
        <is>
          <t>Hard rock (blasting permitted)</t>
        </is>
      </c>
      <c r="C219" s="76" t="inlineStr">
        <is>
          <t>Manual labor (depth ≤1.5m)</t>
        </is>
      </c>
      <c r="D219" s="76" t="inlineStr">
        <is>
          <t>Excavating post holes 0.1-0.5 cum in hard rock blast</t>
        </is>
      </c>
      <c r="E219" s="28" t="inlineStr">
        <is>
          <t>10 hole</t>
        </is>
      </c>
      <c r="F219" s="32" t="inlineStr">
        <is>
          <t>Sundries &amp; Allowances</t>
        </is>
      </c>
      <c r="G219" s="21" t="inlineStr">
        <is>
          <t>9999</t>
        </is>
      </c>
      <c r="H219" s="76" t="inlineStr">
        <is>
          <t>Sundries</t>
        </is>
      </c>
      <c r="I219" s="86" t="n">
        <v>13.52</v>
      </c>
      <c r="J219" s="50" t="inlineStr">
        <is>
          <t>L.S.</t>
        </is>
      </c>
      <c r="K219" s="51" t="n">
        <v>2</v>
      </c>
      <c r="L219" s="84" t="n">
        <v>27.04</v>
      </c>
      <c r="M219" s="52" t="n">
        <v>1.2</v>
      </c>
      <c r="N219" s="32" t="inlineStr"/>
      <c r="O219" s="39" t="inlineStr"/>
      <c r="P219" t="inlineStr">
        <is>
          <t>Foundation &amp; Pipeline Trenching|Hard rock (blasting permitted)|Manual labor (depth ≤1.5m)|Excavating post holes 0.1-0.5 cum in hard rock blast|2</t>
        </is>
      </c>
      <c r="Q219" t="n">
        <v>2</v>
      </c>
      <c r="R219" t="n">
        <v>10</v>
      </c>
      <c r="S219" t="inlineStr">
        <is>
          <t>hole</t>
        </is>
      </c>
      <c r="T219" t="n">
        <v>222.3</v>
      </c>
      <c r="U219" t="inlineStr">
        <is>
          <t>Post hole auger / crowbar</t>
        </is>
      </c>
      <c r="V219" t="inlineStr">
        <is>
          <t>Hand shovel around hole</t>
        </is>
      </c>
      <c r="W219" t="inlineStr">
        <is>
          <t>Neat collar stacking</t>
        </is>
      </c>
      <c r="X219" t="inlineStr">
        <is>
          <t>None</t>
        </is>
      </c>
      <c r="Y219" t="inlineStr">
        <is>
          <t>None</t>
        </is>
      </c>
    </row>
    <row r="220" ht="22" customHeight="1">
      <c r="A220" s="16" t="inlineStr">
        <is>
          <t>Foundation &amp; Pipeline Trenching</t>
        </is>
      </c>
      <c r="B220" s="76" t="inlineStr">
        <is>
          <t>Hard rock (blasting prohibited)</t>
        </is>
      </c>
      <c r="C220" s="76" t="inlineStr">
        <is>
          <t>Manual labor (depth ≤1.5m)</t>
        </is>
      </c>
      <c r="D220" s="76" t="inlineStr">
        <is>
          <t>Excavating post holes 0.1-0.5 cum in hard rock chiseled</t>
        </is>
      </c>
      <c r="E220" s="28" t="inlineStr">
        <is>
          <t>10 hole</t>
        </is>
      </c>
      <c r="F220" s="32" t="inlineStr">
        <is>
          <t>Sundries &amp; Allowances</t>
        </is>
      </c>
      <c r="G220" s="21" t="inlineStr">
        <is>
          <t>2.9.3</t>
        </is>
      </c>
      <c r="H220" s="76" t="inlineStr">
        <is>
          <t>Rate item 2.9.3 – Hard rock no blast</t>
        </is>
      </c>
      <c r="I220" s="86" t="n">
        <v>3</v>
      </c>
      <c r="J220" s="50" t="inlineStr">
        <is>
          <t>cum</t>
        </is>
      </c>
      <c r="K220" s="51" t="n">
        <v>1080.55</v>
      </c>
      <c r="L220" s="84" t="n">
        <v>3241.65</v>
      </c>
      <c r="M220" s="52" t="n">
        <v>99.2</v>
      </c>
      <c r="N220" s="32" t="inlineStr"/>
      <c r="O220" s="39" t="inlineStr"/>
      <c r="P220" t="inlineStr">
        <is>
          <t>Foundation &amp; Pipeline Trenching|Hard rock (blasting prohibited)|Manual labor (depth ≤1.5m)|Excavating post holes 0.1-0.5 cum in hard rock chiseled|1</t>
        </is>
      </c>
      <c r="Q220" t="n">
        <v>1</v>
      </c>
      <c r="R220" t="n">
        <v>10</v>
      </c>
      <c r="S220" t="inlineStr">
        <is>
          <t>hole</t>
        </is>
      </c>
      <c r="T220" t="n">
        <v>327.8</v>
      </c>
      <c r="U220" t="inlineStr">
        <is>
          <t>Post hole auger / crowbar</t>
        </is>
      </c>
      <c r="V220" t="inlineStr">
        <is>
          <t>Hand shovel around hole</t>
        </is>
      </c>
      <c r="W220" t="inlineStr">
        <is>
          <t>Neat collar stacking</t>
        </is>
      </c>
      <c r="X220" t="inlineStr">
        <is>
          <t>None</t>
        </is>
      </c>
      <c r="Y220" t="inlineStr">
        <is>
          <t>None</t>
        </is>
      </c>
    </row>
    <row r="221" ht="22" customHeight="1">
      <c r="A221" s="16" t="inlineStr">
        <is>
          <t>Foundation &amp; Pipeline Trenching</t>
        </is>
      </c>
      <c r="B221" s="76" t="inlineStr">
        <is>
          <t>Hard rock (blasting prohibited)</t>
        </is>
      </c>
      <c r="C221" s="76" t="inlineStr">
        <is>
          <t>Manual labor (depth ≤1.5m)</t>
        </is>
      </c>
      <c r="D221" s="76" t="inlineStr">
        <is>
          <t>Excavating post holes 0.1-0.5 cum in hard rock chiseled</t>
        </is>
      </c>
      <c r="E221" s="28" t="inlineStr">
        <is>
          <t>10 hole</t>
        </is>
      </c>
      <c r="F221" s="32" t="inlineStr">
        <is>
          <t>Sundries &amp; Allowances</t>
        </is>
      </c>
      <c r="G221" s="21" t="inlineStr">
        <is>
          <t>9999</t>
        </is>
      </c>
      <c r="H221" s="76" t="inlineStr">
        <is>
          <t>Sundries</t>
        </is>
      </c>
      <c r="I221" s="86" t="n">
        <v>13.52</v>
      </c>
      <c r="J221" s="50" t="inlineStr">
        <is>
          <t>L.S.</t>
        </is>
      </c>
      <c r="K221" s="51" t="n">
        <v>2</v>
      </c>
      <c r="L221" s="84" t="n">
        <v>27.04</v>
      </c>
      <c r="M221" s="52" t="n">
        <v>0.8</v>
      </c>
      <c r="N221" s="32" t="inlineStr"/>
      <c r="O221" s="39" t="inlineStr"/>
      <c r="P221" t="inlineStr">
        <is>
          <t>Foundation &amp; Pipeline Trenching|Hard rock (blasting prohibited)|Manual labor (depth ≤1.5m)|Excavating post holes 0.1-0.5 cum in hard rock chiseled|2</t>
        </is>
      </c>
      <c r="Q221" t="n">
        <v>2</v>
      </c>
      <c r="R221" t="n">
        <v>10</v>
      </c>
      <c r="S221" t="inlineStr">
        <is>
          <t>hole</t>
        </is>
      </c>
      <c r="T221" t="n">
        <v>327.8</v>
      </c>
      <c r="U221" t="inlineStr">
        <is>
          <t>Post hole auger / crowbar</t>
        </is>
      </c>
      <c r="V221" t="inlineStr">
        <is>
          <t>Hand shovel around hole</t>
        </is>
      </c>
      <c r="W221" t="inlineStr">
        <is>
          <t>Neat collar stacking</t>
        </is>
      </c>
      <c r="X221" t="inlineStr">
        <is>
          <t>None</t>
        </is>
      </c>
      <c r="Y221" t="inlineStr">
        <is>
          <t>None</t>
        </is>
      </c>
    </row>
    <row r="222" ht="22" customHeight="1">
      <c r="A222" s="16" t="inlineStr">
        <is>
          <t>Site Clearance &amp; Tree Felling</t>
        </is>
      </c>
      <c r="B222" s="76" t="inlineStr">
        <is>
          <t>All kinds of soil</t>
        </is>
      </c>
      <c r="C222" s="76" t="inlineStr">
        <is>
          <t>Manual labor (depth ≤1.5m)</t>
        </is>
      </c>
      <c r="D222" s="76" t="inlineStr">
        <is>
          <t>Clearing jungle &amp; rank vegetation uprooting</t>
        </is>
      </c>
      <c r="E222" s="28" t="inlineStr">
        <is>
          <t>100 sqm</t>
        </is>
      </c>
      <c r="F222" s="32" t="inlineStr">
        <is>
          <t>Labour (Semi-Skilled / Operational)</t>
        </is>
      </c>
      <c r="G222" s="21" t="inlineStr">
        <is>
          <t>0114</t>
        </is>
      </c>
      <c r="H222" s="76" t="inlineStr">
        <is>
          <t>Beldar</t>
        </is>
      </c>
      <c r="I222" s="86" t="n">
        <v>1.08</v>
      </c>
      <c r="J222" s="50" t="inlineStr">
        <is>
          <t>day</t>
        </is>
      </c>
      <c r="K222" s="51" t="n">
        <v>558</v>
      </c>
      <c r="L222" s="84" t="n">
        <v>602.64</v>
      </c>
      <c r="M222" s="52" t="n">
        <v>64.3</v>
      </c>
      <c r="N222" s="87" t="n">
        <v>92.59259259259258</v>
      </c>
      <c r="O222" s="39" t="inlineStr">
        <is>
          <t>1 man × 6.40 h ÷ 8 = 0.80 bd. Cutting rank vegetation &amp; uprooting saplings &lt;= 30cm: 125 sqm/8-hr day (0.064 hr/sqm).</t>
        </is>
      </c>
      <c r="P222" t="inlineStr">
        <is>
          <t>Site Clearance &amp; Tree Felling|All kinds of soil|Manual labor (depth ≤1.5m)|Clearing jungle &amp; rank vegetation uprooting|1</t>
        </is>
      </c>
      <c r="Q222" t="n">
        <v>1</v>
      </c>
      <c r="R222" t="n">
        <v>100</v>
      </c>
      <c r="S222" t="inlineStr">
        <is>
          <t>sqm</t>
        </is>
      </c>
      <c r="T222" t="n">
        <v>12.55</v>
      </c>
      <c r="U222" t="inlineStr">
        <is>
          <t>Beldar billhook &amp; mattock</t>
        </is>
      </c>
      <c r="V222" t="inlineStr">
        <is>
          <t>Disposal rubbish up to 50m</t>
        </is>
      </c>
      <c r="W222" t="inlineStr">
        <is>
          <t>Burning / stacking</t>
        </is>
      </c>
      <c r="X222" t="inlineStr">
        <is>
          <t>None</t>
        </is>
      </c>
      <c r="Y222" t="inlineStr">
        <is>
          <t>None</t>
        </is>
      </c>
    </row>
    <row r="223" ht="22" customHeight="1">
      <c r="A223" s="16" t="inlineStr">
        <is>
          <t>Site Clearance &amp; Tree Felling</t>
        </is>
      </c>
      <c r="B223" s="76" t="inlineStr">
        <is>
          <t>All kinds of soil</t>
        </is>
      </c>
      <c r="C223" s="76" t="inlineStr">
        <is>
          <t>Manual labor (depth ≤1.5m)</t>
        </is>
      </c>
      <c r="D223" s="76" t="inlineStr">
        <is>
          <t>Clearing jungle &amp; rank vegetation uprooting</t>
        </is>
      </c>
      <c r="E223" s="28" t="inlineStr">
        <is>
          <t>100 sqm</t>
        </is>
      </c>
      <c r="F223" s="32" t="inlineStr">
        <is>
          <t>Labour (Unskilled / Haulage)</t>
        </is>
      </c>
      <c r="G223" s="21" t="inlineStr">
        <is>
          <t>0115</t>
        </is>
      </c>
      <c r="H223" s="76" t="inlineStr">
        <is>
          <t>Coolie</t>
        </is>
      </c>
      <c r="I223" s="86" t="n">
        <v>0.6</v>
      </c>
      <c r="J223" s="50" t="inlineStr">
        <is>
          <t>day</t>
        </is>
      </c>
      <c r="K223" s="51" t="n">
        <v>558</v>
      </c>
      <c r="L223" s="84" t="n">
        <v>334.8</v>
      </c>
      <c r="M223" s="52" t="n">
        <v>35.7</v>
      </c>
      <c r="N223" s="87" t="n">
        <v>166.6666666666667</v>
      </c>
      <c r="O223" s="39" t="inlineStr">
        <is>
          <t>1 man × 1.60 h ÷ 8 = 0.20 cd. Stacking &amp; carrying outside 50m periphery: 500 sqm/8-hr day (0.016 hr/sqm).</t>
        </is>
      </c>
      <c r="P223" t="inlineStr">
        <is>
          <t>Site Clearance &amp; Tree Felling|All kinds of soil|Manual labor (depth ≤1.5m)|Clearing jungle &amp; rank vegetation uprooting|2</t>
        </is>
      </c>
      <c r="Q223" t="n">
        <v>2</v>
      </c>
      <c r="R223" t="n">
        <v>100</v>
      </c>
      <c r="S223" t="inlineStr">
        <is>
          <t>sqm</t>
        </is>
      </c>
      <c r="T223" t="n">
        <v>12.55</v>
      </c>
      <c r="U223" t="inlineStr">
        <is>
          <t>Beldar billhook &amp; mattock</t>
        </is>
      </c>
      <c r="V223" t="inlineStr">
        <is>
          <t>Disposal rubbish up to 50m</t>
        </is>
      </c>
      <c r="W223" t="inlineStr">
        <is>
          <t>Burning / stacking</t>
        </is>
      </c>
      <c r="X223" t="inlineStr">
        <is>
          <t>None</t>
        </is>
      </c>
      <c r="Y223" t="inlineStr">
        <is>
          <t>None</t>
        </is>
      </c>
    </row>
    <row r="224" ht="22" customHeight="1">
      <c r="A224" s="16" t="inlineStr">
        <is>
          <t>Site Clearance &amp; Tree Felling</t>
        </is>
      </c>
      <c r="B224" s="76" t="inlineStr">
        <is>
          <t>All kinds of soil</t>
        </is>
      </c>
      <c r="C224" s="76" t="inlineStr">
        <is>
          <t>Manual labor (depth ≤1.5m)</t>
        </is>
      </c>
      <c r="D224" s="76" t="inlineStr">
        <is>
          <t>Clearing grass &amp; removal of rubbish</t>
        </is>
      </c>
      <c r="E224" s="28" t="inlineStr">
        <is>
          <t>100 sqm</t>
        </is>
      </c>
      <c r="F224" s="32" t="inlineStr">
        <is>
          <t>Labour (Semi-Skilled / Operational)</t>
        </is>
      </c>
      <c r="G224" s="21" t="inlineStr">
        <is>
          <t>0114</t>
        </is>
      </c>
      <c r="H224" s="76" t="inlineStr">
        <is>
          <t>Beldar</t>
        </is>
      </c>
      <c r="I224" s="86" t="n">
        <v>0.6</v>
      </c>
      <c r="J224" s="50" t="inlineStr">
        <is>
          <t>day</t>
        </is>
      </c>
      <c r="K224" s="51" t="n">
        <v>558</v>
      </c>
      <c r="L224" s="84" t="n">
        <v>334.8</v>
      </c>
      <c r="M224" s="52" t="n">
        <v>70.09999999999999</v>
      </c>
      <c r="N224" s="87" t="n">
        <v>166.6666666666667</v>
      </c>
      <c r="O224" s="39" t="inlineStr"/>
      <c r="P224" t="inlineStr">
        <is>
          <t>Site Clearance &amp; Tree Felling|All kinds of soil|Manual labor (depth ≤1.5m)|Clearing grass &amp; removal of rubbish|1</t>
        </is>
      </c>
      <c r="Q224" t="n">
        <v>1</v>
      </c>
      <c r="R224" t="n">
        <v>100</v>
      </c>
      <c r="S224" t="inlineStr">
        <is>
          <t>sqm</t>
        </is>
      </c>
      <c r="T224" t="n">
        <v>6.4</v>
      </c>
      <c r="U224" t="inlineStr">
        <is>
          <t>Grass sickle &amp; scraper</t>
        </is>
      </c>
      <c r="V224" t="inlineStr">
        <is>
          <t>Disposal rubbish up to 50m</t>
        </is>
      </c>
      <c r="W224" t="inlineStr">
        <is>
          <t>Disposal outside area</t>
        </is>
      </c>
      <c r="X224" t="inlineStr">
        <is>
          <t>None</t>
        </is>
      </c>
      <c r="Y224" t="inlineStr">
        <is>
          <t>None</t>
        </is>
      </c>
    </row>
    <row r="225" ht="22" customHeight="1">
      <c r="A225" s="16" t="inlineStr">
        <is>
          <t>Site Clearance &amp; Tree Felling</t>
        </is>
      </c>
      <c r="B225" s="76" t="inlineStr">
        <is>
          <t>All kinds of soil</t>
        </is>
      </c>
      <c r="C225" s="76" t="inlineStr">
        <is>
          <t>Manual labor (depth ≤1.5m)</t>
        </is>
      </c>
      <c r="D225" s="76" t="inlineStr">
        <is>
          <t>Clearing grass &amp; removal of rubbish</t>
        </is>
      </c>
      <c r="E225" s="28" t="inlineStr">
        <is>
          <t>100 sqm</t>
        </is>
      </c>
      <c r="F225" s="32" t="inlineStr">
        <is>
          <t>Labour (Unskilled / Haulage)</t>
        </is>
      </c>
      <c r="G225" s="21" t="inlineStr">
        <is>
          <t>0115</t>
        </is>
      </c>
      <c r="H225" s="76" t="inlineStr">
        <is>
          <t>Coolie</t>
        </is>
      </c>
      <c r="I225" s="86" t="n">
        <v>0.25</v>
      </c>
      <c r="J225" s="50" t="inlineStr">
        <is>
          <t>day</t>
        </is>
      </c>
      <c r="K225" s="51" t="n">
        <v>558</v>
      </c>
      <c r="L225" s="84" t="n">
        <v>139.5</v>
      </c>
      <c r="M225" s="52" t="n">
        <v>29.2</v>
      </c>
      <c r="N225" s="87" t="n">
        <v>400</v>
      </c>
      <c r="O225" s="39" t="inlineStr"/>
      <c r="P225" t="inlineStr">
        <is>
          <t>Site Clearance &amp; Tree Felling|All kinds of soil|Manual labor (depth ≤1.5m)|Clearing grass &amp; removal of rubbish|2</t>
        </is>
      </c>
      <c r="Q225" t="n">
        <v>2</v>
      </c>
      <c r="R225" t="n">
        <v>100</v>
      </c>
      <c r="S225" t="inlineStr">
        <is>
          <t>sqm</t>
        </is>
      </c>
      <c r="T225" t="n">
        <v>6.4</v>
      </c>
      <c r="U225" t="inlineStr">
        <is>
          <t>Grass sickle &amp; scraper</t>
        </is>
      </c>
      <c r="V225" t="inlineStr">
        <is>
          <t>Disposal rubbish up to 50m</t>
        </is>
      </c>
      <c r="W225" t="inlineStr">
        <is>
          <t>Disposal outside area</t>
        </is>
      </c>
      <c r="X225" t="inlineStr">
        <is>
          <t>None</t>
        </is>
      </c>
      <c r="Y225" t="inlineStr">
        <is>
          <t>None</t>
        </is>
      </c>
    </row>
    <row r="226" ht="22" customHeight="1">
      <c r="A226" s="16" t="inlineStr">
        <is>
          <t>Site Clearance &amp; Tree Felling</t>
        </is>
      </c>
      <c r="B226" s="76" t="inlineStr">
        <is>
          <t>All kinds of soil</t>
        </is>
      </c>
      <c r="C226" s="76" t="inlineStr">
        <is>
          <t>Manual labor (depth ≤1.5m)</t>
        </is>
      </c>
      <c r="D226" s="76" t="inlineStr">
        <is>
          <t>Clearing grass &amp; removal of rubbish</t>
        </is>
      </c>
      <c r="E226" s="28" t="inlineStr">
        <is>
          <t>100 sqm</t>
        </is>
      </c>
      <c r="F226" s="32" t="inlineStr">
        <is>
          <t>Sundries &amp; Allowances</t>
        </is>
      </c>
      <c r="G226" s="21" t="inlineStr">
        <is>
          <t>9999</t>
        </is>
      </c>
      <c r="H226" s="76" t="inlineStr">
        <is>
          <t>Sundries</t>
        </is>
      </c>
      <c r="I226" s="86" t="n">
        <v>1.82</v>
      </c>
      <c r="J226" s="50" t="inlineStr">
        <is>
          <t>L.S.</t>
        </is>
      </c>
      <c r="K226" s="51" t="n">
        <v>2</v>
      </c>
      <c r="L226" s="84" t="n">
        <v>3.64</v>
      </c>
      <c r="M226" s="52" t="n">
        <v>0.8</v>
      </c>
      <c r="N226" s="32" t="inlineStr"/>
      <c r="O226" s="39" t="inlineStr"/>
      <c r="P226" t="inlineStr">
        <is>
          <t>Site Clearance &amp; Tree Felling|All kinds of soil|Manual labor (depth ≤1.5m)|Clearing grass &amp; removal of rubbish|3</t>
        </is>
      </c>
      <c r="Q226" t="n">
        <v>3</v>
      </c>
      <c r="R226" t="n">
        <v>100</v>
      </c>
      <c r="S226" t="inlineStr">
        <is>
          <t>sqm</t>
        </is>
      </c>
      <c r="T226" t="n">
        <v>6.4</v>
      </c>
      <c r="U226" t="inlineStr">
        <is>
          <t>Grass sickle &amp; scraper</t>
        </is>
      </c>
      <c r="V226" t="inlineStr">
        <is>
          <t>Disposal rubbish up to 50m</t>
        </is>
      </c>
      <c r="W226" t="inlineStr">
        <is>
          <t>Disposal outside area</t>
        </is>
      </c>
      <c r="X226" t="inlineStr">
        <is>
          <t>None</t>
        </is>
      </c>
      <c r="Y226" t="inlineStr">
        <is>
          <t>None</t>
        </is>
      </c>
    </row>
    <row r="227" ht="22" customHeight="1">
      <c r="A227" s="16" t="inlineStr">
        <is>
          <t>Site Clearance &amp; Tree Felling</t>
        </is>
      </c>
      <c r="B227" s="76" t="inlineStr">
        <is>
          <t>All kinds of soil</t>
        </is>
      </c>
      <c r="C227" s="76" t="inlineStr">
        <is>
          <t>Manual labor (depth ≤1.5m)</t>
        </is>
      </c>
      <c r="D227" s="76" t="inlineStr">
        <is>
          <t>Tree felling girth 30-60 cm girth (cutting &amp; grubbing roots)</t>
        </is>
      </c>
      <c r="E227" s="28" t="inlineStr">
        <is>
          <t>1 tree</t>
        </is>
      </c>
      <c r="F227" s="32" t="inlineStr">
        <is>
          <t>Labour (Semi-Skilled / Operational)</t>
        </is>
      </c>
      <c r="G227" s="21" t="inlineStr">
        <is>
          <t>0114</t>
        </is>
      </c>
      <c r="H227" s="76" t="inlineStr">
        <is>
          <t>Beldar</t>
        </is>
      </c>
      <c r="I227" s="86" t="n">
        <v>0.33</v>
      </c>
      <c r="J227" s="50" t="inlineStr">
        <is>
          <t>day</t>
        </is>
      </c>
      <c r="K227" s="51" t="n">
        <v>558</v>
      </c>
      <c r="L227" s="84" t="n">
        <v>184.14</v>
      </c>
      <c r="M227" s="52" t="n">
        <v>64.7</v>
      </c>
      <c r="N227" s="91" t="n">
        <v>3.03030303030303</v>
      </c>
      <c r="O227" s="39" t="inlineStr">
        <is>
          <t>Girth 30-60cm; avg 15cm dia</t>
        </is>
      </c>
      <c r="P227" t="inlineStr">
        <is>
          <t>Site Clearance &amp; Tree Felling|All kinds of soil|Manual labor (depth ≤1.5m)|Tree felling girth 30-60 cm girth (cutting &amp; grubbing roots)|1</t>
        </is>
      </c>
      <c r="Q227" t="n">
        <v>1</v>
      </c>
      <c r="R227" t="n">
        <v>1</v>
      </c>
      <c r="S227" t="inlineStr">
        <is>
          <t>tree</t>
        </is>
      </c>
      <c r="T227" t="n">
        <v>380.6</v>
      </c>
      <c r="U227" t="inlineStr">
        <is>
          <t>Two-man crosscut saw, axe, rope rigging</t>
        </is>
      </c>
      <c r="V227" t="inlineStr">
        <is>
          <t>Cutting trunks into 2.5m logs &amp; stacking</t>
        </is>
      </c>
      <c r="W227" t="inlineStr">
        <is>
          <t>Grubbing roots &amp; filling hollows</t>
        </is>
      </c>
      <c r="X227" t="inlineStr">
        <is>
          <t>None</t>
        </is>
      </c>
      <c r="Y227" t="inlineStr">
        <is>
          <t>Ramming hollows</t>
        </is>
      </c>
    </row>
    <row r="228" ht="22" customHeight="1">
      <c r="A228" s="16" t="inlineStr">
        <is>
          <t>Site Clearance &amp; Tree Felling</t>
        </is>
      </c>
      <c r="B228" s="76" t="inlineStr">
        <is>
          <t>All kinds of soil</t>
        </is>
      </c>
      <c r="C228" s="76" t="inlineStr">
        <is>
          <t>Manual labor (depth ≤1.5m)</t>
        </is>
      </c>
      <c r="D228" s="76" t="inlineStr">
        <is>
          <t>Tree felling girth 30-60 cm girth (cutting &amp; grubbing roots)</t>
        </is>
      </c>
      <c r="E228" s="28" t="inlineStr">
        <is>
          <t>1 tree</t>
        </is>
      </c>
      <c r="F228" s="32" t="inlineStr">
        <is>
          <t>Labour (Unskilled / Haulage)</t>
        </is>
      </c>
      <c r="G228" s="21" t="inlineStr">
        <is>
          <t>0115</t>
        </is>
      </c>
      <c r="H228" s="76" t="inlineStr">
        <is>
          <t>Coolie</t>
        </is>
      </c>
      <c r="I228" s="86" t="n">
        <v>0.17</v>
      </c>
      <c r="J228" s="50" t="inlineStr">
        <is>
          <t>day</t>
        </is>
      </c>
      <c r="K228" s="51" t="n">
        <v>558</v>
      </c>
      <c r="L228" s="84" t="n">
        <v>94.86</v>
      </c>
      <c r="M228" s="52" t="n">
        <v>33.3</v>
      </c>
      <c r="N228" s="91" t="n">
        <v>5.88235294117647</v>
      </c>
      <c r="O228" s="39" t="inlineStr"/>
      <c r="P228" t="inlineStr">
        <is>
          <t>Site Clearance &amp; Tree Felling|All kinds of soil|Manual labor (depth ≤1.5m)|Tree felling girth 30-60 cm girth (cutting &amp; grubbing roots)|2</t>
        </is>
      </c>
      <c r="Q228" t="n">
        <v>2</v>
      </c>
      <c r="R228" t="n">
        <v>1</v>
      </c>
      <c r="S228" t="inlineStr">
        <is>
          <t>tree</t>
        </is>
      </c>
      <c r="T228" t="n">
        <v>380.6</v>
      </c>
      <c r="U228" t="inlineStr">
        <is>
          <t>Two-man crosscut saw, axe, rope rigging</t>
        </is>
      </c>
      <c r="V228" t="inlineStr">
        <is>
          <t>Cutting trunks into 2.5m logs &amp; stacking</t>
        </is>
      </c>
      <c r="W228" t="inlineStr">
        <is>
          <t>Grubbing roots &amp; filling hollows</t>
        </is>
      </c>
      <c r="X228" t="inlineStr">
        <is>
          <t>None</t>
        </is>
      </c>
      <c r="Y228" t="inlineStr">
        <is>
          <t>Ramming hollows</t>
        </is>
      </c>
    </row>
    <row r="229" ht="22" customHeight="1">
      <c r="A229" s="16" t="inlineStr">
        <is>
          <t>Site Clearance &amp; Tree Felling</t>
        </is>
      </c>
      <c r="B229" s="76" t="inlineStr">
        <is>
          <t>All kinds of soil</t>
        </is>
      </c>
      <c r="C229" s="76" t="inlineStr">
        <is>
          <t>Manual labor (depth ≤1.5m)</t>
        </is>
      </c>
      <c r="D229" s="76" t="inlineStr">
        <is>
          <t>Tree felling girth 30-60 cm girth (cutting &amp; grubbing roots)</t>
        </is>
      </c>
      <c r="E229" s="28" t="inlineStr">
        <is>
          <t>1 tree</t>
        </is>
      </c>
      <c r="F229" s="32" t="inlineStr">
        <is>
          <t>Sundries &amp; Allowances</t>
        </is>
      </c>
      <c r="G229" s="21" t="inlineStr">
        <is>
          <t>9999</t>
        </is>
      </c>
      <c r="H229" s="76" t="inlineStr">
        <is>
          <t>Sundries</t>
        </is>
      </c>
      <c r="I229" s="86" t="n">
        <v>2.73</v>
      </c>
      <c r="J229" s="50" t="inlineStr">
        <is>
          <t>L.S.</t>
        </is>
      </c>
      <c r="K229" s="51" t="n">
        <v>2</v>
      </c>
      <c r="L229" s="84" t="n">
        <v>5.46</v>
      </c>
      <c r="M229" s="52" t="n">
        <v>1.9</v>
      </c>
      <c r="N229" s="32" t="inlineStr"/>
      <c r="O229" s="39" t="inlineStr"/>
      <c r="P229" t="inlineStr">
        <is>
          <t>Site Clearance &amp; Tree Felling|All kinds of soil|Manual labor (depth ≤1.5m)|Tree felling girth 30-60 cm girth (cutting &amp; grubbing roots)|3</t>
        </is>
      </c>
      <c r="Q229" t="n">
        <v>3</v>
      </c>
      <c r="R229" t="n">
        <v>1</v>
      </c>
      <c r="S229" t="inlineStr">
        <is>
          <t>tree</t>
        </is>
      </c>
      <c r="T229" t="n">
        <v>380.6</v>
      </c>
      <c r="U229" t="inlineStr">
        <is>
          <t>Two-man crosscut saw, axe, rope rigging</t>
        </is>
      </c>
      <c r="V229" t="inlineStr">
        <is>
          <t>Cutting trunks into 2.5m logs &amp; stacking</t>
        </is>
      </c>
      <c r="W229" t="inlineStr">
        <is>
          <t>Grubbing roots &amp; filling hollows</t>
        </is>
      </c>
      <c r="X229" t="inlineStr">
        <is>
          <t>None</t>
        </is>
      </c>
      <c r="Y229" t="inlineStr">
        <is>
          <t>Ramming hollows</t>
        </is>
      </c>
    </row>
    <row r="230" ht="22" customHeight="1">
      <c r="A230" s="16" t="inlineStr">
        <is>
          <t>Site Clearance &amp; Tree Felling</t>
        </is>
      </c>
      <c r="B230" s="76" t="inlineStr">
        <is>
          <t>All kinds of soil</t>
        </is>
      </c>
      <c r="C230" s="76" t="inlineStr">
        <is>
          <t>Manual labor (depth ≤1.5m)</t>
        </is>
      </c>
      <c r="D230" s="76" t="inlineStr">
        <is>
          <t>Tree felling girth 60-120 cm girth (cutting &amp; grubbing roots)</t>
        </is>
      </c>
      <c r="E230" s="28" t="inlineStr">
        <is>
          <t>1 tree</t>
        </is>
      </c>
      <c r="F230" s="32" t="inlineStr">
        <is>
          <t>Labour (Semi-Skilled / Operational)</t>
        </is>
      </c>
      <c r="G230" s="21" t="inlineStr">
        <is>
          <t>0114</t>
        </is>
      </c>
      <c r="H230" s="76" t="inlineStr">
        <is>
          <t>Beldar</t>
        </is>
      </c>
      <c r="I230" s="86" t="n">
        <v>1.5</v>
      </c>
      <c r="J230" s="50" t="inlineStr">
        <is>
          <t>day</t>
        </is>
      </c>
      <c r="K230" s="51" t="n">
        <v>558</v>
      </c>
      <c r="L230" s="84" t="n">
        <v>837</v>
      </c>
      <c r="M230" s="52" t="n">
        <v>66.09999999999999</v>
      </c>
      <c r="N230" s="91" t="n">
        <v>0.6666666666666666</v>
      </c>
      <c r="O230" s="39" t="inlineStr">
        <is>
          <t>Girth 60-120cm</t>
        </is>
      </c>
      <c r="P230" t="inlineStr">
        <is>
          <t>Site Clearance &amp; Tree Felling|All kinds of soil|Manual labor (depth ≤1.5m)|Tree felling girth 60-120 cm girth (cutting &amp; grubbing roots)|1</t>
        </is>
      </c>
      <c r="Q230" t="n">
        <v>1</v>
      </c>
      <c r="R230" t="n">
        <v>1</v>
      </c>
      <c r="S230" t="inlineStr">
        <is>
          <t>tree</t>
        </is>
      </c>
      <c r="T230" t="n">
        <v>1694.4</v>
      </c>
      <c r="U230" t="inlineStr">
        <is>
          <t>Two-man crosscut saw, axe, rope rigging</t>
        </is>
      </c>
      <c r="V230" t="inlineStr">
        <is>
          <t>Cutting trunks into 2.5m logs &amp; stacking</t>
        </is>
      </c>
      <c r="W230" t="inlineStr">
        <is>
          <t>Grubbing roots &amp; filling hollows</t>
        </is>
      </c>
      <c r="X230" t="inlineStr">
        <is>
          <t>None</t>
        </is>
      </c>
      <c r="Y230" t="inlineStr">
        <is>
          <t>Ramming hollows</t>
        </is>
      </c>
    </row>
    <row r="231" ht="22" customHeight="1">
      <c r="A231" s="16" t="inlineStr">
        <is>
          <t>Site Clearance &amp; Tree Felling</t>
        </is>
      </c>
      <c r="B231" s="76" t="inlineStr">
        <is>
          <t>All kinds of soil</t>
        </is>
      </c>
      <c r="C231" s="76" t="inlineStr">
        <is>
          <t>Manual labor (depth ≤1.5m)</t>
        </is>
      </c>
      <c r="D231" s="76" t="inlineStr">
        <is>
          <t>Tree felling girth 60-120 cm girth (cutting &amp; grubbing roots)</t>
        </is>
      </c>
      <c r="E231" s="28" t="inlineStr">
        <is>
          <t>1 tree</t>
        </is>
      </c>
      <c r="F231" s="32" t="inlineStr">
        <is>
          <t>Labour (Unskilled / Haulage)</t>
        </is>
      </c>
      <c r="G231" s="21" t="inlineStr">
        <is>
          <t>0115</t>
        </is>
      </c>
      <c r="H231" s="76" t="inlineStr">
        <is>
          <t>Coolie</t>
        </is>
      </c>
      <c r="I231" s="86" t="n">
        <v>0.75</v>
      </c>
      <c r="J231" s="50" t="inlineStr">
        <is>
          <t>day</t>
        </is>
      </c>
      <c r="K231" s="51" t="n">
        <v>558</v>
      </c>
      <c r="L231" s="84" t="n">
        <v>418.5</v>
      </c>
      <c r="M231" s="52" t="n">
        <v>33</v>
      </c>
      <c r="N231" s="91" t="n">
        <v>1.333333333333333</v>
      </c>
      <c r="O231" s="39" t="inlineStr"/>
      <c r="P231" t="inlineStr">
        <is>
          <t>Site Clearance &amp; Tree Felling|All kinds of soil|Manual labor (depth ≤1.5m)|Tree felling girth 60-120 cm girth (cutting &amp; grubbing roots)|2</t>
        </is>
      </c>
      <c r="Q231" t="n">
        <v>2</v>
      </c>
      <c r="R231" t="n">
        <v>1</v>
      </c>
      <c r="S231" t="inlineStr">
        <is>
          <t>tree</t>
        </is>
      </c>
      <c r="T231" t="n">
        <v>1694.4</v>
      </c>
      <c r="U231" t="inlineStr">
        <is>
          <t>Two-man crosscut saw, axe, rope rigging</t>
        </is>
      </c>
      <c r="V231" t="inlineStr">
        <is>
          <t>Cutting trunks into 2.5m logs &amp; stacking</t>
        </is>
      </c>
      <c r="W231" t="inlineStr">
        <is>
          <t>Grubbing roots &amp; filling hollows</t>
        </is>
      </c>
      <c r="X231" t="inlineStr">
        <is>
          <t>None</t>
        </is>
      </c>
      <c r="Y231" t="inlineStr">
        <is>
          <t>Ramming hollows</t>
        </is>
      </c>
    </row>
    <row r="232" ht="22" customHeight="1">
      <c r="A232" s="16" t="inlineStr">
        <is>
          <t>Site Clearance &amp; Tree Felling</t>
        </is>
      </c>
      <c r="B232" s="76" t="inlineStr">
        <is>
          <t>All kinds of soil</t>
        </is>
      </c>
      <c r="C232" s="76" t="inlineStr">
        <is>
          <t>Manual labor (depth ≤1.5m)</t>
        </is>
      </c>
      <c r="D232" s="76" t="inlineStr">
        <is>
          <t>Tree felling girth 60-120 cm girth (cutting &amp; grubbing roots)</t>
        </is>
      </c>
      <c r="E232" s="28" t="inlineStr">
        <is>
          <t>1 tree</t>
        </is>
      </c>
      <c r="F232" s="32" t="inlineStr">
        <is>
          <t>Sundries &amp; Allowances</t>
        </is>
      </c>
      <c r="G232" s="21" t="inlineStr">
        <is>
          <t>9999</t>
        </is>
      </c>
      <c r="H232" s="76" t="inlineStr">
        <is>
          <t>Sundries</t>
        </is>
      </c>
      <c r="I232" s="86" t="n">
        <v>5.46</v>
      </c>
      <c r="J232" s="50" t="inlineStr">
        <is>
          <t>L.S.</t>
        </is>
      </c>
      <c r="K232" s="51" t="n">
        <v>2</v>
      </c>
      <c r="L232" s="84" t="n">
        <v>10.92</v>
      </c>
      <c r="M232" s="52" t="n">
        <v>0.9</v>
      </c>
      <c r="N232" s="32" t="inlineStr"/>
      <c r="O232" s="39" t="inlineStr"/>
      <c r="P232" t="inlineStr">
        <is>
          <t>Site Clearance &amp; Tree Felling|All kinds of soil|Manual labor (depth ≤1.5m)|Tree felling girth 60-120 cm girth (cutting &amp; grubbing roots)|3</t>
        </is>
      </c>
      <c r="Q232" t="n">
        <v>3</v>
      </c>
      <c r="R232" t="n">
        <v>1</v>
      </c>
      <c r="S232" t="inlineStr">
        <is>
          <t>tree</t>
        </is>
      </c>
      <c r="T232" t="n">
        <v>1694.4</v>
      </c>
      <c r="U232" t="inlineStr">
        <is>
          <t>Two-man crosscut saw, axe, rope rigging</t>
        </is>
      </c>
      <c r="V232" t="inlineStr">
        <is>
          <t>Cutting trunks into 2.5m logs &amp; stacking</t>
        </is>
      </c>
      <c r="W232" t="inlineStr">
        <is>
          <t>Grubbing roots &amp; filling hollows</t>
        </is>
      </c>
      <c r="X232" t="inlineStr">
        <is>
          <t>None</t>
        </is>
      </c>
      <c r="Y232" t="inlineStr">
        <is>
          <t>Ramming hollows</t>
        </is>
      </c>
    </row>
    <row r="233" ht="22" customHeight="1">
      <c r="A233" s="16" t="inlineStr">
        <is>
          <t>Site Clearance &amp; Tree Felling</t>
        </is>
      </c>
      <c r="B233" s="76" t="inlineStr">
        <is>
          <t>All kinds of soil</t>
        </is>
      </c>
      <c r="C233" s="76" t="inlineStr">
        <is>
          <t>Manual labor (depth ≤1.5m)</t>
        </is>
      </c>
      <c r="D233" s="76" t="inlineStr">
        <is>
          <t>Tree felling girth 120-240 cm girth (cutting &amp; grubbing roots)</t>
        </is>
      </c>
      <c r="E233" s="28" t="inlineStr">
        <is>
          <t>1 tree</t>
        </is>
      </c>
      <c r="F233" s="32" t="inlineStr">
        <is>
          <t>Labour (Semi-Skilled / Operational)</t>
        </is>
      </c>
      <c r="G233" s="21" t="inlineStr">
        <is>
          <t>0114</t>
        </is>
      </c>
      <c r="H233" s="76" t="inlineStr">
        <is>
          <t>Beldar</t>
        </is>
      </c>
      <c r="I233" s="86" t="n">
        <v>7</v>
      </c>
      <c r="J233" s="50" t="inlineStr">
        <is>
          <t>day</t>
        </is>
      </c>
      <c r="K233" s="51" t="n">
        <v>558</v>
      </c>
      <c r="L233" s="84" t="n">
        <v>3906</v>
      </c>
      <c r="M233" s="52" t="n">
        <v>66.5</v>
      </c>
      <c r="N233" s="91" t="n">
        <v>0.1428571428571428</v>
      </c>
      <c r="O233" s="39" t="inlineStr">
        <is>
          <t>Girth 120-240cm</t>
        </is>
      </c>
      <c r="P233" t="inlineStr">
        <is>
          <t>Site Clearance &amp; Tree Felling|All kinds of soil|Manual labor (depth ≤1.5m)|Tree felling girth 120-240 cm girth (cutting &amp; grubbing roots)|1</t>
        </is>
      </c>
      <c r="Q233" t="n">
        <v>1</v>
      </c>
      <c r="R233" t="n">
        <v>1</v>
      </c>
      <c r="S233" t="inlineStr">
        <is>
          <t>tree</t>
        </is>
      </c>
      <c r="T233" t="n">
        <v>7860.55</v>
      </c>
      <c r="U233" t="inlineStr">
        <is>
          <t>Two-man crosscut saw, axe, rope rigging</t>
        </is>
      </c>
      <c r="V233" t="inlineStr">
        <is>
          <t>Cutting trunks into 2.5m logs &amp; stacking</t>
        </is>
      </c>
      <c r="W233" t="inlineStr">
        <is>
          <t>Grubbing roots &amp; filling hollows</t>
        </is>
      </c>
      <c r="X233" t="inlineStr">
        <is>
          <t>None</t>
        </is>
      </c>
      <c r="Y233" t="inlineStr">
        <is>
          <t>Ramming hollows</t>
        </is>
      </c>
    </row>
    <row r="234" ht="22" customHeight="1">
      <c r="A234" s="16" t="inlineStr">
        <is>
          <t>Site Clearance &amp; Tree Felling</t>
        </is>
      </c>
      <c r="B234" s="76" t="inlineStr">
        <is>
          <t>All kinds of soil</t>
        </is>
      </c>
      <c r="C234" s="76" t="inlineStr">
        <is>
          <t>Manual labor (depth ≤1.5m)</t>
        </is>
      </c>
      <c r="D234" s="76" t="inlineStr">
        <is>
          <t>Tree felling girth 120-240 cm girth (cutting &amp; grubbing roots)</t>
        </is>
      </c>
      <c r="E234" s="28" t="inlineStr">
        <is>
          <t>1 tree</t>
        </is>
      </c>
      <c r="F234" s="32" t="inlineStr">
        <is>
          <t>Labour (Unskilled / Haulage)</t>
        </is>
      </c>
      <c r="G234" s="21" t="inlineStr">
        <is>
          <t>0115</t>
        </is>
      </c>
      <c r="H234" s="76" t="inlineStr">
        <is>
          <t>Coolie</t>
        </is>
      </c>
      <c r="I234" s="86" t="n">
        <v>3.5</v>
      </c>
      <c r="J234" s="50" t="inlineStr">
        <is>
          <t>day</t>
        </is>
      </c>
      <c r="K234" s="51" t="n">
        <v>558</v>
      </c>
      <c r="L234" s="84" t="n">
        <v>1953</v>
      </c>
      <c r="M234" s="52" t="n">
        <v>33.2</v>
      </c>
      <c r="N234" s="91" t="n">
        <v>0.2857142857142857</v>
      </c>
      <c r="O234" s="39" t="inlineStr"/>
      <c r="P234" t="inlineStr">
        <is>
          <t>Site Clearance &amp; Tree Felling|All kinds of soil|Manual labor (depth ≤1.5m)|Tree felling girth 120-240 cm girth (cutting &amp; grubbing roots)|2</t>
        </is>
      </c>
      <c r="Q234" t="n">
        <v>2</v>
      </c>
      <c r="R234" t="n">
        <v>1</v>
      </c>
      <c r="S234" t="inlineStr">
        <is>
          <t>tree</t>
        </is>
      </c>
      <c r="T234" t="n">
        <v>7860.55</v>
      </c>
      <c r="U234" t="inlineStr">
        <is>
          <t>Two-man crosscut saw, axe, rope rigging</t>
        </is>
      </c>
      <c r="V234" t="inlineStr">
        <is>
          <t>Cutting trunks into 2.5m logs &amp; stacking</t>
        </is>
      </c>
      <c r="W234" t="inlineStr">
        <is>
          <t>Grubbing roots &amp; filling hollows</t>
        </is>
      </c>
      <c r="X234" t="inlineStr">
        <is>
          <t>None</t>
        </is>
      </c>
      <c r="Y234" t="inlineStr">
        <is>
          <t>Ramming hollows</t>
        </is>
      </c>
    </row>
    <row r="235" ht="22" customHeight="1">
      <c r="A235" s="16" t="inlineStr">
        <is>
          <t>Site Clearance &amp; Tree Felling</t>
        </is>
      </c>
      <c r="B235" s="76" t="inlineStr">
        <is>
          <t>All kinds of soil</t>
        </is>
      </c>
      <c r="C235" s="76" t="inlineStr">
        <is>
          <t>Manual labor (depth ≤1.5m)</t>
        </is>
      </c>
      <c r="D235" s="76" t="inlineStr">
        <is>
          <t>Tree felling girth 120-240 cm girth (cutting &amp; grubbing roots)</t>
        </is>
      </c>
      <c r="E235" s="28" t="inlineStr">
        <is>
          <t>1 tree</t>
        </is>
      </c>
      <c r="F235" s="32" t="inlineStr">
        <is>
          <t>Sundries &amp; Allowances</t>
        </is>
      </c>
      <c r="G235" s="21" t="inlineStr">
        <is>
          <t>9999</t>
        </is>
      </c>
      <c r="H235" s="76" t="inlineStr">
        <is>
          <t>Sundries</t>
        </is>
      </c>
      <c r="I235" s="86" t="n">
        <v>8.06</v>
      </c>
      <c r="J235" s="50" t="inlineStr">
        <is>
          <t>L.S.</t>
        </is>
      </c>
      <c r="K235" s="51" t="n">
        <v>2</v>
      </c>
      <c r="L235" s="84" t="n">
        <v>16.12</v>
      </c>
      <c r="M235" s="52" t="n">
        <v>0.3</v>
      </c>
      <c r="N235" s="32" t="inlineStr"/>
      <c r="O235" s="39" t="inlineStr"/>
      <c r="P235" t="inlineStr">
        <is>
          <t>Site Clearance &amp; Tree Felling|All kinds of soil|Manual labor (depth ≤1.5m)|Tree felling girth 120-240 cm girth (cutting &amp; grubbing roots)|3</t>
        </is>
      </c>
      <c r="Q235" t="n">
        <v>3</v>
      </c>
      <c r="R235" t="n">
        <v>1</v>
      </c>
      <c r="S235" t="inlineStr">
        <is>
          <t>tree</t>
        </is>
      </c>
      <c r="T235" t="n">
        <v>7860.55</v>
      </c>
      <c r="U235" t="inlineStr">
        <is>
          <t>Two-man crosscut saw, axe, rope rigging</t>
        </is>
      </c>
      <c r="V235" t="inlineStr">
        <is>
          <t>Cutting trunks into 2.5m logs &amp; stacking</t>
        </is>
      </c>
      <c r="W235" t="inlineStr">
        <is>
          <t>Grubbing roots &amp; filling hollows</t>
        </is>
      </c>
      <c r="X235" t="inlineStr">
        <is>
          <t>None</t>
        </is>
      </c>
      <c r="Y235" t="inlineStr">
        <is>
          <t>Ramming hollows</t>
        </is>
      </c>
    </row>
    <row r="236" ht="22" customHeight="1">
      <c r="A236" s="16" t="inlineStr">
        <is>
          <t>Site Clearance &amp; Tree Felling</t>
        </is>
      </c>
      <c r="B236" s="76" t="inlineStr">
        <is>
          <t>All kinds of soil</t>
        </is>
      </c>
      <c r="C236" s="76" t="inlineStr">
        <is>
          <t>Manual labor (depth ≤1.5m)</t>
        </is>
      </c>
      <c r="D236" s="76" t="inlineStr">
        <is>
          <t>Tree felling girth above 240 cm girth (cutting &amp; grubbing roots)</t>
        </is>
      </c>
      <c r="E236" s="28" t="inlineStr">
        <is>
          <t>1 tree</t>
        </is>
      </c>
      <c r="F236" s="32" t="inlineStr">
        <is>
          <t>Labour (Semi-Skilled / Operational)</t>
        </is>
      </c>
      <c r="G236" s="21" t="inlineStr">
        <is>
          <t>0114</t>
        </is>
      </c>
      <c r="H236" s="76" t="inlineStr">
        <is>
          <t>Beldar</t>
        </is>
      </c>
      <c r="I236" s="86" t="n">
        <v>14</v>
      </c>
      <c r="J236" s="50" t="inlineStr">
        <is>
          <t>day</t>
        </is>
      </c>
      <c r="K236" s="51" t="n">
        <v>558</v>
      </c>
      <c r="L236" s="84" t="n">
        <v>7812</v>
      </c>
      <c r="M236" s="52" t="n">
        <v>66.40000000000001</v>
      </c>
      <c r="N236" s="91" t="n">
        <v>0.07142857142857142</v>
      </c>
      <c r="O236" s="39" t="inlineStr">
        <is>
          <t>Girth &gt;240cm</t>
        </is>
      </c>
      <c r="P236" t="inlineStr">
        <is>
          <t>Site Clearance &amp; Tree Felling|All kinds of soil|Manual labor (depth ≤1.5m)|Tree felling girth above 240 cm girth (cutting &amp; grubbing roots)|1</t>
        </is>
      </c>
      <c r="Q236" t="n">
        <v>1</v>
      </c>
      <c r="R236" t="n">
        <v>1</v>
      </c>
      <c r="S236" t="inlineStr">
        <is>
          <t>tree</t>
        </is>
      </c>
      <c r="T236" t="n">
        <v>15749.95</v>
      </c>
      <c r="U236" t="inlineStr">
        <is>
          <t>Two-man crosscut saw, axe, rope rigging</t>
        </is>
      </c>
      <c r="V236" t="inlineStr">
        <is>
          <t>Cutting trunks into 2.5m logs &amp; stacking</t>
        </is>
      </c>
      <c r="W236" t="inlineStr">
        <is>
          <t>Grubbing roots &amp; filling hollows</t>
        </is>
      </c>
      <c r="X236" t="inlineStr">
        <is>
          <t>None</t>
        </is>
      </c>
      <c r="Y236" t="inlineStr">
        <is>
          <t>Ramming hollows</t>
        </is>
      </c>
    </row>
    <row r="237" ht="22" customHeight="1">
      <c r="A237" s="16" t="inlineStr">
        <is>
          <t>Site Clearance &amp; Tree Felling</t>
        </is>
      </c>
      <c r="B237" s="76" t="inlineStr">
        <is>
          <t>All kinds of soil</t>
        </is>
      </c>
      <c r="C237" s="76" t="inlineStr">
        <is>
          <t>Manual labor (depth ≤1.5m)</t>
        </is>
      </c>
      <c r="D237" s="76" t="inlineStr">
        <is>
          <t>Tree felling girth above 240 cm girth (cutting &amp; grubbing roots)</t>
        </is>
      </c>
      <c r="E237" s="28" t="inlineStr">
        <is>
          <t>1 tree</t>
        </is>
      </c>
      <c r="F237" s="32" t="inlineStr">
        <is>
          <t>Labour (Unskilled / Haulage)</t>
        </is>
      </c>
      <c r="G237" s="21" t="inlineStr">
        <is>
          <t>0115</t>
        </is>
      </c>
      <c r="H237" s="76" t="inlineStr">
        <is>
          <t>Coolie</t>
        </is>
      </c>
      <c r="I237" s="86" t="n">
        <v>7</v>
      </c>
      <c r="J237" s="50" t="inlineStr">
        <is>
          <t>day</t>
        </is>
      </c>
      <c r="K237" s="51" t="n">
        <v>558</v>
      </c>
      <c r="L237" s="84" t="n">
        <v>3906</v>
      </c>
      <c r="M237" s="52" t="n">
        <v>33.2</v>
      </c>
      <c r="N237" s="91" t="n">
        <v>0.1428571428571428</v>
      </c>
      <c r="O237" s="39" t="inlineStr"/>
      <c r="P237" t="inlineStr">
        <is>
          <t>Site Clearance &amp; Tree Felling|All kinds of soil|Manual labor (depth ≤1.5m)|Tree felling girth above 240 cm girth (cutting &amp; grubbing roots)|2</t>
        </is>
      </c>
      <c r="Q237" t="n">
        <v>2</v>
      </c>
      <c r="R237" t="n">
        <v>1</v>
      </c>
      <c r="S237" t="inlineStr">
        <is>
          <t>tree</t>
        </is>
      </c>
      <c r="T237" t="n">
        <v>15749.95</v>
      </c>
      <c r="U237" t="inlineStr">
        <is>
          <t>Two-man crosscut saw, axe, rope rigging</t>
        </is>
      </c>
      <c r="V237" t="inlineStr">
        <is>
          <t>Cutting trunks into 2.5m logs &amp; stacking</t>
        </is>
      </c>
      <c r="W237" t="inlineStr">
        <is>
          <t>Grubbing roots &amp; filling hollows</t>
        </is>
      </c>
      <c r="X237" t="inlineStr">
        <is>
          <t>None</t>
        </is>
      </c>
      <c r="Y237" t="inlineStr">
        <is>
          <t>Ramming hollows</t>
        </is>
      </c>
    </row>
    <row r="238" ht="22" customHeight="1">
      <c r="A238" s="16" t="inlineStr">
        <is>
          <t>Site Clearance &amp; Tree Felling</t>
        </is>
      </c>
      <c r="B238" s="76" t="inlineStr">
        <is>
          <t>All kinds of soil</t>
        </is>
      </c>
      <c r="C238" s="76" t="inlineStr">
        <is>
          <t>Manual labor (depth ≤1.5m)</t>
        </is>
      </c>
      <c r="D238" s="76" t="inlineStr">
        <is>
          <t>Tree felling girth above 240 cm girth (cutting &amp; grubbing roots)</t>
        </is>
      </c>
      <c r="E238" s="28" t="inlineStr">
        <is>
          <t>1 tree</t>
        </is>
      </c>
      <c r="F238" s="32" t="inlineStr">
        <is>
          <t>Sundries &amp; Allowances</t>
        </is>
      </c>
      <c r="G238" s="21" t="inlineStr">
        <is>
          <t>9999</t>
        </is>
      </c>
      <c r="H238" s="76" t="inlineStr">
        <is>
          <t>Sundries</t>
        </is>
      </c>
      <c r="I238" s="86" t="n">
        <v>26.91</v>
      </c>
      <c r="J238" s="50" t="inlineStr">
        <is>
          <t>L.S.</t>
        </is>
      </c>
      <c r="K238" s="51" t="n">
        <v>2</v>
      </c>
      <c r="L238" s="84" t="n">
        <v>53.82</v>
      </c>
      <c r="M238" s="52" t="n">
        <v>0.5</v>
      </c>
      <c r="N238" s="32" t="inlineStr"/>
      <c r="O238" s="39" t="inlineStr"/>
      <c r="P238" t="inlineStr">
        <is>
          <t>Site Clearance &amp; Tree Felling|All kinds of soil|Manual labor (depth ≤1.5m)|Tree felling girth above 240 cm girth (cutting &amp; grubbing roots)|3</t>
        </is>
      </c>
      <c r="Q238" t="n">
        <v>3</v>
      </c>
      <c r="R238" t="n">
        <v>1</v>
      </c>
      <c r="S238" t="inlineStr">
        <is>
          <t>tree</t>
        </is>
      </c>
      <c r="T238" t="n">
        <v>15749.95</v>
      </c>
      <c r="U238" t="inlineStr">
        <is>
          <t>Two-man crosscut saw, axe, rope rigging</t>
        </is>
      </c>
      <c r="V238" t="inlineStr">
        <is>
          <t>Cutting trunks into 2.5m logs &amp; stacking</t>
        </is>
      </c>
      <c r="W238" t="inlineStr">
        <is>
          <t>Grubbing roots &amp; filling hollows</t>
        </is>
      </c>
      <c r="X238" t="inlineStr">
        <is>
          <t>None</t>
        </is>
      </c>
      <c r="Y238" t="inlineStr">
        <is>
          <t>Ramming hollows</t>
        </is>
      </c>
    </row>
    <row r="239" ht="22" customHeight="1">
      <c r="A239" s="16" t="inlineStr">
        <is>
          <t>Chemical Anti-Termite Treatment</t>
        </is>
      </c>
      <c r="B239" s="76" t="inlineStr">
        <is>
          <t>All kinds of soil</t>
        </is>
      </c>
      <c r="C239" s="76" t="inlineStr">
        <is>
          <t>Manual labor (depth ≤1.5m)</t>
        </is>
      </c>
      <c r="D239" s="76" t="inlineStr">
        <is>
          <t>Supply chemical emulsion (Chlorpyrifos 20% EC)</t>
        </is>
      </c>
      <c r="E239" s="28" t="inlineStr">
        <is>
          <t>100 litre</t>
        </is>
      </c>
      <c r="F239" s="32" t="inlineStr">
        <is>
          <t>Material &amp; Consumables</t>
        </is>
      </c>
      <c r="G239" s="21" t="inlineStr">
        <is>
          <t>7022</t>
        </is>
      </c>
      <c r="H239" s="76" t="inlineStr">
        <is>
          <t>Chlorpyriphos 20% E.C. emulsion</t>
        </is>
      </c>
      <c r="I239" s="86" t="n">
        <v>100</v>
      </c>
      <c r="J239" s="50" t="inlineStr">
        <is>
          <t>litre</t>
        </is>
      </c>
      <c r="K239" s="51" t="n">
        <v>150</v>
      </c>
      <c r="L239" s="84" t="n">
        <v>15000</v>
      </c>
      <c r="M239" s="52" t="n">
        <v>99.90000000000001</v>
      </c>
      <c r="N239" s="32" t="inlineStr"/>
      <c r="O239" s="39" t="inlineStr"/>
      <c r="P239" t="inlineStr">
        <is>
          <t>Chemical Anti-Termite Treatment|All kinds of soil|Manual labor (depth ≤1.5m)|Supply chemical emulsion (Chlorpyrifos 20% EC)|1</t>
        </is>
      </c>
      <c r="Q239" t="n">
        <v>1</v>
      </c>
      <c r="R239" t="n">
        <v>100</v>
      </c>
      <c r="S239" t="inlineStr">
        <is>
          <t>litre</t>
        </is>
      </c>
      <c r="T239" t="n">
        <v>200.85</v>
      </c>
      <c r="U239" t="inlineStr">
        <is>
          <t>Material supply (100 Litres emulsion)</t>
        </is>
      </c>
      <c r="V239" t="inlineStr">
        <is>
          <t>Sealed drums site storage</t>
        </is>
      </c>
      <c r="W239" t="inlineStr">
        <is>
          <t>Chemical dilution preparation</t>
        </is>
      </c>
      <c r="X239" t="inlineStr">
        <is>
          <t>Water dilution</t>
        </is>
      </c>
      <c r="Y239" t="inlineStr">
        <is>
          <t>None</t>
        </is>
      </c>
    </row>
    <row r="240" ht="22" customHeight="1">
      <c r="A240" s="16" t="inlineStr">
        <is>
          <t>Chemical Anti-Termite Treatment</t>
        </is>
      </c>
      <c r="B240" s="76" t="inlineStr">
        <is>
          <t>All kinds of soil</t>
        </is>
      </c>
      <c r="C240" s="76" t="inlineStr">
        <is>
          <t>Manual labor (depth ≤1.5m)</t>
        </is>
      </c>
      <c r="D240" s="76" t="inlineStr">
        <is>
          <t>Supply chemical emulsion (Chlorpyrifos 20% EC)</t>
        </is>
      </c>
      <c r="E240" s="28" t="inlineStr">
        <is>
          <t>100 litre</t>
        </is>
      </c>
      <c r="F240" s="32" t="inlineStr">
        <is>
          <t>Material &amp; Consumables</t>
        </is>
      </c>
      <c r="G240" s="21" t="inlineStr">
        <is>
          <t>2342</t>
        </is>
      </c>
      <c r="H240" s="76" t="inlineStr">
        <is>
          <t>Carriage of chemical</t>
        </is>
      </c>
      <c r="I240" s="86" t="n">
        <v>1</v>
      </c>
      <c r="J240" s="50" t="inlineStr">
        <is>
          <t>quintal</t>
        </is>
      </c>
      <c r="K240" s="51" t="n">
        <v>10.38</v>
      </c>
      <c r="L240" s="84" t="n">
        <v>10.38</v>
      </c>
      <c r="M240" s="52" t="n">
        <v>0.1</v>
      </c>
      <c r="N240" s="32" t="inlineStr"/>
      <c r="O240" s="39" t="inlineStr"/>
      <c r="P240" t="inlineStr">
        <is>
          <t>Chemical Anti-Termite Treatment|All kinds of soil|Manual labor (depth ≤1.5m)|Supply chemical emulsion (Chlorpyrifos 20% EC)|2</t>
        </is>
      </c>
      <c r="Q240" t="n">
        <v>2</v>
      </c>
      <c r="R240" t="n">
        <v>100</v>
      </c>
      <c r="S240" t="inlineStr">
        <is>
          <t>litre</t>
        </is>
      </c>
      <c r="T240" t="n">
        <v>200.85</v>
      </c>
      <c r="U240" t="inlineStr">
        <is>
          <t>Material supply (100 Litres emulsion)</t>
        </is>
      </c>
      <c r="V240" t="inlineStr">
        <is>
          <t>Sealed drums site storage</t>
        </is>
      </c>
      <c r="W240" t="inlineStr">
        <is>
          <t>Chemical dilution preparation</t>
        </is>
      </c>
      <c r="X240" t="inlineStr">
        <is>
          <t>Water dilution</t>
        </is>
      </c>
      <c r="Y240" t="inlineStr">
        <is>
          <t>None</t>
        </is>
      </c>
    </row>
    <row r="241" ht="22" customHeight="1">
      <c r="A241" s="16" t="inlineStr">
        <is>
          <t>Chemical Anti-Termite Treatment</t>
        </is>
      </c>
      <c r="B241" s="76" t="inlineStr">
        <is>
          <t>All kinds of soil</t>
        </is>
      </c>
      <c r="C241" s="76" t="inlineStr">
        <is>
          <t>Manual labor (depth ≤1.5m)</t>
        </is>
      </c>
      <c r="D241" s="76" t="inlineStr">
        <is>
          <t>Treatment to bottom &amp; sides of foundation trenches</t>
        </is>
      </c>
      <c r="E241" s="28" t="inlineStr">
        <is>
          <t>10 m</t>
        </is>
      </c>
      <c r="F241" s="32" t="inlineStr">
        <is>
          <t>Labour (Semi-Skilled / Operational)</t>
        </is>
      </c>
      <c r="G241" s="21" t="inlineStr">
        <is>
          <t>0114</t>
        </is>
      </c>
      <c r="H241" s="76" t="inlineStr">
        <is>
          <t>Beldar (excavate channel, rod, spray, refill)</t>
        </is>
      </c>
      <c r="I241" s="86" t="n">
        <v>0.33</v>
      </c>
      <c r="J241" s="50" t="inlineStr">
        <is>
          <t>day</t>
        </is>
      </c>
      <c r="K241" s="51" t="n">
        <v>558</v>
      </c>
      <c r="L241" s="84" t="n">
        <v>184.14</v>
      </c>
      <c r="M241" s="52" t="n">
        <v>87.2</v>
      </c>
      <c r="N241" s="90" t="n">
        <v>30.3030303030303</v>
      </c>
      <c r="O241" s="39" t="inlineStr">
        <is>
          <t>Chemical supplied free</t>
        </is>
      </c>
      <c r="P241" t="inlineStr">
        <is>
          <t>Chemical Anti-Termite Treatment|All kinds of soil|Manual labor (depth ≤1.5m)|Treatment to bottom &amp; sides of foundation trenches|1</t>
        </is>
      </c>
      <c r="Q241" t="n">
        <v>1</v>
      </c>
      <c r="R241" t="n">
        <v>10</v>
      </c>
      <c r="S241" t="inlineStr">
        <is>
          <t>m</t>
        </is>
      </c>
      <c r="T241" t="n">
        <v>28.25</v>
      </c>
      <c r="U241" t="inlineStr">
        <is>
          <t>Chemical pressure pump &amp; spray lance</t>
        </is>
      </c>
      <c r="V241" t="inlineStr">
        <is>
          <t>Lance application 5 L/sqm</t>
        </is>
      </c>
      <c r="W241" t="inlineStr">
        <is>
          <t>Uniform ground saturation</t>
        </is>
      </c>
      <c r="X241" t="inlineStr">
        <is>
          <t>Chemical emulsion</t>
        </is>
      </c>
      <c r="Y241" t="inlineStr">
        <is>
          <t>None</t>
        </is>
      </c>
    </row>
    <row r="242" ht="22" customHeight="1">
      <c r="A242" s="16" t="inlineStr">
        <is>
          <t>Chemical Anti-Termite Treatment</t>
        </is>
      </c>
      <c r="B242" s="76" t="inlineStr">
        <is>
          <t>All kinds of soil</t>
        </is>
      </c>
      <c r="C242" s="76" t="inlineStr">
        <is>
          <t>Manual labor (depth ≤1.5m)</t>
        </is>
      </c>
      <c r="D242" s="76" t="inlineStr">
        <is>
          <t>Treatment to bottom &amp; sides of foundation trenches</t>
        </is>
      </c>
      <c r="E242" s="28" t="inlineStr">
        <is>
          <t>10 m</t>
        </is>
      </c>
      <c r="F242" s="32" t="inlineStr">
        <is>
          <t>Sundries &amp; Allowances</t>
        </is>
      </c>
      <c r="G242" s="21" t="inlineStr">
        <is>
          <t>9999</t>
        </is>
      </c>
      <c r="H242" s="76" t="inlineStr">
        <is>
          <t>Sundries – sprayer rent etc.</t>
        </is>
      </c>
      <c r="I242" s="86" t="n">
        <v>13.52</v>
      </c>
      <c r="J242" s="50" t="inlineStr">
        <is>
          <t>L.S.</t>
        </is>
      </c>
      <c r="K242" s="51" t="n">
        <v>2</v>
      </c>
      <c r="L242" s="84" t="n">
        <v>27.04</v>
      </c>
      <c r="M242" s="52" t="n">
        <v>12.8</v>
      </c>
      <c r="N242" s="32" t="inlineStr"/>
      <c r="O242" s="39" t="inlineStr"/>
      <c r="P242" t="inlineStr">
        <is>
          <t>Chemical Anti-Termite Treatment|All kinds of soil|Manual labor (depth ≤1.5m)|Treatment to bottom &amp; sides of foundation trenches|2</t>
        </is>
      </c>
      <c r="Q242" t="n">
        <v>2</v>
      </c>
      <c r="R242" t="n">
        <v>10</v>
      </c>
      <c r="S242" t="inlineStr">
        <is>
          <t>m</t>
        </is>
      </c>
      <c r="T242" t="n">
        <v>28.25</v>
      </c>
      <c r="U242" t="inlineStr">
        <is>
          <t>Chemical pressure pump &amp; spray lance</t>
        </is>
      </c>
      <c r="V242" t="inlineStr">
        <is>
          <t>Lance application 5 L/sqm</t>
        </is>
      </c>
      <c r="W242" t="inlineStr">
        <is>
          <t>Uniform ground saturation</t>
        </is>
      </c>
      <c r="X242" t="inlineStr">
        <is>
          <t>Chemical emulsion</t>
        </is>
      </c>
      <c r="Y242" t="inlineStr">
        <is>
          <t>None</t>
        </is>
      </c>
    </row>
    <row r="243" ht="22" customHeight="1">
      <c r="A243" s="16" t="inlineStr">
        <is>
          <t>Chemical Anti-Termite Treatment</t>
        </is>
      </c>
      <c r="B243" s="76" t="inlineStr">
        <is>
          <t>All kinds of soil</t>
        </is>
      </c>
      <c r="C243" s="76" t="inlineStr">
        <is>
          <t>Manual labor (depth ≤1.5m)</t>
        </is>
      </c>
      <c r="D243" s="76" t="inlineStr">
        <is>
          <t>Treatment to backfill earth in contact with walls</t>
        </is>
      </c>
      <c r="E243" s="28" t="inlineStr">
        <is>
          <t>10 m</t>
        </is>
      </c>
      <c r="F243" s="32" t="inlineStr">
        <is>
          <t>Labour (Semi-Skilled / Operational)</t>
        </is>
      </c>
      <c r="G243" s="21" t="inlineStr">
        <is>
          <t>0114</t>
        </is>
      </c>
      <c r="H243" s="76" t="inlineStr">
        <is>
          <t>Beldar (drill &amp; inject)</t>
        </is>
      </c>
      <c r="I243" s="86" t="n">
        <v>0.4</v>
      </c>
      <c r="J243" s="50" t="inlineStr">
        <is>
          <t>day</t>
        </is>
      </c>
      <c r="K243" s="51" t="n">
        <v>558</v>
      </c>
      <c r="L243" s="84" t="n">
        <v>223.2</v>
      </c>
      <c r="M243" s="52" t="n">
        <v>75.7</v>
      </c>
      <c r="N243" s="90" t="n">
        <v>25</v>
      </c>
      <c r="O243" s="39" t="inlineStr">
        <is>
          <t>Chemical supplied free</t>
        </is>
      </c>
      <c r="P243" t="inlineStr">
        <is>
          <t>Chemical Anti-Termite Treatment|All kinds of soil|Manual labor (depth ≤1.5m)|Treatment to backfill earth in contact with walls|1</t>
        </is>
      </c>
      <c r="Q243" t="n">
        <v>1</v>
      </c>
      <c r="R243" t="n">
        <v>10</v>
      </c>
      <c r="S243" t="inlineStr">
        <is>
          <t>m</t>
        </is>
      </c>
      <c r="T243" t="n">
        <v>39.45</v>
      </c>
      <c r="U243" t="inlineStr">
        <is>
          <t>Chemical pressure injection into backfill</t>
        </is>
      </c>
      <c r="V243" t="inlineStr">
        <is>
          <t>Lance rodding 7.5 L/sqm</t>
        </is>
      </c>
      <c r="W243" t="inlineStr">
        <is>
          <t>Contact zone injection</t>
        </is>
      </c>
      <c r="X243" t="inlineStr">
        <is>
          <t>Chemical emulsion</t>
        </is>
      </c>
      <c r="Y243" t="inlineStr">
        <is>
          <t>None</t>
        </is>
      </c>
    </row>
    <row r="244" ht="22" customHeight="1">
      <c r="A244" s="16" t="inlineStr">
        <is>
          <t>Chemical Anti-Termite Treatment</t>
        </is>
      </c>
      <c r="B244" s="76" t="inlineStr">
        <is>
          <t>All kinds of soil</t>
        </is>
      </c>
      <c r="C244" s="76" t="inlineStr">
        <is>
          <t>Manual labor (depth ≤1.5m)</t>
        </is>
      </c>
      <c r="D244" s="76" t="inlineStr">
        <is>
          <t>Treatment to backfill earth in contact with walls</t>
        </is>
      </c>
      <c r="E244" s="28" t="inlineStr">
        <is>
          <t>10 m</t>
        </is>
      </c>
      <c r="F244" s="32" t="inlineStr">
        <is>
          <t>Sundries &amp; Allowances</t>
        </is>
      </c>
      <c r="G244" s="21" t="inlineStr">
        <is>
          <t>9999</t>
        </is>
      </c>
      <c r="H244" s="76" t="inlineStr">
        <is>
          <t>Sundries – sprayer, mortar, making good holes</t>
        </is>
      </c>
      <c r="I244" s="86" t="n">
        <v>35.88</v>
      </c>
      <c r="J244" s="50" t="inlineStr">
        <is>
          <t>L.S.</t>
        </is>
      </c>
      <c r="K244" s="51" t="n">
        <v>2</v>
      </c>
      <c r="L244" s="84" t="n">
        <v>71.76000000000001</v>
      </c>
      <c r="M244" s="52" t="n">
        <v>24.3</v>
      </c>
      <c r="N244" s="32" t="inlineStr"/>
      <c r="O244" s="39" t="inlineStr"/>
      <c r="P244" t="inlineStr">
        <is>
          <t>Chemical Anti-Termite Treatment|All kinds of soil|Manual labor (depth ≤1.5m)|Treatment to backfill earth in contact with walls|2</t>
        </is>
      </c>
      <c r="Q244" t="n">
        <v>2</v>
      </c>
      <c r="R244" t="n">
        <v>10</v>
      </c>
      <c r="S244" t="inlineStr">
        <is>
          <t>m</t>
        </is>
      </c>
      <c r="T244" t="n">
        <v>39.45</v>
      </c>
      <c r="U244" t="inlineStr">
        <is>
          <t>Chemical pressure injection into backfill</t>
        </is>
      </c>
      <c r="V244" t="inlineStr">
        <is>
          <t>Lance rodding 7.5 L/sqm</t>
        </is>
      </c>
      <c r="W244" t="inlineStr">
        <is>
          <t>Contact zone injection</t>
        </is>
      </c>
      <c r="X244" t="inlineStr">
        <is>
          <t>Chemical emulsion</t>
        </is>
      </c>
      <c r="Y244" t="inlineStr">
        <is>
          <t>None</t>
        </is>
      </c>
    </row>
    <row r="245" ht="22" customHeight="1">
      <c r="A245" s="16" t="inlineStr">
        <is>
          <t>Chemical Anti-Termite Treatment</t>
        </is>
      </c>
      <c r="B245" s="76" t="inlineStr">
        <is>
          <t>All kinds of soil</t>
        </is>
      </c>
      <c r="C245" s="76" t="inlineStr">
        <is>
          <t>Manual labor (depth ≤1.5m)</t>
        </is>
      </c>
      <c r="D245" s="76" t="inlineStr">
        <is>
          <t>Treatment to subgrade under floors</t>
        </is>
      </c>
      <c r="E245" s="28" t="inlineStr">
        <is>
          <t>9 sqm</t>
        </is>
      </c>
      <c r="F245" s="32" t="inlineStr">
        <is>
          <t>Labour (Semi-Skilled / Operational)</t>
        </is>
      </c>
      <c r="G245" s="21" t="inlineStr">
        <is>
          <t>0114</t>
        </is>
      </c>
      <c r="H245" s="76" t="inlineStr">
        <is>
          <t>Beldar (drill &amp; spray)</t>
        </is>
      </c>
      <c r="I245" s="86" t="n">
        <v>2</v>
      </c>
      <c r="J245" s="50" t="inlineStr">
        <is>
          <t>day</t>
        </is>
      </c>
      <c r="K245" s="51" t="n">
        <v>558</v>
      </c>
      <c r="L245" s="84" t="n">
        <v>1116</v>
      </c>
      <c r="M245" s="52" t="n">
        <v>73.09999999999999</v>
      </c>
      <c r="N245" s="87" t="n">
        <v>4.5</v>
      </c>
      <c r="O245" s="39" t="inlineStr">
        <is>
          <t>9 sqm = 3x3m; 100 holes; chemical free</t>
        </is>
      </c>
      <c r="P245" t="inlineStr">
        <is>
          <t>Chemical Anti-Termite Treatment|All kinds of soil|Manual labor (depth ≤1.5m)|Treatment to subgrade under floors|1</t>
        </is>
      </c>
      <c r="Q245" t="n">
        <v>1</v>
      </c>
      <c r="R245" t="n">
        <v>9</v>
      </c>
      <c r="S245" t="inlineStr">
        <is>
          <t>sqm</t>
        </is>
      </c>
      <c r="T245" t="n">
        <v>227.05</v>
      </c>
      <c r="U245" t="inlineStr">
        <is>
          <t>Grid perforations &amp; pressure spraying</t>
        </is>
      </c>
      <c r="V245" t="inlineStr">
        <is>
          <t>Pressure spray 5 L/sqm</t>
        </is>
      </c>
      <c r="W245" t="inlineStr">
        <is>
          <t>Full plinth floor saturation</t>
        </is>
      </c>
      <c r="X245" t="inlineStr">
        <is>
          <t>Chemical emulsion</t>
        </is>
      </c>
      <c r="Y245" t="inlineStr">
        <is>
          <t>None</t>
        </is>
      </c>
    </row>
    <row r="246" ht="22" customHeight="1">
      <c r="A246" s="16" t="inlineStr">
        <is>
          <t>Chemical Anti-Termite Treatment</t>
        </is>
      </c>
      <c r="B246" s="76" t="inlineStr">
        <is>
          <t>All kinds of soil</t>
        </is>
      </c>
      <c r="C246" s="76" t="inlineStr">
        <is>
          <t>Manual labor (depth ≤1.5m)</t>
        </is>
      </c>
      <c r="D246" s="76" t="inlineStr">
        <is>
          <t>Treatment to subgrade under floors</t>
        </is>
      </c>
      <c r="E246" s="28" t="inlineStr">
        <is>
          <t>9 sqm</t>
        </is>
      </c>
      <c r="F246" s="32" t="inlineStr">
        <is>
          <t>Sundries &amp; Allowances</t>
        </is>
      </c>
      <c r="G246" s="21" t="inlineStr">
        <is>
          <t>0124</t>
        </is>
      </c>
      <c r="H246" s="76" t="inlineStr">
        <is>
          <t>Mason 2nd class (plug holes)</t>
        </is>
      </c>
      <c r="I246" s="86" t="n">
        <v>0.5</v>
      </c>
      <c r="J246" s="50" t="inlineStr">
        <is>
          <t>day</t>
        </is>
      </c>
      <c r="K246" s="51" t="n">
        <v>679</v>
      </c>
      <c r="L246" s="84" t="n">
        <v>339.5</v>
      </c>
      <c r="M246" s="52" t="n">
        <v>22.2</v>
      </c>
      <c r="N246" s="87" t="n">
        <v>18</v>
      </c>
      <c r="O246" s="39" t="inlineStr"/>
      <c r="P246" t="inlineStr">
        <is>
          <t>Chemical Anti-Termite Treatment|All kinds of soil|Manual labor (depth ≤1.5m)|Treatment to subgrade under floors|2</t>
        </is>
      </c>
      <c r="Q246" t="n">
        <v>2</v>
      </c>
      <c r="R246" t="n">
        <v>9</v>
      </c>
      <c r="S246" t="inlineStr">
        <is>
          <t>sqm</t>
        </is>
      </c>
      <c r="T246" t="n">
        <v>227.05</v>
      </c>
      <c r="U246" t="inlineStr">
        <is>
          <t>Grid perforations &amp; pressure spraying</t>
        </is>
      </c>
      <c r="V246" t="inlineStr">
        <is>
          <t>Pressure spray 5 L/sqm</t>
        </is>
      </c>
      <c r="W246" t="inlineStr">
        <is>
          <t>Full plinth floor saturation</t>
        </is>
      </c>
      <c r="X246" t="inlineStr">
        <is>
          <t>Chemical emulsion</t>
        </is>
      </c>
      <c r="Y246" t="inlineStr">
        <is>
          <t>None</t>
        </is>
      </c>
    </row>
    <row r="247" ht="22" customHeight="1">
      <c r="A247" s="16" t="inlineStr">
        <is>
          <t>Chemical Anti-Termite Treatment</t>
        </is>
      </c>
      <c r="B247" s="76" t="inlineStr">
        <is>
          <t>All kinds of soil</t>
        </is>
      </c>
      <c r="C247" s="76" t="inlineStr">
        <is>
          <t>Manual labor (depth ≤1.5m)</t>
        </is>
      </c>
      <c r="D247" s="76" t="inlineStr">
        <is>
          <t>Treatment to subgrade under floors</t>
        </is>
      </c>
      <c r="E247" s="28" t="inlineStr">
        <is>
          <t>9 sqm</t>
        </is>
      </c>
      <c r="F247" s="32" t="inlineStr">
        <is>
          <t>Sundries &amp; Allowances</t>
        </is>
      </c>
      <c r="G247" s="21" t="inlineStr">
        <is>
          <t>9999</t>
        </is>
      </c>
      <c r="H247" s="76" t="inlineStr">
        <is>
          <t>Sundries – sprayer &amp; mortar</t>
        </is>
      </c>
      <c r="I247" s="86" t="n">
        <v>35.88</v>
      </c>
      <c r="J247" s="50" t="inlineStr">
        <is>
          <t>L.S.</t>
        </is>
      </c>
      <c r="K247" s="51" t="n">
        <v>2</v>
      </c>
      <c r="L247" s="84" t="n">
        <v>71.76000000000001</v>
      </c>
      <c r="M247" s="52" t="n">
        <v>4.7</v>
      </c>
      <c r="N247" s="32" t="inlineStr"/>
      <c r="O247" s="39" t="inlineStr"/>
      <c r="P247" t="inlineStr">
        <is>
          <t>Chemical Anti-Termite Treatment|All kinds of soil|Manual labor (depth ≤1.5m)|Treatment to subgrade under floors|3</t>
        </is>
      </c>
      <c r="Q247" t="n">
        <v>3</v>
      </c>
      <c r="R247" t="n">
        <v>9</v>
      </c>
      <c r="S247" t="inlineStr">
        <is>
          <t>sqm</t>
        </is>
      </c>
      <c r="T247" t="n">
        <v>227.05</v>
      </c>
      <c r="U247" t="inlineStr">
        <is>
          <t>Grid perforations &amp; pressure spraying</t>
        </is>
      </c>
      <c r="V247" t="inlineStr">
        <is>
          <t>Pressure spray 5 L/sqm</t>
        </is>
      </c>
      <c r="W247" t="inlineStr">
        <is>
          <t>Full plinth floor saturation</t>
        </is>
      </c>
      <c r="X247" t="inlineStr">
        <is>
          <t>Chemical emulsion</t>
        </is>
      </c>
      <c r="Y247" t="inlineStr">
        <is>
          <t>None</t>
        </is>
      </c>
    </row>
    <row r="248" ht="22" customHeight="1">
      <c r="A248" s="16" t="inlineStr">
        <is>
          <t>Chemical Anti-Termite Treatment</t>
        </is>
      </c>
      <c r="B248" s="76" t="inlineStr">
        <is>
          <t>All kinds of soil</t>
        </is>
      </c>
      <c r="C248" s="76" t="inlineStr">
        <is>
          <t>Manual labor (depth ≤1.5m)</t>
        </is>
      </c>
      <c r="D248" s="76" t="inlineStr">
        <is>
          <t>Treatment at junction of wall &amp; floor</t>
        </is>
      </c>
      <c r="E248" s="28" t="inlineStr">
        <is>
          <t>10 m</t>
        </is>
      </c>
      <c r="F248" s="32" t="inlineStr">
        <is>
          <t>Labour (Semi-Skilled / Operational)</t>
        </is>
      </c>
      <c r="G248" s="21" t="inlineStr">
        <is>
          <t>0114</t>
        </is>
      </c>
      <c r="H248" s="76" t="inlineStr">
        <is>
          <t>Beldar (inject chemical)</t>
        </is>
      </c>
      <c r="I248" s="86" t="n">
        <v>0.3</v>
      </c>
      <c r="J248" s="50" t="inlineStr">
        <is>
          <t>day</t>
        </is>
      </c>
      <c r="K248" s="51" t="n">
        <v>558</v>
      </c>
      <c r="L248" s="84" t="n">
        <v>167.4</v>
      </c>
      <c r="M248" s="52" t="n">
        <v>70.59999999999999</v>
      </c>
      <c r="N248" s="90" t="n">
        <v>33.33333333333334</v>
      </c>
      <c r="O248" s="39" t="inlineStr">
        <is>
          <t>34 holes per 10 m; chemical free</t>
        </is>
      </c>
      <c r="P248" t="inlineStr">
        <is>
          <t>Chemical Anti-Termite Treatment|All kinds of soil|Manual labor (depth ≤1.5m)|Treatment at junction of wall &amp; floor|1</t>
        </is>
      </c>
      <c r="Q248" t="n">
        <v>1</v>
      </c>
      <c r="R248" t="n">
        <v>10</v>
      </c>
      <c r="S248" t="inlineStr">
        <is>
          <t>m</t>
        </is>
      </c>
      <c r="T248" t="n">
        <v>31.75</v>
      </c>
      <c r="U248" t="inlineStr">
        <is>
          <t>12mm rod channel punching</t>
        </is>
      </c>
      <c r="V248" t="inlineStr">
        <is>
          <t>Channel chemical filling</t>
        </is>
      </c>
      <c r="W248" t="inlineStr">
        <is>
          <t>Junction barrier</t>
        </is>
      </c>
      <c r="X248" t="inlineStr">
        <is>
          <t>Chemical emulsion</t>
        </is>
      </c>
      <c r="Y248" t="inlineStr">
        <is>
          <t>None</t>
        </is>
      </c>
    </row>
    <row r="249" ht="22" customHeight="1">
      <c r="A249" s="16" t="inlineStr">
        <is>
          <t>Chemical Anti-Termite Treatment</t>
        </is>
      </c>
      <c r="B249" s="76" t="inlineStr">
        <is>
          <t>All kinds of soil</t>
        </is>
      </c>
      <c r="C249" s="76" t="inlineStr">
        <is>
          <t>Manual labor (depth ≤1.5m)</t>
        </is>
      </c>
      <c r="D249" s="76" t="inlineStr">
        <is>
          <t>Treatment at junction of wall &amp; floor</t>
        </is>
      </c>
      <c r="E249" s="28" t="inlineStr">
        <is>
          <t>10 m</t>
        </is>
      </c>
      <c r="F249" s="32" t="inlineStr">
        <is>
          <t>Sundries &amp; Allowances</t>
        </is>
      </c>
      <c r="G249" s="21" t="inlineStr">
        <is>
          <t>0124</t>
        </is>
      </c>
      <c r="H249" s="76" t="inlineStr">
        <is>
          <t>Mason 2nd class (drill &amp; plug holes)</t>
        </is>
      </c>
      <c r="I249" s="86" t="n">
        <v>0.05</v>
      </c>
      <c r="J249" s="50" t="inlineStr">
        <is>
          <t>day</t>
        </is>
      </c>
      <c r="K249" s="51" t="n">
        <v>679</v>
      </c>
      <c r="L249" s="84" t="n">
        <v>33.95</v>
      </c>
      <c r="M249" s="52" t="n">
        <v>14.3</v>
      </c>
      <c r="N249" s="90" t="n">
        <v>200</v>
      </c>
      <c r="O249" s="39" t="inlineStr"/>
      <c r="P249" t="inlineStr">
        <is>
          <t>Chemical Anti-Termite Treatment|All kinds of soil|Manual labor (depth ≤1.5m)|Treatment at junction of wall &amp; floor|2</t>
        </is>
      </c>
      <c r="Q249" t="n">
        <v>2</v>
      </c>
      <c r="R249" t="n">
        <v>10</v>
      </c>
      <c r="S249" t="inlineStr">
        <is>
          <t>m</t>
        </is>
      </c>
      <c r="T249" t="n">
        <v>31.75</v>
      </c>
      <c r="U249" t="inlineStr">
        <is>
          <t>12mm rod channel punching</t>
        </is>
      </c>
      <c r="V249" t="inlineStr">
        <is>
          <t>Channel chemical filling</t>
        </is>
      </c>
      <c r="W249" t="inlineStr">
        <is>
          <t>Junction barrier</t>
        </is>
      </c>
      <c r="X249" t="inlineStr">
        <is>
          <t>Chemical emulsion</t>
        </is>
      </c>
      <c r="Y249" t="inlineStr">
        <is>
          <t>None</t>
        </is>
      </c>
    </row>
    <row r="250" ht="22" customHeight="1">
      <c r="A250" s="16" t="inlineStr">
        <is>
          <t>Chemical Anti-Termite Treatment</t>
        </is>
      </c>
      <c r="B250" s="76" t="inlineStr">
        <is>
          <t>All kinds of soil</t>
        </is>
      </c>
      <c r="C250" s="76" t="inlineStr">
        <is>
          <t>Manual labor (depth ≤1.5m)</t>
        </is>
      </c>
      <c r="D250" s="76" t="inlineStr">
        <is>
          <t>Treatment at junction of wall &amp; floor</t>
        </is>
      </c>
      <c r="E250" s="28" t="inlineStr">
        <is>
          <t>10 m</t>
        </is>
      </c>
      <c r="F250" s="32" t="inlineStr">
        <is>
          <t>Sundries &amp; Allowances</t>
        </is>
      </c>
      <c r="G250" s="21" t="inlineStr">
        <is>
          <t>9999</t>
        </is>
      </c>
      <c r="H250" s="76" t="inlineStr">
        <is>
          <t>Sundries – pump etc.</t>
        </is>
      </c>
      <c r="I250" s="86" t="n">
        <v>17.94</v>
      </c>
      <c r="J250" s="50" t="inlineStr">
        <is>
          <t>L.S.</t>
        </is>
      </c>
      <c r="K250" s="51" t="n">
        <v>2</v>
      </c>
      <c r="L250" s="84" t="n">
        <v>35.88</v>
      </c>
      <c r="M250" s="52" t="n">
        <v>15.1</v>
      </c>
      <c r="N250" s="32" t="inlineStr"/>
      <c r="O250" s="39" t="inlineStr"/>
      <c r="P250" t="inlineStr">
        <is>
          <t>Chemical Anti-Termite Treatment|All kinds of soil|Manual labor (depth ≤1.5m)|Treatment at junction of wall &amp; floor|3</t>
        </is>
      </c>
      <c r="Q250" t="n">
        <v>3</v>
      </c>
      <c r="R250" t="n">
        <v>10</v>
      </c>
      <c r="S250" t="inlineStr">
        <is>
          <t>m</t>
        </is>
      </c>
      <c r="T250" t="n">
        <v>31.75</v>
      </c>
      <c r="U250" t="inlineStr">
        <is>
          <t>12mm rod channel punching</t>
        </is>
      </c>
      <c r="V250" t="inlineStr">
        <is>
          <t>Channel chemical filling</t>
        </is>
      </c>
      <c r="W250" t="inlineStr">
        <is>
          <t>Junction barrier</t>
        </is>
      </c>
      <c r="X250" t="inlineStr">
        <is>
          <t>Chemical emulsion</t>
        </is>
      </c>
      <c r="Y250" t="inlineStr">
        <is>
          <t>None</t>
        </is>
      </c>
    </row>
    <row r="251" ht="22" customHeight="1">
      <c r="A251" s="16" t="inlineStr">
        <is>
          <t>Chemical Anti-Termite Treatment</t>
        </is>
      </c>
      <c r="B251" s="76" t="inlineStr">
        <is>
          <t>All kinds of soil</t>
        </is>
      </c>
      <c r="C251" s="76" t="inlineStr">
        <is>
          <t>Manual labor (depth ≤1.5m)</t>
        </is>
      </c>
      <c r="D251" s="76" t="inlineStr">
        <is>
          <t>POST-CONSTRUCTION: drilling 12mm holes &amp; injecting</t>
        </is>
      </c>
      <c r="E251" s="28" t="inlineStr">
        <is>
          <t>10 m</t>
        </is>
      </c>
      <c r="F251" s="32" t="inlineStr">
        <is>
          <t>Material &amp; Consumables</t>
        </is>
      </c>
      <c r="G251" s="21" t="inlineStr">
        <is>
          <t>0771</t>
        </is>
      </c>
      <c r="H251" s="76" t="inlineStr">
        <is>
          <t>Kerosene oil</t>
        </is>
      </c>
      <c r="I251" s="86" t="n">
        <v>32.3</v>
      </c>
      <c r="J251" s="50" t="inlineStr">
        <is>
          <t>litre</t>
        </is>
      </c>
      <c r="K251" s="51" t="n">
        <v>50</v>
      </c>
      <c r="L251" s="84" t="n">
        <v>1615</v>
      </c>
      <c r="M251" s="52" t="n">
        <v>85.09999999999999</v>
      </c>
      <c r="N251" s="32" t="inlineStr"/>
      <c r="O251" s="39" t="inlineStr">
        <is>
          <t>68 holes @ 150mm c/c; 34 L solution</t>
        </is>
      </c>
      <c r="P251" t="inlineStr">
        <is>
          <t>Chemical Anti-Termite Treatment|All kinds of soil|Manual labor (depth ≤1.5m)|POST-CONSTRUCTION: drilling 12mm holes &amp; injecting|1</t>
        </is>
      </c>
      <c r="Q251" t="n">
        <v>1</v>
      </c>
      <c r="R251" t="n">
        <v>10</v>
      </c>
      <c r="S251" t="inlineStr">
        <is>
          <t>m</t>
        </is>
      </c>
      <c r="T251" t="n">
        <v>254</v>
      </c>
      <c r="U251" t="inlineStr">
        <is>
          <t>Electric rotary hammer drilling 12mm dia</t>
        </is>
      </c>
      <c r="V251" t="inlineStr">
        <is>
          <t>Chemical pressure injection into masonry</t>
        </is>
      </c>
      <c r="W251" t="inlineStr">
        <is>
          <t>Sealing holes with cement mortar</t>
        </is>
      </c>
      <c r="X251" t="inlineStr">
        <is>
          <t>Chemical emulsion</t>
        </is>
      </c>
      <c r="Y251" t="inlineStr">
        <is>
          <t>Mortar plug compaction</t>
        </is>
      </c>
    </row>
    <row r="252" ht="22" customHeight="1">
      <c r="A252" s="16" t="inlineStr">
        <is>
          <t>Chemical Anti-Termite Treatment</t>
        </is>
      </c>
      <c r="B252" s="76" t="inlineStr">
        <is>
          <t>All kinds of soil</t>
        </is>
      </c>
      <c r="C252" s="76" t="inlineStr">
        <is>
          <t>Manual labor (depth ≤1.5m)</t>
        </is>
      </c>
      <c r="D252" s="76" t="inlineStr">
        <is>
          <t>POST-CONSTRUCTION: drilling 12mm holes &amp; injecting</t>
        </is>
      </c>
      <c r="E252" s="28" t="inlineStr">
        <is>
          <t>10 m</t>
        </is>
      </c>
      <c r="F252" s="32" t="inlineStr">
        <is>
          <t>Labour (Skilled Tradesman)</t>
        </is>
      </c>
      <c r="G252" s="21" t="inlineStr">
        <is>
          <t>0112</t>
        </is>
      </c>
      <c r="H252" s="76" t="inlineStr">
        <is>
          <t>Carpenter 2nd class (drill &amp; plug)</t>
        </is>
      </c>
      <c r="I252" s="86" t="n">
        <v>0.2</v>
      </c>
      <c r="J252" s="50" t="inlineStr">
        <is>
          <t>day</t>
        </is>
      </c>
      <c r="K252" s="51" t="n">
        <v>679</v>
      </c>
      <c r="L252" s="84" t="n">
        <v>135.8</v>
      </c>
      <c r="M252" s="52" t="n">
        <v>7.2</v>
      </c>
      <c r="N252" s="90" t="n">
        <v>50</v>
      </c>
      <c r="O252" s="39" t="inlineStr"/>
      <c r="P252" t="inlineStr">
        <is>
          <t>Chemical Anti-Termite Treatment|All kinds of soil|Manual labor (depth ≤1.5m)|POST-CONSTRUCTION: drilling 12mm holes &amp; injecting|2</t>
        </is>
      </c>
      <c r="Q252" t="n">
        <v>2</v>
      </c>
      <c r="R252" t="n">
        <v>10</v>
      </c>
      <c r="S252" t="inlineStr">
        <is>
          <t>m</t>
        </is>
      </c>
      <c r="T252" t="n">
        <v>254</v>
      </c>
      <c r="U252" t="inlineStr">
        <is>
          <t>Electric rotary hammer drilling 12mm dia</t>
        </is>
      </c>
      <c r="V252" t="inlineStr">
        <is>
          <t>Chemical pressure injection into masonry</t>
        </is>
      </c>
      <c r="W252" t="inlineStr">
        <is>
          <t>Sealing holes with cement mortar</t>
        </is>
      </c>
      <c r="X252" t="inlineStr">
        <is>
          <t>Chemical emulsion</t>
        </is>
      </c>
      <c r="Y252" t="inlineStr">
        <is>
          <t>Mortar plug compaction</t>
        </is>
      </c>
    </row>
    <row r="253" ht="22" customHeight="1">
      <c r="A253" s="16" t="inlineStr">
        <is>
          <t>Chemical Anti-Termite Treatment</t>
        </is>
      </c>
      <c r="B253" s="76" t="inlineStr">
        <is>
          <t>All kinds of soil</t>
        </is>
      </c>
      <c r="C253" s="76" t="inlineStr">
        <is>
          <t>Manual labor (depth ≤1.5m)</t>
        </is>
      </c>
      <c r="D253" s="76" t="inlineStr">
        <is>
          <t>POST-CONSTRUCTION: drilling 12mm holes &amp; injecting</t>
        </is>
      </c>
      <c r="E253" s="28" t="inlineStr">
        <is>
          <t>10 m</t>
        </is>
      </c>
      <c r="F253" s="32" t="inlineStr">
        <is>
          <t>Labour (Semi-Skilled / Operational)</t>
        </is>
      </c>
      <c r="G253" s="21" t="inlineStr">
        <is>
          <t>0114</t>
        </is>
      </c>
      <c r="H253" s="76" t="inlineStr">
        <is>
          <t>Beldar (inject)</t>
        </is>
      </c>
      <c r="I253" s="86" t="n">
        <v>0.2</v>
      </c>
      <c r="J253" s="50" t="inlineStr">
        <is>
          <t>day</t>
        </is>
      </c>
      <c r="K253" s="51" t="n">
        <v>558</v>
      </c>
      <c r="L253" s="84" t="n">
        <v>111.6</v>
      </c>
      <c r="M253" s="52" t="n">
        <v>5.9</v>
      </c>
      <c r="N253" s="90" t="n">
        <v>50</v>
      </c>
      <c r="O253" s="39" t="inlineStr"/>
      <c r="P253" t="inlineStr">
        <is>
          <t>Chemical Anti-Termite Treatment|All kinds of soil|Manual labor (depth ≤1.5m)|POST-CONSTRUCTION: drilling 12mm holes &amp; injecting|3</t>
        </is>
      </c>
      <c r="Q253" t="n">
        <v>3</v>
      </c>
      <c r="R253" t="n">
        <v>10</v>
      </c>
      <c r="S253" t="inlineStr">
        <is>
          <t>m</t>
        </is>
      </c>
      <c r="T253" t="n">
        <v>254</v>
      </c>
      <c r="U253" t="inlineStr">
        <is>
          <t>Electric rotary hammer drilling 12mm dia</t>
        </is>
      </c>
      <c r="V253" t="inlineStr">
        <is>
          <t>Chemical pressure injection into masonry</t>
        </is>
      </c>
      <c r="W253" t="inlineStr">
        <is>
          <t>Sealing holes with cement mortar</t>
        </is>
      </c>
      <c r="X253" t="inlineStr">
        <is>
          <t>Chemical emulsion</t>
        </is>
      </c>
      <c r="Y253" t="inlineStr">
        <is>
          <t>Mortar plug compaction</t>
        </is>
      </c>
    </row>
    <row r="254" ht="22" customHeight="1">
      <c r="A254" s="16" t="inlineStr">
        <is>
          <t>Chemical Anti-Termite Treatment</t>
        </is>
      </c>
      <c r="B254" s="76" t="inlineStr">
        <is>
          <t>All kinds of soil</t>
        </is>
      </c>
      <c r="C254" s="76" t="inlineStr">
        <is>
          <t>Manual labor (depth ≤1.5m)</t>
        </is>
      </c>
      <c r="D254" s="76" t="inlineStr">
        <is>
          <t>POST-CONSTRUCTION: drilling 12mm holes &amp; injecting</t>
        </is>
      </c>
      <c r="E254" s="28" t="inlineStr">
        <is>
          <t>10 m</t>
        </is>
      </c>
      <c r="F254" s="32" t="inlineStr">
        <is>
          <t>Sundries &amp; Allowances</t>
        </is>
      </c>
      <c r="G254" s="21" t="inlineStr">
        <is>
          <t>9999</t>
        </is>
      </c>
      <c r="H254" s="76" t="inlineStr">
        <is>
          <t>Sundries</t>
        </is>
      </c>
      <c r="I254" s="86" t="n">
        <v>17.94</v>
      </c>
      <c r="J254" s="50" t="inlineStr">
        <is>
          <t>L.S.</t>
        </is>
      </c>
      <c r="K254" s="51" t="n">
        <v>2</v>
      </c>
      <c r="L254" s="84" t="n">
        <v>35.88</v>
      </c>
      <c r="M254" s="52" t="n">
        <v>1.9</v>
      </c>
      <c r="N254" s="32" t="inlineStr"/>
      <c r="O254" s="39" t="inlineStr"/>
      <c r="P254" t="inlineStr">
        <is>
          <t>Chemical Anti-Termite Treatment|All kinds of soil|Manual labor (depth ≤1.5m)|POST-CONSTRUCTION: drilling 12mm holes &amp; injecting|4</t>
        </is>
      </c>
      <c r="Q254" t="n">
        <v>4</v>
      </c>
      <c r="R254" t="n">
        <v>10</v>
      </c>
      <c r="S254" t="inlineStr">
        <is>
          <t>m</t>
        </is>
      </c>
      <c r="T254" t="n">
        <v>254</v>
      </c>
      <c r="U254" t="inlineStr">
        <is>
          <t>Electric rotary hammer drilling 12mm dia</t>
        </is>
      </c>
      <c r="V254" t="inlineStr">
        <is>
          <t>Chemical pressure injection into masonry</t>
        </is>
      </c>
      <c r="W254" t="inlineStr">
        <is>
          <t>Sealing holes with cement mortar</t>
        </is>
      </c>
      <c r="X254" t="inlineStr">
        <is>
          <t>Chemical emulsion</t>
        </is>
      </c>
      <c r="Y254" t="inlineStr">
        <is>
          <t>Mortar plug compaction</t>
        </is>
      </c>
    </row>
    <row r="255" ht="22" customHeight="1">
      <c r="A255" s="16" t="inlineStr">
        <is>
          <t>Surface Excavation (≤30 cm)</t>
        </is>
      </c>
      <c r="B255" s="76" t="inlineStr">
        <is>
          <t>All kinds of soil</t>
        </is>
      </c>
      <c r="C255" s="76" t="inlineStr">
        <is>
          <t>Manual labor (depth ≤1.5m)</t>
        </is>
      </c>
      <c r="D255" s="76" t="inlineStr">
        <is>
          <t>Levelling &amp; neatly dressing disposed soil</t>
        </is>
      </c>
      <c r="E255" s="28" t="inlineStr">
        <is>
          <t>10 cum</t>
        </is>
      </c>
      <c r="F255" s="32" t="inlineStr">
        <is>
          <t>Labour (Supervisory / Mate)</t>
        </is>
      </c>
      <c r="G255" s="21" t="inlineStr">
        <is>
          <t>0128</t>
        </is>
      </c>
      <c r="H255" s="76" t="inlineStr">
        <is>
          <t>Mate</t>
        </is>
      </c>
      <c r="I255" s="86" t="n">
        <v>0.08</v>
      </c>
      <c r="J255" s="50" t="inlineStr">
        <is>
          <t>day</t>
        </is>
      </c>
      <c r="K255" s="51" t="n">
        <v>617</v>
      </c>
      <c r="L255" s="84" t="n">
        <v>49.36</v>
      </c>
      <c r="M255" s="52" t="n">
        <v>10</v>
      </c>
      <c r="N255" s="89" t="n">
        <v>125</v>
      </c>
      <c r="O255" s="39" t="inlineStr"/>
      <c r="P255" t="inlineStr">
        <is>
          <t>Surface Excavation (≤30 cm)|All kinds of soil|Manual labor (depth ≤1.5m)|Levelling &amp; neatly dressing disposed soil|1</t>
        </is>
      </c>
      <c r="Q255" t="n">
        <v>1</v>
      </c>
      <c r="R255" t="n">
        <v>10</v>
      </c>
      <c r="S255" t="inlineStr">
        <is>
          <t>cum</t>
        </is>
      </c>
      <c r="T255" t="n">
        <v>66.34999999999999</v>
      </c>
      <c r="U255" t="inlineStr">
        <is>
          <t>Beldar rake &amp; spade</t>
        </is>
      </c>
      <c r="V255" t="inlineStr">
        <is>
          <t>On-site dressing</t>
        </is>
      </c>
      <c r="W255" t="inlineStr">
        <is>
          <t>Neat contouring</t>
        </is>
      </c>
      <c r="X255" t="inlineStr">
        <is>
          <t>None</t>
        </is>
      </c>
      <c r="Y255" t="inlineStr">
        <is>
          <t>Light ramming</t>
        </is>
      </c>
    </row>
    <row r="256" ht="22" customHeight="1">
      <c r="A256" s="16" t="inlineStr">
        <is>
          <t>Surface Excavation (≤30 cm)</t>
        </is>
      </c>
      <c r="B256" s="76" t="inlineStr">
        <is>
          <t>All kinds of soil</t>
        </is>
      </c>
      <c r="C256" s="76" t="inlineStr">
        <is>
          <t>Manual labor (depth ≤1.5m)</t>
        </is>
      </c>
      <c r="D256" s="76" t="inlineStr">
        <is>
          <t>Levelling &amp; neatly dressing disposed soil</t>
        </is>
      </c>
      <c r="E256" s="28" t="inlineStr">
        <is>
          <t>10 cum</t>
        </is>
      </c>
      <c r="F256" s="32" t="inlineStr">
        <is>
          <t>Labour (Unskilled / Haulage)</t>
        </is>
      </c>
      <c r="G256" s="21" t="inlineStr">
        <is>
          <t>0115</t>
        </is>
      </c>
      <c r="H256" s="76" t="inlineStr">
        <is>
          <t>Coolie</t>
        </is>
      </c>
      <c r="I256" s="86" t="n">
        <v>0.8</v>
      </c>
      <c r="J256" s="50" t="inlineStr">
        <is>
          <t>day</t>
        </is>
      </c>
      <c r="K256" s="51" t="n">
        <v>558</v>
      </c>
      <c r="L256" s="84" t="n">
        <v>446.4</v>
      </c>
      <c r="M256" s="52" t="n">
        <v>90</v>
      </c>
      <c r="N256" s="89" t="n">
        <v>12.5</v>
      </c>
      <c r="O256" s="39" t="inlineStr"/>
      <c r="P256" t="inlineStr">
        <is>
          <t>Surface Excavation (≤30 cm)|All kinds of soil|Manual labor (depth ≤1.5m)|Levelling &amp; neatly dressing disposed soil|2</t>
        </is>
      </c>
      <c r="Q256" t="n">
        <v>2</v>
      </c>
      <c r="R256" t="n">
        <v>10</v>
      </c>
      <c r="S256" t="inlineStr">
        <is>
          <t>cum</t>
        </is>
      </c>
      <c r="T256" t="n">
        <v>66.34999999999999</v>
      </c>
      <c r="U256" t="inlineStr">
        <is>
          <t>Beldar rake &amp; spade</t>
        </is>
      </c>
      <c r="V256" t="inlineStr">
        <is>
          <t>On-site dressing</t>
        </is>
      </c>
      <c r="W256" t="inlineStr">
        <is>
          <t>Neat contouring</t>
        </is>
      </c>
      <c r="X256" t="inlineStr">
        <is>
          <t>None</t>
        </is>
      </c>
      <c r="Y256" t="inlineStr">
        <is>
          <t>Light ramming</t>
        </is>
      </c>
    </row>
    <row r="257" ht="22" customHeight="1">
      <c r="A257" s="16" t="inlineStr">
        <is>
          <t>Backfilling &amp; Compaction</t>
        </is>
      </c>
      <c r="B257" s="76" t="inlineStr">
        <is>
          <t>All kinds of soil</t>
        </is>
      </c>
      <c r="C257" s="76" t="inlineStr">
        <is>
          <t>Manual labor (depth ≤1.5m)</t>
        </is>
      </c>
      <c r="D257" s="76" t="inlineStr">
        <is>
          <t>Supply and stacking fly ash (IRC-58)</t>
        </is>
      </c>
      <c r="E257" s="28" t="inlineStr">
        <is>
          <t>1 cum</t>
        </is>
      </c>
      <c r="F257" s="32" t="inlineStr">
        <is>
          <t>Material &amp; Consumables</t>
        </is>
      </c>
      <c r="G257" s="21" t="inlineStr">
        <is>
          <t>1980</t>
        </is>
      </c>
      <c r="H257" s="76" t="inlineStr">
        <is>
          <t>Fly ash (free at thermal power plant, royalty only)</t>
        </is>
      </c>
      <c r="I257" s="86" t="n">
        <v>1</v>
      </c>
      <c r="J257" s="50" t="inlineStr">
        <is>
          <t>cum</t>
        </is>
      </c>
      <c r="K257" s="51" t="n">
        <v>10</v>
      </c>
      <c r="L257" s="84" t="n">
        <v>10</v>
      </c>
      <c r="M257" s="52" t="n">
        <v>8.800000000000001</v>
      </c>
      <c r="N257" s="32" t="inlineStr"/>
      <c r="O257" s="39" t="inlineStr">
        <is>
          <t>Lead 35 km</t>
        </is>
      </c>
      <c r="P257" t="inlineStr">
        <is>
          <t>Backfilling &amp; Compaction|All kinds of soil|Manual labor (depth ≤1.5m)|Supply and stacking fly ash (IRC-58)|1</t>
        </is>
      </c>
      <c r="Q257" t="n">
        <v>1</v>
      </c>
      <c r="R257" t="n">
        <v>1</v>
      </c>
      <c r="S257" t="inlineStr">
        <is>
          <t>cum</t>
        </is>
      </c>
      <c r="T257" t="n">
        <v>152.2</v>
      </c>
      <c r="U257" t="inlineStr">
        <is>
          <t>Material supply (fly ash IRC-58)</t>
        </is>
      </c>
      <c r="V257" t="inlineStr">
        <is>
          <t>Unloading and stacking at site</t>
        </is>
      </c>
      <c r="W257" t="inlineStr">
        <is>
          <t>Neat stacking</t>
        </is>
      </c>
      <c r="X257" t="inlineStr">
        <is>
          <t>None</t>
        </is>
      </c>
      <c r="Y257" t="inlineStr">
        <is>
          <t>None</t>
        </is>
      </c>
    </row>
    <row r="258" ht="22" customHeight="1">
      <c r="A258" s="16" t="inlineStr">
        <is>
          <t>Backfilling &amp; Compaction</t>
        </is>
      </c>
      <c r="B258" s="76" t="inlineStr">
        <is>
          <t>All kinds of soil</t>
        </is>
      </c>
      <c r="C258" s="76" t="inlineStr">
        <is>
          <t>Manual labor (depth ≤1.5m)</t>
        </is>
      </c>
      <c r="D258" s="76" t="inlineStr">
        <is>
          <t>Supply and stacking fly ash (IRC-58)</t>
        </is>
      </c>
      <c r="E258" s="28" t="inlineStr">
        <is>
          <t>1 cum</t>
        </is>
      </c>
      <c r="F258" s="32" t="inlineStr">
        <is>
          <t>Material &amp; Consumables</t>
        </is>
      </c>
      <c r="G258" s="21" t="inlineStr">
        <is>
          <t>2262</t>
        </is>
      </c>
      <c r="H258" s="76" t="inlineStr">
        <is>
          <t>Carriage of fly ash</t>
        </is>
      </c>
      <c r="I258" s="86" t="n">
        <v>1</v>
      </c>
      <c r="J258" s="50" t="inlineStr">
        <is>
          <t>cum</t>
        </is>
      </c>
      <c r="K258" s="51" t="n">
        <v>103.77</v>
      </c>
      <c r="L258" s="84" t="n">
        <v>103.77</v>
      </c>
      <c r="M258" s="52" t="n">
        <v>91.2</v>
      </c>
      <c r="N258" s="32" t="inlineStr"/>
      <c r="O258" s="39" t="inlineStr"/>
      <c r="P258" t="inlineStr">
        <is>
          <t>Backfilling &amp; Compaction|All kinds of soil|Manual labor (depth ≤1.5m)|Supply and stacking fly ash (IRC-58)|2</t>
        </is>
      </c>
      <c r="Q258" t="n">
        <v>2</v>
      </c>
      <c r="R258" t="n">
        <v>1</v>
      </c>
      <c r="S258" t="inlineStr">
        <is>
          <t>cum</t>
        </is>
      </c>
      <c r="T258" t="n">
        <v>152.2</v>
      </c>
      <c r="U258" t="inlineStr">
        <is>
          <t>Material supply (fly ash IRC-58)</t>
        </is>
      </c>
      <c r="V258" t="inlineStr">
        <is>
          <t>Unloading and stacking at site</t>
        </is>
      </c>
      <c r="W258" t="inlineStr">
        <is>
          <t>Neat stacking</t>
        </is>
      </c>
      <c r="X258" t="inlineStr">
        <is>
          <t>None</t>
        </is>
      </c>
      <c r="Y258" t="inlineStr">
        <is>
          <t>None</t>
        </is>
      </c>
    </row>
    <row r="259" ht="22" customHeight="1">
      <c r="A259" s="16" t="inlineStr">
        <is>
          <t>Backfilling &amp; Compaction</t>
        </is>
      </c>
      <c r="B259" s="76" t="inlineStr">
        <is>
          <t>All kinds of soil</t>
        </is>
      </c>
      <c r="C259" s="76" t="inlineStr">
        <is>
          <t>Manual labor (depth ≤1.5m)</t>
        </is>
      </c>
      <c r="D259" s="76" t="inlineStr">
        <is>
          <t>Filling with fly ash and earth mix in plinth</t>
        </is>
      </c>
      <c r="E259" s="28" t="inlineStr">
        <is>
          <t>10 cum</t>
        </is>
      </c>
      <c r="F259" s="32" t="inlineStr">
        <is>
          <t>Labour (Supervisory / Mate)</t>
        </is>
      </c>
      <c r="G259" s="21" t="inlineStr">
        <is>
          <t>0128</t>
        </is>
      </c>
      <c r="H259" s="76" t="inlineStr">
        <is>
          <t>Mate</t>
        </is>
      </c>
      <c r="I259" s="86" t="n">
        <v>0.2</v>
      </c>
      <c r="J259" s="50" t="inlineStr">
        <is>
          <t>day</t>
        </is>
      </c>
      <c r="K259" s="51" t="n">
        <v>617</v>
      </c>
      <c r="L259" s="84" t="n">
        <v>123.4</v>
      </c>
      <c r="M259" s="52" t="n">
        <v>7.5</v>
      </c>
      <c r="N259" s="89" t="n">
        <v>50</v>
      </c>
      <c r="O259" s="39" t="inlineStr">
        <is>
          <t>Same norms as 2.25</t>
        </is>
      </c>
      <c r="P259" t="inlineStr">
        <is>
          <t>Backfilling &amp; Compaction|All kinds of soil|Manual labor (depth ≤1.5m)|Filling with fly ash and earth mix in plinth|1</t>
        </is>
      </c>
      <c r="Q259" t="n">
        <v>1</v>
      </c>
      <c r="R259" t="n">
        <v>10</v>
      </c>
      <c r="S259" t="inlineStr">
        <is>
          <t>cum</t>
        </is>
      </c>
      <c r="T259" t="n">
        <v>219.65</v>
      </c>
      <c r="U259" t="inlineStr">
        <is>
          <t>Available fly ash and soil mix</t>
        </is>
      </c>
      <c r="V259" t="inlineStr">
        <is>
          <t>Basket Coolie return lead ≤50m</t>
        </is>
      </c>
      <c r="W259" t="inlineStr">
        <is>
          <t>Spreading in layers ≤20 cm</t>
        </is>
      </c>
      <c r="X259" t="inlineStr">
        <is>
          <t>Watering each layer</t>
        </is>
      </c>
      <c r="Y259" t="inlineStr">
        <is>
          <t>Durmat ramming / hand compaction</t>
        </is>
      </c>
    </row>
    <row r="260" ht="22" customHeight="1">
      <c r="A260" s="16" t="inlineStr">
        <is>
          <t>Backfilling &amp; Compaction</t>
        </is>
      </c>
      <c r="B260" s="76" t="inlineStr">
        <is>
          <t>All kinds of soil</t>
        </is>
      </c>
      <c r="C260" s="76" t="inlineStr">
        <is>
          <t>Manual labor (depth ≤1.5m)</t>
        </is>
      </c>
      <c r="D260" s="76" t="inlineStr">
        <is>
          <t>Filling with fly ash and earth mix in plinth</t>
        </is>
      </c>
      <c r="E260" s="28" t="inlineStr">
        <is>
          <t>10 cum</t>
        </is>
      </c>
      <c r="F260" s="32" t="inlineStr">
        <is>
          <t>Labour (Unskilled / Haulage)</t>
        </is>
      </c>
      <c r="G260" s="21" t="inlineStr">
        <is>
          <t>0115</t>
        </is>
      </c>
      <c r="H260" s="76" t="inlineStr">
        <is>
          <t>Coolie</t>
        </is>
      </c>
      <c r="I260" s="86" t="n">
        <v>2.5</v>
      </c>
      <c r="J260" s="50" t="inlineStr">
        <is>
          <t>day</t>
        </is>
      </c>
      <c r="K260" s="51" t="n">
        <v>558</v>
      </c>
      <c r="L260" s="84" t="n">
        <v>1395</v>
      </c>
      <c r="M260" s="52" t="n">
        <v>85</v>
      </c>
      <c r="N260" s="89" t="n">
        <v>4</v>
      </c>
      <c r="O260" s="39" t="inlineStr"/>
      <c r="P260" t="inlineStr">
        <is>
          <t>Backfilling &amp; Compaction|All kinds of soil|Manual labor (depth ≤1.5m)|Filling with fly ash and earth mix in plinth|2</t>
        </is>
      </c>
      <c r="Q260" t="n">
        <v>2</v>
      </c>
      <c r="R260" t="n">
        <v>10</v>
      </c>
      <c r="S260" t="inlineStr">
        <is>
          <t>cum</t>
        </is>
      </c>
      <c r="T260" t="n">
        <v>219.65</v>
      </c>
      <c r="U260" t="inlineStr">
        <is>
          <t>Available fly ash and soil mix</t>
        </is>
      </c>
      <c r="V260" t="inlineStr">
        <is>
          <t>Basket Coolie return lead ≤50m</t>
        </is>
      </c>
      <c r="W260" t="inlineStr">
        <is>
          <t>Spreading in layers ≤20 cm</t>
        </is>
      </c>
      <c r="X260" t="inlineStr">
        <is>
          <t>Watering each layer</t>
        </is>
      </c>
      <c r="Y260" t="inlineStr">
        <is>
          <t>Durmat ramming / hand compaction</t>
        </is>
      </c>
    </row>
    <row r="261" ht="22" customHeight="1">
      <c r="A261" s="16" t="inlineStr">
        <is>
          <t>Backfilling &amp; Compaction</t>
        </is>
      </c>
      <c r="B261" s="76" t="inlineStr">
        <is>
          <t>All kinds of soil</t>
        </is>
      </c>
      <c r="C261" s="76" t="inlineStr">
        <is>
          <t>Manual labor (depth ≤1.5m)</t>
        </is>
      </c>
      <c r="D261" s="76" t="inlineStr">
        <is>
          <t>Filling with fly ash and earth mix in plinth</t>
        </is>
      </c>
      <c r="E261" s="28" t="inlineStr">
        <is>
          <t>10 cum</t>
        </is>
      </c>
      <c r="F261" s="32" t="inlineStr">
        <is>
          <t>Labour (Operational / Bhishti)</t>
        </is>
      </c>
      <c r="G261" s="21" t="inlineStr">
        <is>
          <t>0101</t>
        </is>
      </c>
      <c r="H261" s="76" t="inlineStr">
        <is>
          <t>Bhisti</t>
        </is>
      </c>
      <c r="I261" s="86" t="n">
        <v>0.2</v>
      </c>
      <c r="J261" s="50" t="inlineStr">
        <is>
          <t>day</t>
        </is>
      </c>
      <c r="K261" s="51" t="n">
        <v>617</v>
      </c>
      <c r="L261" s="84" t="n">
        <v>123.4</v>
      </c>
      <c r="M261" s="52" t="n">
        <v>7.5</v>
      </c>
      <c r="N261" s="89" t="n">
        <v>50</v>
      </c>
      <c r="O261" s="39" t="inlineStr"/>
      <c r="P261" t="inlineStr">
        <is>
          <t>Backfilling &amp; Compaction|All kinds of soil|Manual labor (depth ≤1.5m)|Filling with fly ash and earth mix in plinth|3</t>
        </is>
      </c>
      <c r="Q261" t="n">
        <v>3</v>
      </c>
      <c r="R261" t="n">
        <v>10</v>
      </c>
      <c r="S261" t="inlineStr">
        <is>
          <t>cum</t>
        </is>
      </c>
      <c r="T261" t="n">
        <v>219.65</v>
      </c>
      <c r="U261" t="inlineStr">
        <is>
          <t>Available fly ash and soil mix</t>
        </is>
      </c>
      <c r="V261" t="inlineStr">
        <is>
          <t>Basket Coolie return lead ≤50m</t>
        </is>
      </c>
      <c r="W261" t="inlineStr">
        <is>
          <t>Spreading in layers ≤20 cm</t>
        </is>
      </c>
      <c r="X261" t="inlineStr">
        <is>
          <t>Watering each layer</t>
        </is>
      </c>
      <c r="Y261" t="inlineStr">
        <is>
          <t>Durmat ramming / hand compaction</t>
        </is>
      </c>
    </row>
    <row r="262" ht="22" customHeight="1">
      <c r="A262" s="16" t="inlineStr">
        <is>
          <t>Timbering &amp; Shoring</t>
        </is>
      </c>
      <c r="B262" s="76" t="inlineStr">
        <is>
          <t>All kinds of soil</t>
        </is>
      </c>
      <c r="C262" s="76" t="inlineStr">
        <is>
          <t>Manual labor (depth ≤1.5m)</t>
        </is>
      </c>
      <c r="D262" s="76" t="inlineStr">
        <is>
          <t>Close timbering depth ≤1.5m (90 sqm face)</t>
        </is>
      </c>
      <c r="E262" s="28" t="inlineStr">
        <is>
          <t>90 sqm</t>
        </is>
      </c>
      <c r="F262" s="32" t="inlineStr">
        <is>
          <t>Material &amp; Consumables</t>
        </is>
      </c>
      <c r="G262" s="21" t="inlineStr">
        <is>
          <t>1198</t>
        </is>
      </c>
      <c r="H262" s="76" t="inlineStr">
        <is>
          <t>2nd class kail wood in planks (net ¼ x ¼)</t>
        </is>
      </c>
      <c r="I262" s="86" t="n">
        <v>21.375</v>
      </c>
      <c r="J262" s="50" t="inlineStr">
        <is>
          <t>10cudm</t>
        </is>
      </c>
      <c r="K262" s="51" t="n">
        <v>260</v>
      </c>
      <c r="L262" s="84" t="n">
        <v>5557.5</v>
      </c>
      <c r="M262" s="52" t="n">
        <v>63.6</v>
      </c>
      <c r="N262" s="32" t="inlineStr"/>
      <c r="O262" s="39" t="inlineStr">
        <is>
          <t>3420 cudm gross; 1/4 utilisation factor</t>
        </is>
      </c>
      <c r="P262" t="inlineStr">
        <is>
          <t>Timbering &amp; Shoring|All kinds of soil|Manual labor (depth ≤1.5m)|Close timbering depth ≤1.5m (90 sqm face)|1</t>
        </is>
      </c>
      <c r="Q262" t="n">
        <v>1</v>
      </c>
      <c r="R262" t="n">
        <v>90</v>
      </c>
      <c r="S262" t="inlineStr">
        <is>
          <t>sqm</t>
        </is>
      </c>
      <c r="T262" t="n">
        <v>129.95</v>
      </c>
      <c r="U262" t="inlineStr">
        <is>
          <t>Sal wood runners, open/close poling boards</t>
        </is>
      </c>
      <c r="V262" t="inlineStr">
        <is>
          <t>Lowering into trench &amp; positioning</t>
        </is>
      </c>
      <c r="W262" t="inlineStr">
        <is>
          <t>Strutting with adjustable screw jacks / timber</t>
        </is>
      </c>
      <c r="X262" t="inlineStr">
        <is>
          <t>None</t>
        </is>
      </c>
      <c r="Y262" t="inlineStr">
        <is>
          <t>Tight wedge wedging against trench sides</t>
        </is>
      </c>
    </row>
    <row r="263" ht="22" customHeight="1">
      <c r="A263" s="16" t="inlineStr">
        <is>
          <t>Timbering &amp; Shoring</t>
        </is>
      </c>
      <c r="B263" s="76" t="inlineStr">
        <is>
          <t>All kinds of soil</t>
        </is>
      </c>
      <c r="C263" s="76" t="inlineStr">
        <is>
          <t>Manual labor (depth ≤1.5m)</t>
        </is>
      </c>
      <c r="D263" s="76" t="inlineStr">
        <is>
          <t>Close timbering depth ≤1.5m (90 sqm face)</t>
        </is>
      </c>
      <c r="E263" s="28" t="inlineStr">
        <is>
          <t>90 sqm</t>
        </is>
      </c>
      <c r="F263" s="32" t="inlineStr">
        <is>
          <t>Material &amp; Consumables</t>
        </is>
      </c>
      <c r="G263" s="21" t="inlineStr">
        <is>
          <t>1197</t>
        </is>
      </c>
      <c r="H263" s="76" t="inlineStr">
        <is>
          <t>2nd class kail wood in scantling (net ¼ x ¼)</t>
        </is>
      </c>
      <c r="I263" s="86" t="n">
        <v>7.5</v>
      </c>
      <c r="J263" s="50" t="inlineStr">
        <is>
          <t>10cudm</t>
        </is>
      </c>
      <c r="K263" s="51" t="n">
        <v>260</v>
      </c>
      <c r="L263" s="84" t="n">
        <v>1950</v>
      </c>
      <c r="M263" s="52" t="n">
        <v>22.3</v>
      </c>
      <c r="N263" s="32" t="inlineStr"/>
      <c r="O263" s="39" t="inlineStr">
        <is>
          <t>1200 cudm gross</t>
        </is>
      </c>
      <c r="P263" t="inlineStr">
        <is>
          <t>Timbering &amp; Shoring|All kinds of soil|Manual labor (depth ≤1.5m)|Close timbering depth ≤1.5m (90 sqm face)|2</t>
        </is>
      </c>
      <c r="Q263" t="n">
        <v>2</v>
      </c>
      <c r="R263" t="n">
        <v>90</v>
      </c>
      <c r="S263" t="inlineStr">
        <is>
          <t>sqm</t>
        </is>
      </c>
      <c r="T263" t="n">
        <v>129.95</v>
      </c>
      <c r="U263" t="inlineStr">
        <is>
          <t>Sal wood runners, open/close poling boards</t>
        </is>
      </c>
      <c r="V263" t="inlineStr">
        <is>
          <t>Lowering into trench &amp; positioning</t>
        </is>
      </c>
      <c r="W263" t="inlineStr">
        <is>
          <t>Strutting with adjustable screw jacks / timber</t>
        </is>
      </c>
      <c r="X263" t="inlineStr">
        <is>
          <t>None</t>
        </is>
      </c>
      <c r="Y263" t="inlineStr">
        <is>
          <t>Tight wedge wedging against trench sides</t>
        </is>
      </c>
    </row>
    <row r="264" ht="22" customHeight="1">
      <c r="A264" s="16" t="inlineStr">
        <is>
          <t>Timbering &amp; Shoring</t>
        </is>
      </c>
      <c r="B264" s="76" t="inlineStr">
        <is>
          <t>All kinds of soil</t>
        </is>
      </c>
      <c r="C264" s="76" t="inlineStr">
        <is>
          <t>Manual labor (depth ≤1.5m)</t>
        </is>
      </c>
      <c r="D264" s="76" t="inlineStr">
        <is>
          <t>Close timbering depth ≤1.5m (90 sqm face)</t>
        </is>
      </c>
      <c r="E264" s="28" t="inlineStr">
        <is>
          <t>90 sqm</t>
        </is>
      </c>
      <c r="F264" s="32" t="inlineStr">
        <is>
          <t>Material &amp; Consumables</t>
        </is>
      </c>
      <c r="G264" s="21" t="inlineStr">
        <is>
          <t>0302</t>
        </is>
      </c>
      <c r="H264" s="76" t="inlineStr">
        <is>
          <t>Safeda ballies 125mm dia (net ¼)</t>
        </is>
      </c>
      <c r="I264" s="86" t="n">
        <v>3.1875</v>
      </c>
      <c r="J264" s="50" t="inlineStr">
        <is>
          <t>m</t>
        </is>
      </c>
      <c r="K264" s="51" t="n">
        <v>40</v>
      </c>
      <c r="L264" s="84" t="n">
        <v>127.5</v>
      </c>
      <c r="M264" s="52" t="n">
        <v>1.5</v>
      </c>
      <c r="N264" s="32" t="inlineStr"/>
      <c r="O264" s="39" t="inlineStr">
        <is>
          <t>51 m gross</t>
        </is>
      </c>
      <c r="P264" t="inlineStr">
        <is>
          <t>Timbering &amp; Shoring|All kinds of soil|Manual labor (depth ≤1.5m)|Close timbering depth ≤1.5m (90 sqm face)|3</t>
        </is>
      </c>
      <c r="Q264" t="n">
        <v>3</v>
      </c>
      <c r="R264" t="n">
        <v>90</v>
      </c>
      <c r="S264" t="inlineStr">
        <is>
          <t>sqm</t>
        </is>
      </c>
      <c r="T264" t="n">
        <v>129.95</v>
      </c>
      <c r="U264" t="inlineStr">
        <is>
          <t>Sal wood runners, open/close poling boards</t>
        </is>
      </c>
      <c r="V264" t="inlineStr">
        <is>
          <t>Lowering into trench &amp; positioning</t>
        </is>
      </c>
      <c r="W264" t="inlineStr">
        <is>
          <t>Strutting with adjustable screw jacks / timber</t>
        </is>
      </c>
      <c r="X264" t="inlineStr">
        <is>
          <t>None</t>
        </is>
      </c>
      <c r="Y264" t="inlineStr">
        <is>
          <t>Tight wedge wedging against trench sides</t>
        </is>
      </c>
    </row>
    <row r="265" ht="22" customHeight="1">
      <c r="A265" s="16" t="inlineStr">
        <is>
          <t>Timbering &amp; Shoring</t>
        </is>
      </c>
      <c r="B265" s="76" t="inlineStr">
        <is>
          <t>All kinds of soil</t>
        </is>
      </c>
      <c r="C265" s="76" t="inlineStr">
        <is>
          <t>Manual labor (depth ≤1.5m)</t>
        </is>
      </c>
      <c r="D265" s="76" t="inlineStr">
        <is>
          <t>Close timbering depth ≤1.5m (90 sqm face)</t>
        </is>
      </c>
      <c r="E265" s="28" t="inlineStr">
        <is>
          <t>90 sqm</t>
        </is>
      </c>
      <c r="F265" s="32" t="inlineStr">
        <is>
          <t>Material &amp; Consumables</t>
        </is>
      </c>
      <c r="G265" s="21" t="inlineStr">
        <is>
          <t>2204</t>
        </is>
      </c>
      <c r="H265" s="76" t="inlineStr">
        <is>
          <t>Carriage of timber (¼ of total)</t>
        </is>
      </c>
      <c r="I265" s="86" t="n">
        <v>1.3125</v>
      </c>
      <c r="J265" s="50" t="inlineStr">
        <is>
          <t>cum</t>
        </is>
      </c>
      <c r="K265" s="51" t="n">
        <v>118.59</v>
      </c>
      <c r="L265" s="84" t="n">
        <v>155.65</v>
      </c>
      <c r="M265" s="52" t="n">
        <v>1.8</v>
      </c>
      <c r="N265" s="32" t="inlineStr"/>
      <c r="O265" s="39" t="inlineStr">
        <is>
          <t>5.25 cum gross timber ÷ 4</t>
        </is>
      </c>
      <c r="P265" t="inlineStr">
        <is>
          <t>Timbering &amp; Shoring|All kinds of soil|Manual labor (depth ≤1.5m)|Close timbering depth ≤1.5m (90 sqm face)|4</t>
        </is>
      </c>
      <c r="Q265" t="n">
        <v>4</v>
      </c>
      <c r="R265" t="n">
        <v>90</v>
      </c>
      <c r="S265" t="inlineStr">
        <is>
          <t>sqm</t>
        </is>
      </c>
      <c r="T265" t="n">
        <v>129.95</v>
      </c>
      <c r="U265" t="inlineStr">
        <is>
          <t>Sal wood runners, open/close poling boards</t>
        </is>
      </c>
      <c r="V265" t="inlineStr">
        <is>
          <t>Lowering into trench &amp; positioning</t>
        </is>
      </c>
      <c r="W265" t="inlineStr">
        <is>
          <t>Strutting with adjustable screw jacks / timber</t>
        </is>
      </c>
      <c r="X265" t="inlineStr">
        <is>
          <t>None</t>
        </is>
      </c>
      <c r="Y265" t="inlineStr">
        <is>
          <t>Tight wedge wedging against trench sides</t>
        </is>
      </c>
    </row>
    <row r="266" ht="22" customHeight="1">
      <c r="A266" s="16" t="inlineStr">
        <is>
          <t>Timbering &amp; Shoring</t>
        </is>
      </c>
      <c r="B266" s="76" t="inlineStr">
        <is>
          <t>All kinds of soil</t>
        </is>
      </c>
      <c r="C266" s="76" t="inlineStr">
        <is>
          <t>Manual labor (depth ≤1.5m)</t>
        </is>
      </c>
      <c r="D266" s="76" t="inlineStr">
        <is>
          <t>Close timbering depth ≤1.5m (90 sqm face)</t>
        </is>
      </c>
      <c r="E266" s="28" t="inlineStr">
        <is>
          <t>90 sqm</t>
        </is>
      </c>
      <c r="F266" s="32" t="inlineStr">
        <is>
          <t>Labour (Skilled Tradesman)</t>
        </is>
      </c>
      <c r="G266" s="21" t="inlineStr">
        <is>
          <t>0112</t>
        </is>
      </c>
      <c r="H266" s="76" t="inlineStr">
        <is>
          <t>Carpenter 2nd class</t>
        </is>
      </c>
      <c r="I266" s="86" t="n">
        <v>0.5</v>
      </c>
      <c r="J266" s="50" t="inlineStr">
        <is>
          <t>day</t>
        </is>
      </c>
      <c r="K266" s="51" t="n">
        <v>679</v>
      </c>
      <c r="L266" s="84" t="n">
        <v>339.5</v>
      </c>
      <c r="M266" s="52" t="n">
        <v>3.9</v>
      </c>
      <c r="N266" s="87" t="n">
        <v>180</v>
      </c>
      <c r="O266" s="39" t="inlineStr"/>
      <c r="P266" t="inlineStr">
        <is>
          <t>Timbering &amp; Shoring|All kinds of soil|Manual labor (depth ≤1.5m)|Close timbering depth ≤1.5m (90 sqm face)|5</t>
        </is>
      </c>
      <c r="Q266" t="n">
        <v>5</v>
      </c>
      <c r="R266" t="n">
        <v>90</v>
      </c>
      <c r="S266" t="inlineStr">
        <is>
          <t>sqm</t>
        </is>
      </c>
      <c r="T266" t="n">
        <v>129.95</v>
      </c>
      <c r="U266" t="inlineStr">
        <is>
          <t>Sal wood runners, open/close poling boards</t>
        </is>
      </c>
      <c r="V266" t="inlineStr">
        <is>
          <t>Lowering into trench &amp; positioning</t>
        </is>
      </c>
      <c r="W266" t="inlineStr">
        <is>
          <t>Strutting with adjustable screw jacks / timber</t>
        </is>
      </c>
      <c r="X266" t="inlineStr">
        <is>
          <t>None</t>
        </is>
      </c>
      <c r="Y266" t="inlineStr">
        <is>
          <t>Tight wedge wedging against trench sides</t>
        </is>
      </c>
    </row>
    <row r="267" ht="22" customHeight="1">
      <c r="A267" s="16" t="inlineStr">
        <is>
          <t>Timbering &amp; Shoring</t>
        </is>
      </c>
      <c r="B267" s="76" t="inlineStr">
        <is>
          <t>All kinds of soil</t>
        </is>
      </c>
      <c r="C267" s="76" t="inlineStr">
        <is>
          <t>Manual labor (depth ≤1.5m)</t>
        </is>
      </c>
      <c r="D267" s="76" t="inlineStr">
        <is>
          <t>Close timbering depth ≤1.5m (90 sqm face)</t>
        </is>
      </c>
      <c r="E267" s="28" t="inlineStr">
        <is>
          <t>90 sqm</t>
        </is>
      </c>
      <c r="F267" s="32" t="inlineStr">
        <is>
          <t>Labour (Semi-Skilled / Operational)</t>
        </is>
      </c>
      <c r="G267" s="21" t="inlineStr">
        <is>
          <t>0114</t>
        </is>
      </c>
      <c r="H267" s="76" t="inlineStr">
        <is>
          <t>Beldar</t>
        </is>
      </c>
      <c r="I267" s="86" t="n">
        <v>1</v>
      </c>
      <c r="J267" s="50" t="inlineStr">
        <is>
          <t>day</t>
        </is>
      </c>
      <c r="K267" s="51" t="n">
        <v>558</v>
      </c>
      <c r="L267" s="84" t="n">
        <v>558</v>
      </c>
      <c r="M267" s="52" t="n">
        <v>6.4</v>
      </c>
      <c r="N267" s="87" t="n">
        <v>90</v>
      </c>
      <c r="O267" s="39" t="inlineStr"/>
      <c r="P267" t="inlineStr">
        <is>
          <t>Timbering &amp; Shoring|All kinds of soil|Manual labor (depth ≤1.5m)|Close timbering depth ≤1.5m (90 sqm face)|6</t>
        </is>
      </c>
      <c r="Q267" t="n">
        <v>6</v>
      </c>
      <c r="R267" t="n">
        <v>90</v>
      </c>
      <c r="S267" t="inlineStr">
        <is>
          <t>sqm</t>
        </is>
      </c>
      <c r="T267" t="n">
        <v>129.95</v>
      </c>
      <c r="U267" t="inlineStr">
        <is>
          <t>Sal wood runners, open/close poling boards</t>
        </is>
      </c>
      <c r="V267" t="inlineStr">
        <is>
          <t>Lowering into trench &amp; positioning</t>
        </is>
      </c>
      <c r="W267" t="inlineStr">
        <is>
          <t>Strutting with adjustable screw jacks / timber</t>
        </is>
      </c>
      <c r="X267" t="inlineStr">
        <is>
          <t>None</t>
        </is>
      </c>
      <c r="Y267" t="inlineStr">
        <is>
          <t>Tight wedge wedging against trench sides</t>
        </is>
      </c>
    </row>
    <row r="268" ht="22" customHeight="1">
      <c r="A268" s="16" t="inlineStr">
        <is>
          <t>Timbering &amp; Shoring</t>
        </is>
      </c>
      <c r="B268" s="76" t="inlineStr">
        <is>
          <t>All kinds of soil</t>
        </is>
      </c>
      <c r="C268" s="76" t="inlineStr">
        <is>
          <t>Manual labor (depth ≤1.5m)</t>
        </is>
      </c>
      <c r="D268" s="76" t="inlineStr">
        <is>
          <t>Close timbering depth ≤1.5m (90 sqm face)</t>
        </is>
      </c>
      <c r="E268" s="28" t="inlineStr">
        <is>
          <t>90 sqm</t>
        </is>
      </c>
      <c r="F268" s="32" t="inlineStr">
        <is>
          <t>Sundries &amp; Allowances</t>
        </is>
      </c>
      <c r="G268" s="21" t="inlineStr">
        <is>
          <t>9999</t>
        </is>
      </c>
      <c r="H268" s="76" t="inlineStr">
        <is>
          <t>Sundries</t>
        </is>
      </c>
      <c r="I268" s="86" t="n">
        <v>26.91</v>
      </c>
      <c r="J268" s="50" t="inlineStr">
        <is>
          <t>L.S.</t>
        </is>
      </c>
      <c r="K268" s="51" t="n">
        <v>2</v>
      </c>
      <c r="L268" s="84" t="n">
        <v>53.82</v>
      </c>
      <c r="M268" s="52" t="n">
        <v>0.6</v>
      </c>
      <c r="N268" s="32" t="inlineStr"/>
      <c r="O268" s="39" t="inlineStr"/>
      <c r="P268" t="inlineStr">
        <is>
          <t>Timbering &amp; Shoring|All kinds of soil|Manual labor (depth ≤1.5m)|Close timbering depth ≤1.5m (90 sqm face)|7</t>
        </is>
      </c>
      <c r="Q268" t="n">
        <v>7</v>
      </c>
      <c r="R268" t="n">
        <v>90</v>
      </c>
      <c r="S268" t="inlineStr">
        <is>
          <t>sqm</t>
        </is>
      </c>
      <c r="T268" t="n">
        <v>129.95</v>
      </c>
      <c r="U268" t="inlineStr">
        <is>
          <t>Sal wood runners, open/close poling boards</t>
        </is>
      </c>
      <c r="V268" t="inlineStr">
        <is>
          <t>Lowering into trench &amp; positioning</t>
        </is>
      </c>
      <c r="W268" t="inlineStr">
        <is>
          <t>Strutting with adjustable screw jacks / timber</t>
        </is>
      </c>
      <c r="X268" t="inlineStr">
        <is>
          <t>None</t>
        </is>
      </c>
      <c r="Y268" t="inlineStr">
        <is>
          <t>Tight wedge wedging against trench sides</t>
        </is>
      </c>
    </row>
    <row r="269" ht="22" customHeight="1">
      <c r="A269" s="16" t="inlineStr">
        <is>
          <t>Timbering &amp; Shoring</t>
        </is>
      </c>
      <c r="B269" s="76" t="inlineStr">
        <is>
          <t>All kinds of soil</t>
        </is>
      </c>
      <c r="C269" s="76" t="inlineStr">
        <is>
          <t>Extra depth &gt;1.5m to 3.0m</t>
        </is>
      </c>
      <c r="D269" s="76" t="inlineStr">
        <is>
          <t>Close timbering depth 1.5m-3.0m (90 sqm face)</t>
        </is>
      </c>
      <c r="E269" s="28" t="inlineStr">
        <is>
          <t>90 sqm</t>
        </is>
      </c>
      <c r="F269" s="32" t="inlineStr">
        <is>
          <t>Material &amp; Consumables</t>
        </is>
      </c>
      <c r="G269" s="21" t="inlineStr">
        <is>
          <t>1198</t>
        </is>
      </c>
      <c r="H269" s="76" t="inlineStr">
        <is>
          <t>2nd class kail wood in planks (net ¼ x ¼)</t>
        </is>
      </c>
      <c r="I269" s="86" t="n">
        <v>21.375</v>
      </c>
      <c r="J269" s="50" t="inlineStr">
        <is>
          <t>10cudm</t>
        </is>
      </c>
      <c r="K269" s="51" t="n">
        <v>260</v>
      </c>
      <c r="L269" s="84" t="n">
        <v>5557.5</v>
      </c>
      <c r="M269" s="52" t="n">
        <v>58.5</v>
      </c>
      <c r="N269" s="32" t="inlineStr"/>
      <c r="O269" s="39" t="inlineStr">
        <is>
          <t>Same timber; more labour for deeper trench</t>
        </is>
      </c>
      <c r="P269" t="inlineStr">
        <is>
          <t>Timbering &amp; Shoring|All kinds of soil|Extra depth &gt;1.5m to 3.0m|Close timbering depth 1.5m-3.0m (90 sqm face)|1</t>
        </is>
      </c>
      <c r="Q269" t="n">
        <v>1</v>
      </c>
      <c r="R269" t="n">
        <v>90</v>
      </c>
      <c r="S269" t="inlineStr">
        <is>
          <t>sqm</t>
        </is>
      </c>
      <c r="T269" t="n">
        <v>141.2</v>
      </c>
      <c r="U269" t="inlineStr">
        <is>
          <t>Sal wood runners, open/close poling boards</t>
        </is>
      </c>
      <c r="V269" t="inlineStr">
        <is>
          <t>Lowering into trench &amp; positioning</t>
        </is>
      </c>
      <c r="W269" t="inlineStr">
        <is>
          <t>Strutting with adjustable screw jacks / timber</t>
        </is>
      </c>
      <c r="X269" t="inlineStr">
        <is>
          <t>None</t>
        </is>
      </c>
      <c r="Y269" t="inlineStr">
        <is>
          <t>Tight wedge wedging against trench sides</t>
        </is>
      </c>
    </row>
    <row r="270" ht="22" customHeight="1">
      <c r="A270" s="16" t="inlineStr">
        <is>
          <t>Timbering &amp; Shoring</t>
        </is>
      </c>
      <c r="B270" s="76" t="inlineStr">
        <is>
          <t>All kinds of soil</t>
        </is>
      </c>
      <c r="C270" s="76" t="inlineStr">
        <is>
          <t>Extra depth &gt;1.5m to 3.0m</t>
        </is>
      </c>
      <c r="D270" s="76" t="inlineStr">
        <is>
          <t>Close timbering depth 1.5m-3.0m (90 sqm face)</t>
        </is>
      </c>
      <c r="E270" s="28" t="inlineStr">
        <is>
          <t>90 sqm</t>
        </is>
      </c>
      <c r="F270" s="32" t="inlineStr">
        <is>
          <t>Material &amp; Consumables</t>
        </is>
      </c>
      <c r="G270" s="21" t="inlineStr">
        <is>
          <t>1197</t>
        </is>
      </c>
      <c r="H270" s="76" t="inlineStr">
        <is>
          <t>2nd class kail wood in scantling (net ¼ x ¼)</t>
        </is>
      </c>
      <c r="I270" s="86" t="n">
        <v>7.5</v>
      </c>
      <c r="J270" s="50" t="inlineStr">
        <is>
          <t>10cudm</t>
        </is>
      </c>
      <c r="K270" s="51" t="n">
        <v>260</v>
      </c>
      <c r="L270" s="84" t="n">
        <v>1950</v>
      </c>
      <c r="M270" s="52" t="n">
        <v>20.5</v>
      </c>
      <c r="N270" s="32" t="inlineStr"/>
      <c r="O270" s="39" t="inlineStr"/>
      <c r="P270" t="inlineStr">
        <is>
          <t>Timbering &amp; Shoring|All kinds of soil|Extra depth &gt;1.5m to 3.0m|Close timbering depth 1.5m-3.0m (90 sqm face)|2</t>
        </is>
      </c>
      <c r="Q270" t="n">
        <v>2</v>
      </c>
      <c r="R270" t="n">
        <v>90</v>
      </c>
      <c r="S270" t="inlineStr">
        <is>
          <t>sqm</t>
        </is>
      </c>
      <c r="T270" t="n">
        <v>141.2</v>
      </c>
      <c r="U270" t="inlineStr">
        <is>
          <t>Sal wood runners, open/close poling boards</t>
        </is>
      </c>
      <c r="V270" t="inlineStr">
        <is>
          <t>Lowering into trench &amp; positioning</t>
        </is>
      </c>
      <c r="W270" t="inlineStr">
        <is>
          <t>Strutting with adjustable screw jacks / timber</t>
        </is>
      </c>
      <c r="X270" t="inlineStr">
        <is>
          <t>None</t>
        </is>
      </c>
      <c r="Y270" t="inlineStr">
        <is>
          <t>Tight wedge wedging against trench sides</t>
        </is>
      </c>
    </row>
    <row r="271" ht="22" customHeight="1">
      <c r="A271" s="16" t="inlineStr">
        <is>
          <t>Timbering &amp; Shoring</t>
        </is>
      </c>
      <c r="B271" s="76" t="inlineStr">
        <is>
          <t>All kinds of soil</t>
        </is>
      </c>
      <c r="C271" s="76" t="inlineStr">
        <is>
          <t>Extra depth &gt;1.5m to 3.0m</t>
        </is>
      </c>
      <c r="D271" s="76" t="inlineStr">
        <is>
          <t>Close timbering depth 1.5m-3.0m (90 sqm face)</t>
        </is>
      </c>
      <c r="E271" s="28" t="inlineStr">
        <is>
          <t>90 sqm</t>
        </is>
      </c>
      <c r="F271" s="32" t="inlineStr">
        <is>
          <t>Material &amp; Consumables</t>
        </is>
      </c>
      <c r="G271" s="21" t="inlineStr">
        <is>
          <t>0302</t>
        </is>
      </c>
      <c r="H271" s="76" t="inlineStr">
        <is>
          <t>Safeda ballies 125mm dia (net ¼)</t>
        </is>
      </c>
      <c r="I271" s="86" t="n">
        <v>3.1875</v>
      </c>
      <c r="J271" s="50" t="inlineStr">
        <is>
          <t>m</t>
        </is>
      </c>
      <c r="K271" s="51" t="n">
        <v>40</v>
      </c>
      <c r="L271" s="84" t="n">
        <v>127.5</v>
      </c>
      <c r="M271" s="52" t="n">
        <v>1.3</v>
      </c>
      <c r="N271" s="32" t="inlineStr"/>
      <c r="O271" s="39" t="inlineStr"/>
      <c r="P271" t="inlineStr">
        <is>
          <t>Timbering &amp; Shoring|All kinds of soil|Extra depth &gt;1.5m to 3.0m|Close timbering depth 1.5m-3.0m (90 sqm face)|3</t>
        </is>
      </c>
      <c r="Q271" t="n">
        <v>3</v>
      </c>
      <c r="R271" t="n">
        <v>90</v>
      </c>
      <c r="S271" t="inlineStr">
        <is>
          <t>sqm</t>
        </is>
      </c>
      <c r="T271" t="n">
        <v>141.2</v>
      </c>
      <c r="U271" t="inlineStr">
        <is>
          <t>Sal wood runners, open/close poling boards</t>
        </is>
      </c>
      <c r="V271" t="inlineStr">
        <is>
          <t>Lowering into trench &amp; positioning</t>
        </is>
      </c>
      <c r="W271" t="inlineStr">
        <is>
          <t>Strutting with adjustable screw jacks / timber</t>
        </is>
      </c>
      <c r="X271" t="inlineStr">
        <is>
          <t>None</t>
        </is>
      </c>
      <c r="Y271" t="inlineStr">
        <is>
          <t>Tight wedge wedging against trench sides</t>
        </is>
      </c>
    </row>
    <row r="272" ht="22" customHeight="1">
      <c r="A272" s="16" t="inlineStr">
        <is>
          <t>Timbering &amp; Shoring</t>
        </is>
      </c>
      <c r="B272" s="76" t="inlineStr">
        <is>
          <t>All kinds of soil</t>
        </is>
      </c>
      <c r="C272" s="76" t="inlineStr">
        <is>
          <t>Extra depth &gt;1.5m to 3.0m</t>
        </is>
      </c>
      <c r="D272" s="76" t="inlineStr">
        <is>
          <t>Close timbering depth 1.5m-3.0m (90 sqm face)</t>
        </is>
      </c>
      <c r="E272" s="28" t="inlineStr">
        <is>
          <t>90 sqm</t>
        </is>
      </c>
      <c r="F272" s="32" t="inlineStr">
        <is>
          <t>Material &amp; Consumables</t>
        </is>
      </c>
      <c r="G272" s="21" t="inlineStr">
        <is>
          <t>2204</t>
        </is>
      </c>
      <c r="H272" s="76" t="inlineStr">
        <is>
          <t>Carriage of timber (¼ of total)</t>
        </is>
      </c>
      <c r="I272" s="86" t="n">
        <v>1.3125</v>
      </c>
      <c r="J272" s="50" t="inlineStr">
        <is>
          <t>cum</t>
        </is>
      </c>
      <c r="K272" s="51" t="n">
        <v>118.59</v>
      </c>
      <c r="L272" s="84" t="n">
        <v>155.65</v>
      </c>
      <c r="M272" s="52" t="n">
        <v>1.6</v>
      </c>
      <c r="N272" s="32" t="inlineStr"/>
      <c r="O272" s="39" t="inlineStr"/>
      <c r="P272" t="inlineStr">
        <is>
          <t>Timbering &amp; Shoring|All kinds of soil|Extra depth &gt;1.5m to 3.0m|Close timbering depth 1.5m-3.0m (90 sqm face)|4</t>
        </is>
      </c>
      <c r="Q272" t="n">
        <v>4</v>
      </c>
      <c r="R272" t="n">
        <v>90</v>
      </c>
      <c r="S272" t="inlineStr">
        <is>
          <t>sqm</t>
        </is>
      </c>
      <c r="T272" t="n">
        <v>141.2</v>
      </c>
      <c r="U272" t="inlineStr">
        <is>
          <t>Sal wood runners, open/close poling boards</t>
        </is>
      </c>
      <c r="V272" t="inlineStr">
        <is>
          <t>Lowering into trench &amp; positioning</t>
        </is>
      </c>
      <c r="W272" t="inlineStr">
        <is>
          <t>Strutting with adjustable screw jacks / timber</t>
        </is>
      </c>
      <c r="X272" t="inlineStr">
        <is>
          <t>None</t>
        </is>
      </c>
      <c r="Y272" t="inlineStr">
        <is>
          <t>Tight wedge wedging against trench sides</t>
        </is>
      </c>
    </row>
    <row r="273" ht="22" customHeight="1">
      <c r="A273" s="16" t="inlineStr">
        <is>
          <t>Timbering &amp; Shoring</t>
        </is>
      </c>
      <c r="B273" s="76" t="inlineStr">
        <is>
          <t>All kinds of soil</t>
        </is>
      </c>
      <c r="C273" s="76" t="inlineStr">
        <is>
          <t>Extra depth &gt;1.5m to 3.0m</t>
        </is>
      </c>
      <c r="D273" s="76" t="inlineStr">
        <is>
          <t>Close timbering depth 1.5m-3.0m (90 sqm face)</t>
        </is>
      </c>
      <c r="E273" s="28" t="inlineStr">
        <is>
          <t>90 sqm</t>
        </is>
      </c>
      <c r="F273" s="32" t="inlineStr">
        <is>
          <t>Labour (Skilled Tradesman)</t>
        </is>
      </c>
      <c r="G273" s="21" t="inlineStr">
        <is>
          <t>0112</t>
        </is>
      </c>
      <c r="H273" s="76" t="inlineStr">
        <is>
          <t>Carpenter 2nd class</t>
        </is>
      </c>
      <c r="I273" s="86" t="n">
        <v>0.75</v>
      </c>
      <c r="J273" s="50" t="inlineStr">
        <is>
          <t>day</t>
        </is>
      </c>
      <c r="K273" s="51" t="n">
        <v>679</v>
      </c>
      <c r="L273" s="84" t="n">
        <v>509.25</v>
      </c>
      <c r="M273" s="52" t="n">
        <v>5.4</v>
      </c>
      <c r="N273" s="87" t="n">
        <v>120</v>
      </c>
      <c r="O273" s="39" t="inlineStr"/>
      <c r="P273" t="inlineStr">
        <is>
          <t>Timbering &amp; Shoring|All kinds of soil|Extra depth &gt;1.5m to 3.0m|Close timbering depth 1.5m-3.0m (90 sqm face)|5</t>
        </is>
      </c>
      <c r="Q273" t="n">
        <v>5</v>
      </c>
      <c r="R273" t="n">
        <v>90</v>
      </c>
      <c r="S273" t="inlineStr">
        <is>
          <t>sqm</t>
        </is>
      </c>
      <c r="T273" t="n">
        <v>141.2</v>
      </c>
      <c r="U273" t="inlineStr">
        <is>
          <t>Sal wood runners, open/close poling boards</t>
        </is>
      </c>
      <c r="V273" t="inlineStr">
        <is>
          <t>Lowering into trench &amp; positioning</t>
        </is>
      </c>
      <c r="W273" t="inlineStr">
        <is>
          <t>Strutting with adjustable screw jacks / timber</t>
        </is>
      </c>
      <c r="X273" t="inlineStr">
        <is>
          <t>None</t>
        </is>
      </c>
      <c r="Y273" t="inlineStr">
        <is>
          <t>Tight wedge wedging against trench sides</t>
        </is>
      </c>
    </row>
    <row r="274" ht="22" customHeight="1">
      <c r="A274" s="16" t="inlineStr">
        <is>
          <t>Timbering &amp; Shoring</t>
        </is>
      </c>
      <c r="B274" s="76" t="inlineStr">
        <is>
          <t>All kinds of soil</t>
        </is>
      </c>
      <c r="C274" s="76" t="inlineStr">
        <is>
          <t>Extra depth &gt;1.5m to 3.0m</t>
        </is>
      </c>
      <c r="D274" s="76" t="inlineStr">
        <is>
          <t>Close timbering depth 1.5m-3.0m (90 sqm face)</t>
        </is>
      </c>
      <c r="E274" s="28" t="inlineStr">
        <is>
          <t>90 sqm</t>
        </is>
      </c>
      <c r="F274" s="32" t="inlineStr">
        <is>
          <t>Labour (Semi-Skilled / Operational)</t>
        </is>
      </c>
      <c r="G274" s="21" t="inlineStr">
        <is>
          <t>0114</t>
        </is>
      </c>
      <c r="H274" s="76" t="inlineStr">
        <is>
          <t>Beldar</t>
        </is>
      </c>
      <c r="I274" s="86" t="n">
        <v>2</v>
      </c>
      <c r="J274" s="50" t="inlineStr">
        <is>
          <t>day</t>
        </is>
      </c>
      <c r="K274" s="51" t="n">
        <v>558</v>
      </c>
      <c r="L274" s="84" t="n">
        <v>1116</v>
      </c>
      <c r="M274" s="52" t="n">
        <v>11.8</v>
      </c>
      <c r="N274" s="87" t="n">
        <v>45</v>
      </c>
      <c r="O274" s="39" t="inlineStr"/>
      <c r="P274" t="inlineStr">
        <is>
          <t>Timbering &amp; Shoring|All kinds of soil|Extra depth &gt;1.5m to 3.0m|Close timbering depth 1.5m-3.0m (90 sqm face)|6</t>
        </is>
      </c>
      <c r="Q274" t="n">
        <v>6</v>
      </c>
      <c r="R274" t="n">
        <v>90</v>
      </c>
      <c r="S274" t="inlineStr">
        <is>
          <t>sqm</t>
        </is>
      </c>
      <c r="T274" t="n">
        <v>141.2</v>
      </c>
      <c r="U274" t="inlineStr">
        <is>
          <t>Sal wood runners, open/close poling boards</t>
        </is>
      </c>
      <c r="V274" t="inlineStr">
        <is>
          <t>Lowering into trench &amp; positioning</t>
        </is>
      </c>
      <c r="W274" t="inlineStr">
        <is>
          <t>Strutting with adjustable screw jacks / timber</t>
        </is>
      </c>
      <c r="X274" t="inlineStr">
        <is>
          <t>None</t>
        </is>
      </c>
      <c r="Y274" t="inlineStr">
        <is>
          <t>Tight wedge wedging against trench sides</t>
        </is>
      </c>
    </row>
    <row r="275" ht="22" customHeight="1">
      <c r="A275" s="16" t="inlineStr">
        <is>
          <t>Timbering &amp; Shoring</t>
        </is>
      </c>
      <c r="B275" s="76" t="inlineStr">
        <is>
          <t>All kinds of soil</t>
        </is>
      </c>
      <c r="C275" s="76" t="inlineStr">
        <is>
          <t>Extra depth &gt;1.5m to 3.0m</t>
        </is>
      </c>
      <c r="D275" s="76" t="inlineStr">
        <is>
          <t>Close timbering depth 1.5m-3.0m (90 sqm face)</t>
        </is>
      </c>
      <c r="E275" s="28" t="inlineStr">
        <is>
          <t>90 sqm</t>
        </is>
      </c>
      <c r="F275" s="32" t="inlineStr">
        <is>
          <t>Sundries &amp; Allowances</t>
        </is>
      </c>
      <c r="G275" s="21" t="inlineStr">
        <is>
          <t>9999</t>
        </is>
      </c>
      <c r="H275" s="76" t="inlineStr">
        <is>
          <t>Sundries</t>
        </is>
      </c>
      <c r="I275" s="86" t="n">
        <v>40.43</v>
      </c>
      <c r="J275" s="50" t="inlineStr">
        <is>
          <t>L.S.</t>
        </is>
      </c>
      <c r="K275" s="51" t="n">
        <v>2</v>
      </c>
      <c r="L275" s="84" t="n">
        <v>80.86</v>
      </c>
      <c r="M275" s="52" t="n">
        <v>0.9</v>
      </c>
      <c r="N275" s="32" t="inlineStr"/>
      <c r="O275" s="39" t="inlineStr"/>
      <c r="P275" t="inlineStr">
        <is>
          <t>Timbering &amp; Shoring|All kinds of soil|Extra depth &gt;1.5m to 3.0m|Close timbering depth 1.5m-3.0m (90 sqm face)|7</t>
        </is>
      </c>
      <c r="Q275" t="n">
        <v>7</v>
      </c>
      <c r="R275" t="n">
        <v>90</v>
      </c>
      <c r="S275" t="inlineStr">
        <is>
          <t>sqm</t>
        </is>
      </c>
      <c r="T275" t="n">
        <v>141.2</v>
      </c>
      <c r="U275" t="inlineStr">
        <is>
          <t>Sal wood runners, open/close poling boards</t>
        </is>
      </c>
      <c r="V275" t="inlineStr">
        <is>
          <t>Lowering into trench &amp; positioning</t>
        </is>
      </c>
      <c r="W275" t="inlineStr">
        <is>
          <t>Strutting with adjustable screw jacks / timber</t>
        </is>
      </c>
      <c r="X275" t="inlineStr">
        <is>
          <t>None</t>
        </is>
      </c>
      <c r="Y275" t="inlineStr">
        <is>
          <t>Tight wedge wedging against trench sides</t>
        </is>
      </c>
    </row>
    <row r="276" ht="22" customHeight="1">
      <c r="A276" s="16" t="inlineStr">
        <is>
          <t>Timbering &amp; Shoring</t>
        </is>
      </c>
      <c r="B276" s="76" t="inlineStr">
        <is>
          <t>All kinds of soil</t>
        </is>
      </c>
      <c r="C276" s="76" t="inlineStr">
        <is>
          <t>Extra depth &gt;3.0m to 4.5m</t>
        </is>
      </c>
      <c r="D276" s="76" t="inlineStr">
        <is>
          <t>Close timbering depth 3.0m-4.5m (90 sqm face)</t>
        </is>
      </c>
      <c r="E276" s="28" t="inlineStr">
        <is>
          <t>90 sqm</t>
        </is>
      </c>
      <c r="F276" s="32" t="inlineStr">
        <is>
          <t>Material &amp; Consumables</t>
        </is>
      </c>
      <c r="G276" s="21" t="inlineStr">
        <is>
          <t>1198</t>
        </is>
      </c>
      <c r="H276" s="76" t="inlineStr">
        <is>
          <t>2nd class kail wood in planks (net ¼ x ¼)</t>
        </is>
      </c>
      <c r="I276" s="86" t="n">
        <v>21.375</v>
      </c>
      <c r="J276" s="50" t="inlineStr">
        <is>
          <t>10cudm</t>
        </is>
      </c>
      <c r="K276" s="51" t="n">
        <v>260</v>
      </c>
      <c r="L276" s="84" t="n">
        <v>5557.5</v>
      </c>
      <c r="M276" s="52" t="n">
        <v>49.6</v>
      </c>
      <c r="N276" s="32" t="inlineStr"/>
      <c r="O276" s="39" t="inlineStr"/>
      <c r="P276" t="inlineStr">
        <is>
          <t>Timbering &amp; Shoring|All kinds of soil|Extra depth &gt;3.0m to 4.5m|Close timbering depth 3.0m-4.5m (90 sqm face)|1</t>
        </is>
      </c>
      <c r="Q276" t="n">
        <v>1</v>
      </c>
      <c r="R276" t="n">
        <v>90</v>
      </c>
      <c r="S276" t="inlineStr">
        <is>
          <t>sqm</t>
        </is>
      </c>
      <c r="T276" t="n">
        <v>166.55</v>
      </c>
      <c r="U276" t="inlineStr">
        <is>
          <t>Sal wood runners, open/close poling boards</t>
        </is>
      </c>
      <c r="V276" t="inlineStr">
        <is>
          <t>Lowering into trench &amp; positioning</t>
        </is>
      </c>
      <c r="W276" t="inlineStr">
        <is>
          <t>Strutting with adjustable screw jacks / timber</t>
        </is>
      </c>
      <c r="X276" t="inlineStr">
        <is>
          <t>None</t>
        </is>
      </c>
      <c r="Y276" t="inlineStr">
        <is>
          <t>Tight wedge wedging against trench sides</t>
        </is>
      </c>
    </row>
    <row r="277" ht="22" customHeight="1">
      <c r="A277" s="16" t="inlineStr">
        <is>
          <t>Timbering &amp; Shoring</t>
        </is>
      </c>
      <c r="B277" s="76" t="inlineStr">
        <is>
          <t>All kinds of soil</t>
        </is>
      </c>
      <c r="C277" s="76" t="inlineStr">
        <is>
          <t>Extra depth &gt;3.0m to 4.5m</t>
        </is>
      </c>
      <c r="D277" s="76" t="inlineStr">
        <is>
          <t>Close timbering depth 3.0m-4.5m (90 sqm face)</t>
        </is>
      </c>
      <c r="E277" s="28" t="inlineStr">
        <is>
          <t>90 sqm</t>
        </is>
      </c>
      <c r="F277" s="32" t="inlineStr">
        <is>
          <t>Material &amp; Consumables</t>
        </is>
      </c>
      <c r="G277" s="21" t="inlineStr">
        <is>
          <t>1197</t>
        </is>
      </c>
      <c r="H277" s="76" t="inlineStr">
        <is>
          <t>2nd class kail wood in scantling (net ¼ x ¼)</t>
        </is>
      </c>
      <c r="I277" s="86" t="n">
        <v>7.5</v>
      </c>
      <c r="J277" s="50" t="inlineStr">
        <is>
          <t>10cudm</t>
        </is>
      </c>
      <c r="K277" s="51" t="n">
        <v>260</v>
      </c>
      <c r="L277" s="84" t="n">
        <v>1950</v>
      </c>
      <c r="M277" s="52" t="n">
        <v>17.4</v>
      </c>
      <c r="N277" s="32" t="inlineStr"/>
      <c r="O277" s="39" t="inlineStr"/>
      <c r="P277" t="inlineStr">
        <is>
          <t>Timbering &amp; Shoring|All kinds of soil|Extra depth &gt;3.0m to 4.5m|Close timbering depth 3.0m-4.5m (90 sqm face)|2</t>
        </is>
      </c>
      <c r="Q277" t="n">
        <v>2</v>
      </c>
      <c r="R277" t="n">
        <v>90</v>
      </c>
      <c r="S277" t="inlineStr">
        <is>
          <t>sqm</t>
        </is>
      </c>
      <c r="T277" t="n">
        <v>166.55</v>
      </c>
      <c r="U277" t="inlineStr">
        <is>
          <t>Sal wood runners, open/close poling boards</t>
        </is>
      </c>
      <c r="V277" t="inlineStr">
        <is>
          <t>Lowering into trench &amp; positioning</t>
        </is>
      </c>
      <c r="W277" t="inlineStr">
        <is>
          <t>Strutting with adjustable screw jacks / timber</t>
        </is>
      </c>
      <c r="X277" t="inlineStr">
        <is>
          <t>None</t>
        </is>
      </c>
      <c r="Y277" t="inlineStr">
        <is>
          <t>Tight wedge wedging against trench sides</t>
        </is>
      </c>
    </row>
    <row r="278" ht="22" customHeight="1">
      <c r="A278" s="16" t="inlineStr">
        <is>
          <t>Timbering &amp; Shoring</t>
        </is>
      </c>
      <c r="B278" s="76" t="inlineStr">
        <is>
          <t>All kinds of soil</t>
        </is>
      </c>
      <c r="C278" s="76" t="inlineStr">
        <is>
          <t>Extra depth &gt;3.0m to 4.5m</t>
        </is>
      </c>
      <c r="D278" s="76" t="inlineStr">
        <is>
          <t>Close timbering depth 3.0m-4.5m (90 sqm face)</t>
        </is>
      </c>
      <c r="E278" s="28" t="inlineStr">
        <is>
          <t>90 sqm</t>
        </is>
      </c>
      <c r="F278" s="32" t="inlineStr">
        <is>
          <t>Material &amp; Consumables</t>
        </is>
      </c>
      <c r="G278" s="21" t="inlineStr">
        <is>
          <t>0302</t>
        </is>
      </c>
      <c r="H278" s="76" t="inlineStr">
        <is>
          <t>Safeda ballies 125mm dia (net ¼)</t>
        </is>
      </c>
      <c r="I278" s="86" t="n">
        <v>3.1875</v>
      </c>
      <c r="J278" s="50" t="inlineStr">
        <is>
          <t>m</t>
        </is>
      </c>
      <c r="K278" s="51" t="n">
        <v>40</v>
      </c>
      <c r="L278" s="84" t="n">
        <v>127.5</v>
      </c>
      <c r="M278" s="52" t="n">
        <v>1.1</v>
      </c>
      <c r="N278" s="32" t="inlineStr"/>
      <c r="O278" s="39" t="inlineStr"/>
      <c r="P278" t="inlineStr">
        <is>
          <t>Timbering &amp; Shoring|All kinds of soil|Extra depth &gt;3.0m to 4.5m|Close timbering depth 3.0m-4.5m (90 sqm face)|3</t>
        </is>
      </c>
      <c r="Q278" t="n">
        <v>3</v>
      </c>
      <c r="R278" t="n">
        <v>90</v>
      </c>
      <c r="S278" t="inlineStr">
        <is>
          <t>sqm</t>
        </is>
      </c>
      <c r="T278" t="n">
        <v>166.55</v>
      </c>
      <c r="U278" t="inlineStr">
        <is>
          <t>Sal wood runners, open/close poling boards</t>
        </is>
      </c>
      <c r="V278" t="inlineStr">
        <is>
          <t>Lowering into trench &amp; positioning</t>
        </is>
      </c>
      <c r="W278" t="inlineStr">
        <is>
          <t>Strutting with adjustable screw jacks / timber</t>
        </is>
      </c>
      <c r="X278" t="inlineStr">
        <is>
          <t>None</t>
        </is>
      </c>
      <c r="Y278" t="inlineStr">
        <is>
          <t>Tight wedge wedging against trench sides</t>
        </is>
      </c>
    </row>
    <row r="279" ht="22" customHeight="1">
      <c r="A279" s="16" t="inlineStr">
        <is>
          <t>Timbering &amp; Shoring</t>
        </is>
      </c>
      <c r="B279" s="76" t="inlineStr">
        <is>
          <t>All kinds of soil</t>
        </is>
      </c>
      <c r="C279" s="76" t="inlineStr">
        <is>
          <t>Extra depth &gt;3.0m to 4.5m</t>
        </is>
      </c>
      <c r="D279" s="76" t="inlineStr">
        <is>
          <t>Close timbering depth 3.0m-4.5m (90 sqm face)</t>
        </is>
      </c>
      <c r="E279" s="28" t="inlineStr">
        <is>
          <t>90 sqm</t>
        </is>
      </c>
      <c r="F279" s="32" t="inlineStr">
        <is>
          <t>Material &amp; Consumables</t>
        </is>
      </c>
      <c r="G279" s="21" t="inlineStr">
        <is>
          <t>2204</t>
        </is>
      </c>
      <c r="H279" s="76" t="inlineStr">
        <is>
          <t>Carriage of timber (¼ of total)</t>
        </is>
      </c>
      <c r="I279" s="86" t="n">
        <v>1.3125</v>
      </c>
      <c r="J279" s="50" t="inlineStr">
        <is>
          <t>cum</t>
        </is>
      </c>
      <c r="K279" s="51" t="n">
        <v>118.59</v>
      </c>
      <c r="L279" s="84" t="n">
        <v>155.65</v>
      </c>
      <c r="M279" s="52" t="n">
        <v>1.4</v>
      </c>
      <c r="N279" s="32" t="inlineStr"/>
      <c r="O279" s="39" t="inlineStr"/>
      <c r="P279" t="inlineStr">
        <is>
          <t>Timbering &amp; Shoring|All kinds of soil|Extra depth &gt;3.0m to 4.5m|Close timbering depth 3.0m-4.5m (90 sqm face)|4</t>
        </is>
      </c>
      <c r="Q279" t="n">
        <v>4</v>
      </c>
      <c r="R279" t="n">
        <v>90</v>
      </c>
      <c r="S279" t="inlineStr">
        <is>
          <t>sqm</t>
        </is>
      </c>
      <c r="T279" t="n">
        <v>166.55</v>
      </c>
      <c r="U279" t="inlineStr">
        <is>
          <t>Sal wood runners, open/close poling boards</t>
        </is>
      </c>
      <c r="V279" t="inlineStr">
        <is>
          <t>Lowering into trench &amp; positioning</t>
        </is>
      </c>
      <c r="W279" t="inlineStr">
        <is>
          <t>Strutting with adjustable screw jacks / timber</t>
        </is>
      </c>
      <c r="X279" t="inlineStr">
        <is>
          <t>None</t>
        </is>
      </c>
      <c r="Y279" t="inlineStr">
        <is>
          <t>Tight wedge wedging against trench sides</t>
        </is>
      </c>
    </row>
    <row r="280" ht="22" customHeight="1">
      <c r="A280" s="16" t="inlineStr">
        <is>
          <t>Timbering &amp; Shoring</t>
        </is>
      </c>
      <c r="B280" s="76" t="inlineStr">
        <is>
          <t>All kinds of soil</t>
        </is>
      </c>
      <c r="C280" s="76" t="inlineStr">
        <is>
          <t>Extra depth &gt;3.0m to 4.5m</t>
        </is>
      </c>
      <c r="D280" s="76" t="inlineStr">
        <is>
          <t>Close timbering depth 3.0m-4.5m (90 sqm face)</t>
        </is>
      </c>
      <c r="E280" s="28" t="inlineStr">
        <is>
          <t>90 sqm</t>
        </is>
      </c>
      <c r="F280" s="32" t="inlineStr">
        <is>
          <t>Labour (Skilled Tradesman)</t>
        </is>
      </c>
      <c r="G280" s="21" t="inlineStr">
        <is>
          <t>0112</t>
        </is>
      </c>
      <c r="H280" s="76" t="inlineStr">
        <is>
          <t>Carpenter 2nd class</t>
        </is>
      </c>
      <c r="I280" s="86" t="n">
        <v>1.5</v>
      </c>
      <c r="J280" s="50" t="inlineStr">
        <is>
          <t>day</t>
        </is>
      </c>
      <c r="K280" s="51" t="n">
        <v>679</v>
      </c>
      <c r="L280" s="84" t="n">
        <v>1018.5</v>
      </c>
      <c r="M280" s="52" t="n">
        <v>9.1</v>
      </c>
      <c r="N280" s="87" t="n">
        <v>60</v>
      </c>
      <c r="O280" s="39" t="inlineStr"/>
      <c r="P280" t="inlineStr">
        <is>
          <t>Timbering &amp; Shoring|All kinds of soil|Extra depth &gt;3.0m to 4.5m|Close timbering depth 3.0m-4.5m (90 sqm face)|5</t>
        </is>
      </c>
      <c r="Q280" t="n">
        <v>5</v>
      </c>
      <c r="R280" t="n">
        <v>90</v>
      </c>
      <c r="S280" t="inlineStr">
        <is>
          <t>sqm</t>
        </is>
      </c>
      <c r="T280" t="n">
        <v>166.55</v>
      </c>
      <c r="U280" t="inlineStr">
        <is>
          <t>Sal wood runners, open/close poling boards</t>
        </is>
      </c>
      <c r="V280" t="inlineStr">
        <is>
          <t>Lowering into trench &amp; positioning</t>
        </is>
      </c>
      <c r="W280" t="inlineStr">
        <is>
          <t>Strutting with adjustable screw jacks / timber</t>
        </is>
      </c>
      <c r="X280" t="inlineStr">
        <is>
          <t>None</t>
        </is>
      </c>
      <c r="Y280" t="inlineStr">
        <is>
          <t>Tight wedge wedging against trench sides</t>
        </is>
      </c>
    </row>
    <row r="281" ht="22" customHeight="1">
      <c r="A281" s="16" t="inlineStr">
        <is>
          <t>Timbering &amp; Shoring</t>
        </is>
      </c>
      <c r="B281" s="76" t="inlineStr">
        <is>
          <t>All kinds of soil</t>
        </is>
      </c>
      <c r="C281" s="76" t="inlineStr">
        <is>
          <t>Extra depth &gt;3.0m to 4.5m</t>
        </is>
      </c>
      <c r="D281" s="76" t="inlineStr">
        <is>
          <t>Close timbering depth 3.0m-4.5m (90 sqm face)</t>
        </is>
      </c>
      <c r="E281" s="28" t="inlineStr">
        <is>
          <t>90 sqm</t>
        </is>
      </c>
      <c r="F281" s="32" t="inlineStr">
        <is>
          <t>Labour (Semi-Skilled / Operational)</t>
        </is>
      </c>
      <c r="G281" s="21" t="inlineStr">
        <is>
          <t>0114</t>
        </is>
      </c>
      <c r="H281" s="76" t="inlineStr">
        <is>
          <t>Beldar</t>
        </is>
      </c>
      <c r="I281" s="86" t="n">
        <v>4</v>
      </c>
      <c r="J281" s="50" t="inlineStr">
        <is>
          <t>day</t>
        </is>
      </c>
      <c r="K281" s="51" t="n">
        <v>558</v>
      </c>
      <c r="L281" s="84" t="n">
        <v>2232</v>
      </c>
      <c r="M281" s="52" t="n">
        <v>19.9</v>
      </c>
      <c r="N281" s="87" t="n">
        <v>22.5</v>
      </c>
      <c r="O281" s="39" t="inlineStr"/>
      <c r="P281" t="inlineStr">
        <is>
          <t>Timbering &amp; Shoring|All kinds of soil|Extra depth &gt;3.0m to 4.5m|Close timbering depth 3.0m-4.5m (90 sqm face)|6</t>
        </is>
      </c>
      <c r="Q281" t="n">
        <v>6</v>
      </c>
      <c r="R281" t="n">
        <v>90</v>
      </c>
      <c r="S281" t="inlineStr">
        <is>
          <t>sqm</t>
        </is>
      </c>
      <c r="T281" t="n">
        <v>166.55</v>
      </c>
      <c r="U281" t="inlineStr">
        <is>
          <t>Sal wood runners, open/close poling boards</t>
        </is>
      </c>
      <c r="V281" t="inlineStr">
        <is>
          <t>Lowering into trench &amp; positioning</t>
        </is>
      </c>
      <c r="W281" t="inlineStr">
        <is>
          <t>Strutting with adjustable screw jacks / timber</t>
        </is>
      </c>
      <c r="X281" t="inlineStr">
        <is>
          <t>None</t>
        </is>
      </c>
      <c r="Y281" t="inlineStr">
        <is>
          <t>Tight wedge wedging against trench sides</t>
        </is>
      </c>
    </row>
    <row r="282" ht="22" customHeight="1">
      <c r="A282" s="16" t="inlineStr">
        <is>
          <t>Timbering &amp; Shoring</t>
        </is>
      </c>
      <c r="B282" s="76" t="inlineStr">
        <is>
          <t>All kinds of soil</t>
        </is>
      </c>
      <c r="C282" s="76" t="inlineStr">
        <is>
          <t>Extra depth &gt;3.0m to 4.5m</t>
        </is>
      </c>
      <c r="D282" s="76" t="inlineStr">
        <is>
          <t>Close timbering depth 3.0m-4.5m (90 sqm face)</t>
        </is>
      </c>
      <c r="E282" s="28" t="inlineStr">
        <is>
          <t>90 sqm</t>
        </is>
      </c>
      <c r="F282" s="32" t="inlineStr">
        <is>
          <t>Sundries &amp; Allowances</t>
        </is>
      </c>
      <c r="G282" s="21" t="inlineStr">
        <is>
          <t>9999</t>
        </is>
      </c>
      <c r="H282" s="76" t="inlineStr">
        <is>
          <t>Sundries</t>
        </is>
      </c>
      <c r="I282" s="86" t="n">
        <v>80.73</v>
      </c>
      <c r="J282" s="50" t="inlineStr">
        <is>
          <t>L.S.</t>
        </is>
      </c>
      <c r="K282" s="51" t="n">
        <v>2</v>
      </c>
      <c r="L282" s="84" t="n">
        <v>161.46</v>
      </c>
      <c r="M282" s="52" t="n">
        <v>1.4</v>
      </c>
      <c r="N282" s="32" t="inlineStr"/>
      <c r="O282" s="39" t="inlineStr"/>
      <c r="P282" t="inlineStr">
        <is>
          <t>Timbering &amp; Shoring|All kinds of soil|Extra depth &gt;3.0m to 4.5m|Close timbering depth 3.0m-4.5m (90 sqm face)|7</t>
        </is>
      </c>
      <c r="Q282" t="n">
        <v>7</v>
      </c>
      <c r="R282" t="n">
        <v>90</v>
      </c>
      <c r="S282" t="inlineStr">
        <is>
          <t>sqm</t>
        </is>
      </c>
      <c r="T282" t="n">
        <v>166.55</v>
      </c>
      <c r="U282" t="inlineStr">
        <is>
          <t>Sal wood runners, open/close poling boards</t>
        </is>
      </c>
      <c r="V282" t="inlineStr">
        <is>
          <t>Lowering into trench &amp; positioning</t>
        </is>
      </c>
      <c r="W282" t="inlineStr">
        <is>
          <t>Strutting with adjustable screw jacks / timber</t>
        </is>
      </c>
      <c r="X282" t="inlineStr">
        <is>
          <t>None</t>
        </is>
      </c>
      <c r="Y282" t="inlineStr">
        <is>
          <t>Tight wedge wedging against trench sides</t>
        </is>
      </c>
    </row>
  </sheetData>
  <mergeCells count="73">
    <mergeCell ref="G7:O7"/>
    <mergeCell ref="A25:O25"/>
    <mergeCell ref="J53:O53"/>
    <mergeCell ref="K92:O92"/>
    <mergeCell ref="G10:O10"/>
    <mergeCell ref="D13:O13"/>
    <mergeCell ref="E21:O21"/>
    <mergeCell ref="J49:O49"/>
    <mergeCell ref="A90:O90"/>
    <mergeCell ref="G6:O6"/>
    <mergeCell ref="A18:C18"/>
    <mergeCell ref="K95:O95"/>
    <mergeCell ref="J45:O45"/>
    <mergeCell ref="A3:I3"/>
    <mergeCell ref="A21:C21"/>
    <mergeCell ref="J55:O55"/>
    <mergeCell ref="A12:C12"/>
    <mergeCell ref="E23:O23"/>
    <mergeCell ref="J54:O54"/>
    <mergeCell ref="G15:O15"/>
    <mergeCell ref="J41:O41"/>
    <mergeCell ref="A5:C5"/>
    <mergeCell ref="E20:O20"/>
    <mergeCell ref="G5:O5"/>
    <mergeCell ref="A23:C23"/>
    <mergeCell ref="A8:C8"/>
    <mergeCell ref="A14:C14"/>
    <mergeCell ref="G14:O14"/>
    <mergeCell ref="A22:C22"/>
    <mergeCell ref="K94:O94"/>
    <mergeCell ref="K99:O99"/>
    <mergeCell ref="E19:O19"/>
    <mergeCell ref="K100:O100"/>
    <mergeCell ref="E22:O22"/>
    <mergeCell ref="J56:O56"/>
    <mergeCell ref="J47:O47"/>
    <mergeCell ref="A17:O17"/>
    <mergeCell ref="A4:O4"/>
    <mergeCell ref="A20:C20"/>
    <mergeCell ref="J50:O50"/>
    <mergeCell ref="J46:O46"/>
    <mergeCell ref="A10:C10"/>
    <mergeCell ref="A91:O91"/>
    <mergeCell ref="K96:O96"/>
    <mergeCell ref="A13:C13"/>
    <mergeCell ref="A19:C19"/>
    <mergeCell ref="J51:O51"/>
    <mergeCell ref="J42:O42"/>
    <mergeCell ref="J58:O58"/>
    <mergeCell ref="A44:O44"/>
    <mergeCell ref="J52:O52"/>
    <mergeCell ref="A9:C9"/>
    <mergeCell ref="A102:O102"/>
    <mergeCell ref="G9:O9"/>
    <mergeCell ref="J48:O48"/>
    <mergeCell ref="K98:O98"/>
    <mergeCell ref="A15:C15"/>
    <mergeCell ref="A41:G41"/>
    <mergeCell ref="G12:O12"/>
    <mergeCell ref="K97:O97"/>
    <mergeCell ref="A11:C11"/>
    <mergeCell ref="G11:O11"/>
    <mergeCell ref="J57:O57"/>
    <mergeCell ref="A60:O60"/>
    <mergeCell ref="A6:C6"/>
    <mergeCell ref="A1:I1"/>
    <mergeCell ref="A103:O103"/>
    <mergeCell ref="A61:O61"/>
    <mergeCell ref="A7:C7"/>
    <mergeCell ref="K93:O93"/>
    <mergeCell ref="G8:O8"/>
    <mergeCell ref="A42:G42"/>
    <mergeCell ref="E18:O18"/>
  </mergeCells>
  <dataValidations count="5">
    <dataValidation sqref="C47 C49 C51 C53 D22 D23" showDropDown="0" showInputMessage="0" showErrorMessage="0" allowBlank="0" type="list">
      <formula1>"YES,NO"</formula1>
    </dataValidation>
    <dataValidation sqref="D6" showDropDown="0" showInputMessage="0" showErrorMessage="0" allowBlank="0" type="list">
      <formula1>"Surface Excavation (≤30 cm),Foundation &amp; Pipeline Trenching,Embankment Banking &amp; Dressing,Backfilling &amp; Compaction,Site Clearance &amp; Tree Felling,Timbering &amp; Shoring,Chemical Anti-Termite Treatment"</formula1>
    </dataValidation>
    <dataValidation sqref="D7" showDropDown="0" showInputMessage="0" showErrorMessage="0" allowBlank="0" type="list">
      <formula1>"All kinds of soil,Ordinary rock,Hard rock (blasting permitted),Hard rock (blasting prohibited)"</formula1>
    </dataValidation>
    <dataValidation sqref="D8" showDropDown="0" showInputMessage="0" showErrorMessage="0" allowBlank="0" type="list">
      <formula1>"Manual labor (depth ≤1.5m),Mechanical (Hydraulic Excavator 0.9 cum),Extra depth &gt;1.5m to 3.0m,Extra depth &gt;3.0m to 4.5m"</formula1>
    </dataValidation>
    <dataValidation sqref="D9" showDropDown="0" showInputMessage="0" showErrorMessage="0" allowBlank="1" type="list">
      <formula1>='02_Earth_Work'!$AL$105:$AL$150</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2026-09-09T21:59:08Z</dcterms:created>
  <dcterms:modified xsi:type="dcterms:W3CDTF">2026-09-09T22:02:29Z</dcterms:modified>
</cp:coreProperties>
</file>