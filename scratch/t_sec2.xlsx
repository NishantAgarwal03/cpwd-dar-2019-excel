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tes_Master" sheetId="1" state="visible" r:id="rId1"/>
    <sheet name="Global_Factors" sheetId="2" state="visible" r:id="rId2"/>
    <sheet name="02_Earth_Work" sheetId="3" state="visible" r:id="rId3"/>
  </sheets>
  <definedNames/>
  <calcPr calcId="124519" fullCalcOnLoad="1"/>
</workbook>
</file>

<file path=xl/styles.xml><?xml version="1.0" encoding="utf-8"?>
<styleSheet xmlns="http://schemas.openxmlformats.org/spreadsheetml/2006/main">
  <numFmts count="8">
    <numFmt numFmtId="164" formatCode="₹ #,##0.00"/>
    <numFmt numFmtId="165" formatCode="0.000"/>
    <numFmt numFmtId="166" formatCode="0.0&quot;%&quot;"/>
    <numFmt numFmtId="167" formatCode="0.0000"/>
    <numFmt numFmtId="168" formatCode="0.00 &quot;sqm/day&quot;"/>
    <numFmt numFmtId="169" formatCode="0.00 &quot;cum/day&quot;"/>
    <numFmt numFmtId="170" formatCode="0.00 &quot;m/day&quot;"/>
    <numFmt numFmtId="171" formatCode="0.00 &quot;tree/day&quot;"/>
  </numFmts>
  <fonts count="9">
    <font>
      <name val="Calibri"/>
      <family val="2"/>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12">
    <fill>
      <patternFill/>
    </fill>
    <fill>
      <patternFill patternType="gray125"/>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14">
    <border>
      <left/>
      <right/>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horizontal="center" vertical="center"/>
    </xf>
    <xf numFmtId="0" fontId="2" fillId="0" borderId="0" applyAlignment="1" pivotButton="0" quotePrefix="0" xfId="0">
      <alignment horizontal="center" vertical="center"/>
    </xf>
    <xf numFmtId="0" fontId="3" fillId="3" borderId="1" applyAlignment="1" pivotButton="0" quotePrefix="0" xfId="0">
      <alignment horizontal="center" vertical="center"/>
    </xf>
    <xf numFmtId="0" fontId="3" fillId="4" borderId="1" applyAlignment="1" pivotButton="0" quotePrefix="0" xfId="0">
      <alignment horizontal="center" vertical="center"/>
    </xf>
    <xf numFmtId="0" fontId="4" fillId="5" borderId="1" applyAlignment="1" pivotButton="0" quotePrefix="0" xfId="0">
      <alignment horizontal="center" vertical="center"/>
    </xf>
    <xf numFmtId="0" fontId="4"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5" fillId="9" borderId="1" applyAlignment="1" pivotButton="0" quotePrefix="0" xfId="0">
      <alignment horizontal="center" vertical="center"/>
    </xf>
    <xf numFmtId="0" fontId="4" fillId="10" borderId="1" applyAlignment="1" pivotButton="0" quotePrefix="0" xfId="0">
      <alignment horizontal="center" vertical="center"/>
    </xf>
    <xf numFmtId="0" fontId="5" fillId="9" borderId="1" applyAlignment="1" pivotButton="0" quotePrefix="0" xfId="0">
      <alignment horizontal="left" vertical="center" wrapText="1"/>
    </xf>
    <xf numFmtId="0" fontId="6" fillId="11" borderId="0" applyAlignment="1" pivotButton="0" quotePrefix="0" xfId="0">
      <alignment horizontal="left" vertical="center"/>
    </xf>
    <xf numFmtId="0" fontId="6" fillId="11" borderId="2" applyAlignment="1" pivotButton="0" quotePrefix="0" xfId="0">
      <alignment horizontal="center" vertical="center"/>
    </xf>
    <xf numFmtId="0" fontId="0" fillId="0" borderId="5" pivotButton="0" quotePrefix="0" xfId="0"/>
    <xf numFmtId="0" fontId="0" fillId="0" borderId="6" pivotButton="0" quotePrefix="0" xfId="0"/>
    <xf numFmtId="0" fontId="3" fillId="0" borderId="1" applyAlignment="1" pivotButton="0" quotePrefix="0" xfId="0">
      <alignment horizontal="left" vertical="center"/>
    </xf>
    <xf numFmtId="0" fontId="0" fillId="0" borderId="1" pivotButton="0" quotePrefix="0" xfId="0"/>
    <xf numFmtId="0" fontId="4" fillId="0" borderId="1" applyAlignment="1" pivotButton="0" quotePrefix="0" xfId="0">
      <alignment horizontal="center" vertical="center"/>
    </xf>
    <xf numFmtId="0" fontId="5" fillId="0" borderId="1" applyAlignment="1" pivotButton="0" quotePrefix="0" xfId="0">
      <alignment horizontal="left" vertical="center" wrapText="1"/>
    </xf>
    <xf numFmtId="2" fontId="3" fillId="5" borderId="1" applyAlignment="1" pivotButton="0" quotePrefix="0" xfId="0">
      <alignment horizontal="center" vertical="center"/>
    </xf>
    <xf numFmtId="0" fontId="3" fillId="5" borderId="1" applyAlignment="1" pivotButton="0" quotePrefix="0" xfId="0">
      <alignment horizontal="center" vertical="center"/>
    </xf>
    <xf numFmtId="0" fontId="3" fillId="0" borderId="1" pivotButton="0" quotePrefix="0" xfId="0"/>
    <xf numFmtId="0" fontId="4" fillId="5" borderId="1" applyAlignment="1" pivotButton="0" quotePrefix="0" xfId="0">
      <alignment horizontal="left" vertical="center" wrapText="1"/>
    </xf>
    <xf numFmtId="164" fontId="3" fillId="5" borderId="1" applyAlignment="1" pivotButton="0" quotePrefix="0" xfId="0">
      <alignment horizontal="center" vertical="center"/>
    </xf>
    <xf numFmtId="0" fontId="6" fillId="11" borderId="1" applyAlignment="1" pivotButton="0" quotePrefix="0" xfId="0">
      <alignment horizontal="center" vertical="center"/>
    </xf>
    <xf numFmtId="0" fontId="7" fillId="7" borderId="1" applyAlignment="1" pivotButton="0" quotePrefix="0" xfId="0">
      <alignment horizontal="center" vertical="center"/>
    </xf>
    <xf numFmtId="0" fontId="5" fillId="0" borderId="1" applyAlignment="1" pivotButton="0" quotePrefix="0" xfId="0">
      <alignment horizontal="right" vertical="center"/>
    </xf>
    <xf numFmtId="0" fontId="3" fillId="0" borderId="1" applyAlignment="1" pivotButton="0" quotePrefix="0" xfId="0">
      <alignment horizontal="center" vertical="center"/>
    </xf>
    <xf numFmtId="0" fontId="5" fillId="0" borderId="1" pivotButton="0" quotePrefix="0" xfId="0"/>
    <xf numFmtId="0" fontId="3" fillId="5" borderId="1" pivotButton="0" quotePrefix="0" xfId="0"/>
    <xf numFmtId="0" fontId="4" fillId="0" borderId="1" applyAlignment="1" pivotButton="0" quotePrefix="0" xfId="0">
      <alignment horizontal="left" vertical="center"/>
    </xf>
    <xf numFmtId="0" fontId="5" fillId="0" borderId="1" applyAlignment="1" pivotButton="0" quotePrefix="0" xfId="0">
      <alignment horizontal="center" vertical="center"/>
    </xf>
    <xf numFmtId="165" fontId="3" fillId="3" borderId="1" applyAlignment="1" pivotButton="0" quotePrefix="0" xfId="0">
      <alignment horizontal="right" vertical="center"/>
    </xf>
    <xf numFmtId="164" fontId="4" fillId="5" borderId="1" applyAlignment="1" pivotButton="0" quotePrefix="0" xfId="0">
      <alignment horizontal="right" vertical="center"/>
    </xf>
    <xf numFmtId="164" fontId="3" fillId="6" borderId="1" applyAlignment="1" pivotButton="0" quotePrefix="0" xfId="0">
      <alignment horizontal="right" vertical="center"/>
    </xf>
    <xf numFmtId="166" fontId="4" fillId="6" borderId="1" applyAlignment="1" pivotButton="0" quotePrefix="0" xfId="0">
      <alignment horizontal="right" vertical="center"/>
    </xf>
    <xf numFmtId="2" fontId="5" fillId="0" borderId="1" applyAlignment="1" pivotButton="0" quotePrefix="0" xfId="0">
      <alignment horizontal="right" vertical="center"/>
    </xf>
    <xf numFmtId="167" fontId="5" fillId="0" borderId="1" applyAlignment="1" pivotButton="0" quotePrefix="0" xfId="0">
      <alignment horizontal="right" vertical="center"/>
    </xf>
    <xf numFmtId="0" fontId="5" fillId="0" borderId="1" applyAlignment="1" pivotButton="0" quotePrefix="0" xfId="0">
      <alignment horizontal="left" vertical="center"/>
    </xf>
    <xf numFmtId="0" fontId="3" fillId="10" borderId="1" applyAlignment="1" pivotButton="0" quotePrefix="0" xfId="0">
      <alignment horizontal="right" vertical="center"/>
    </xf>
    <xf numFmtId="0" fontId="0" fillId="10" borderId="1" pivotButton="0" quotePrefix="0" xfId="0"/>
    <xf numFmtId="164" fontId="3" fillId="10" borderId="1" applyAlignment="1" pivotButton="0" quotePrefix="0" xfId="0">
      <alignment horizontal="right" vertical="center"/>
    </xf>
    <xf numFmtId="0" fontId="0" fillId="10" borderId="1" applyAlignment="1" pivotButton="0" quotePrefix="0" xfId="0">
      <alignment horizontal="center" vertical="center"/>
    </xf>
    <xf numFmtId="0" fontId="5" fillId="10" borderId="1" pivotButton="0" quotePrefix="0" xfId="0"/>
    <xf numFmtId="0" fontId="3" fillId="10" borderId="7" applyAlignment="1" pivotButton="0" quotePrefix="0" xfId="0">
      <alignment horizontal="right" vertical="center"/>
    </xf>
    <xf numFmtId="0" fontId="0" fillId="10" borderId="7" pivotButton="0" quotePrefix="0" xfId="0"/>
    <xf numFmtId="164" fontId="3" fillId="10" borderId="7" applyAlignment="1" pivotButton="0" quotePrefix="0" xfId="0">
      <alignment horizontal="right" vertical="center"/>
    </xf>
    <xf numFmtId="0" fontId="0" fillId="10" borderId="7" applyAlignment="1" pivotButton="0" quotePrefix="0" xfId="0">
      <alignment horizontal="center" vertical="center"/>
    </xf>
    <xf numFmtId="0" fontId="5" fillId="10" borderId="7" pivotButton="0" quotePrefix="0" xfId="0"/>
    <xf numFmtId="0" fontId="0" fillId="0" borderId="1" applyAlignment="1" pivotButton="0" quotePrefix="0" xfId="0">
      <alignment horizontal="center" vertical="center"/>
    </xf>
    <xf numFmtId="164" fontId="0" fillId="0" borderId="1" applyAlignment="1" pivotButton="0" quotePrefix="0" xfId="0">
      <alignment horizontal="right" vertical="center"/>
    </xf>
    <xf numFmtId="0" fontId="0" fillId="0" borderId="1" applyAlignment="1" pivotButton="0" quotePrefix="0" xfId="0">
      <alignment horizontal="right" vertical="center"/>
    </xf>
    <xf numFmtId="164" fontId="4" fillId="0" borderId="1" applyAlignment="1" pivotButton="0" quotePrefix="0" xfId="0">
      <alignment horizontal="right" vertical="center"/>
    </xf>
    <xf numFmtId="10" fontId="0" fillId="5" borderId="1" applyAlignment="1" pivotButton="0" quotePrefix="0" xfId="0">
      <alignment horizontal="right" vertical="center"/>
    </xf>
    <xf numFmtId="0" fontId="3" fillId="10" borderId="1" applyAlignment="1" pivotButton="0" quotePrefix="0" xfId="0">
      <alignment horizontal="center" vertical="center"/>
    </xf>
    <xf numFmtId="0" fontId="4" fillId="10" borderId="1" applyAlignment="1" pivotButton="0" quotePrefix="0" xfId="0">
      <alignment horizontal="left" vertical="center"/>
    </xf>
    <xf numFmtId="164" fontId="0" fillId="10" borderId="1" applyAlignment="1" pivotButton="0" quotePrefix="0" xfId="0">
      <alignment horizontal="right" vertical="center"/>
    </xf>
    <xf numFmtId="0" fontId="0" fillId="10" borderId="1" applyAlignment="1" pivotButton="0" quotePrefix="0" xfId="0">
      <alignment horizontal="right" vertical="center"/>
    </xf>
    <xf numFmtId="164" fontId="4" fillId="10" borderId="1" applyAlignment="1" pivotButton="0" quotePrefix="0" xfId="0">
      <alignment horizontal="right" vertical="center"/>
    </xf>
    <xf numFmtId="0" fontId="5" fillId="10" borderId="1" applyAlignment="1" pivotButton="0" quotePrefix="0" xfId="0">
      <alignment horizontal="left" vertical="center" wrapText="1"/>
    </xf>
    <xf numFmtId="0" fontId="3" fillId="7" borderId="1" applyAlignment="1" pivotButton="0" quotePrefix="0" xfId="0">
      <alignment horizontal="left" vertical="center"/>
    </xf>
    <xf numFmtId="0" fontId="0" fillId="7" borderId="1" applyAlignment="1" pivotButton="0" quotePrefix="0" xfId="0">
      <alignment horizontal="center" vertical="center"/>
    </xf>
    <xf numFmtId="164" fontId="0" fillId="7" borderId="1" applyAlignment="1" pivotButton="0" quotePrefix="0" xfId="0">
      <alignment horizontal="right" vertical="center"/>
    </xf>
    <xf numFmtId="0" fontId="0" fillId="7" borderId="1" applyAlignment="1" pivotButton="0" quotePrefix="0" xfId="0">
      <alignment horizontal="right" vertical="center"/>
    </xf>
    <xf numFmtId="164" fontId="3" fillId="7" borderId="1" applyAlignment="1" pivotButton="0" quotePrefix="0" xfId="0">
      <alignment horizontal="right" vertical="center"/>
    </xf>
    <xf numFmtId="0" fontId="5" fillId="7" borderId="1" applyAlignment="1" pivotButton="0" quotePrefix="0" xfId="0">
      <alignment horizontal="left" vertical="center" wrapText="1"/>
    </xf>
    <xf numFmtId="0" fontId="0" fillId="7" borderId="1" pivotButton="0" quotePrefix="0" xfId="0"/>
    <xf numFmtId="0" fontId="3" fillId="8" borderId="1" applyAlignment="1" pivotButton="0" quotePrefix="0" xfId="0">
      <alignment horizontal="left" vertical="center"/>
    </xf>
    <xf numFmtId="0" fontId="0" fillId="8" borderId="1" applyAlignment="1" pivotButton="0" quotePrefix="0" xfId="0">
      <alignment horizontal="center" vertical="center"/>
    </xf>
    <xf numFmtId="164" fontId="0" fillId="8" borderId="1" applyAlignment="1" pivotButton="0" quotePrefix="0" xfId="0">
      <alignment horizontal="right" vertical="center"/>
    </xf>
    <xf numFmtId="0" fontId="0" fillId="8" borderId="1" applyAlignment="1" pivotButton="0" quotePrefix="0" xfId="0">
      <alignment horizontal="right" vertical="center"/>
    </xf>
    <xf numFmtId="164" fontId="8" fillId="8" borderId="1" applyAlignment="1" pivotButton="0" quotePrefix="0" xfId="0">
      <alignment horizontal="right" vertical="center"/>
    </xf>
    <xf numFmtId="0" fontId="5" fillId="8" borderId="1" applyAlignment="1" pivotButton="0" quotePrefix="0" xfId="0">
      <alignment horizontal="left" vertical="center" wrapText="1"/>
    </xf>
    <xf numFmtId="0" fontId="0" fillId="8" borderId="1" pivotButton="0" quotePrefix="0" xfId="0"/>
    <xf numFmtId="0" fontId="5" fillId="9" borderId="0" applyAlignment="1" pivotButton="0" quotePrefix="0" xfId="0">
      <alignment horizontal="left" vertical="center" wrapText="1"/>
    </xf>
    <xf numFmtId="0" fontId="0" fillId="0" borderId="1" applyAlignment="1" pivotButton="0" quotePrefix="0" xfId="0">
      <alignment horizontal="left" vertical="center"/>
    </xf>
    <xf numFmtId="2" fontId="0" fillId="5" borderId="1" applyAlignment="1" pivotButton="0" quotePrefix="0" xfId="0">
      <alignment horizontal="right" vertical="center"/>
    </xf>
    <xf numFmtId="1" fontId="0" fillId="3" borderId="1" applyAlignment="1" pivotButton="0" quotePrefix="0" xfId="0">
      <alignment horizontal="right" vertical="center"/>
    </xf>
    <xf numFmtId="165" fontId="0" fillId="3" borderId="1" applyAlignment="1" pivotButton="0" quotePrefix="0" xfId="0">
      <alignment horizontal="right" vertical="center"/>
    </xf>
    <xf numFmtId="165" fontId="3" fillId="6" borderId="1" applyAlignment="1" pivotButton="0" quotePrefix="0" xfId="0">
      <alignment horizontal="right" vertical="center"/>
    </xf>
    <xf numFmtId="2" fontId="0" fillId="5" borderId="1" applyAlignment="1" pivotButton="0" quotePrefix="0" xfId="0">
      <alignment horizontal="center" vertical="center"/>
    </xf>
    <xf numFmtId="2" fontId="0" fillId="6" borderId="1" applyAlignment="1" pivotButton="0" quotePrefix="0" xfId="0">
      <alignment horizontal="right" vertical="center"/>
    </xf>
    <xf numFmtId="167" fontId="0" fillId="6" borderId="1" applyAlignment="1" pivotButton="0" quotePrefix="0" xfId="0">
      <alignment horizontal="right" vertical="center"/>
    </xf>
    <xf numFmtId="164" fontId="3" fillId="0" borderId="1" applyAlignment="1" pivotButton="0" quotePrefix="0" xfId="0">
      <alignment horizontal="right" vertical="center"/>
    </xf>
    <xf numFmtId="0" fontId="6" fillId="11" borderId="0" applyAlignment="1" pivotButton="0" quotePrefix="0" xfId="0">
      <alignment horizontal="center" vertical="center"/>
    </xf>
    <xf numFmtId="165" fontId="0" fillId="0" borderId="1" applyAlignment="1" pivotButton="0" quotePrefix="0" xfId="0">
      <alignment horizontal="right" vertical="center"/>
    </xf>
    <xf numFmtId="168" fontId="5" fillId="0" borderId="1" applyAlignment="1" pivotButton="0" quotePrefix="0" xfId="0">
      <alignment horizontal="right" vertical="center"/>
    </xf>
    <xf numFmtId="0" fontId="4" fillId="0" borderId="0" applyAlignment="1" pivotButton="0" quotePrefix="0" xfId="0">
      <alignment horizontal="left" vertical="center"/>
    </xf>
    <xf numFmtId="169" fontId="5" fillId="0" borderId="1" applyAlignment="1" pivotButton="0" quotePrefix="0" xfId="0">
      <alignment horizontal="right" vertical="center"/>
    </xf>
    <xf numFmtId="170" fontId="5" fillId="0" borderId="1" applyAlignment="1" pivotButton="0" quotePrefix="0" xfId="0">
      <alignment horizontal="right" vertical="center"/>
    </xf>
    <xf numFmtId="171" fontId="5" fillId="0" borderId="1" applyAlignment="1" pivotButton="0" quotePrefix="0" xfId="0">
      <alignment horizontal="right" vertical="center"/>
    </xf>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t="inlineStr">
        <is>
          <t>Code</t>
        </is>
      </c>
      <c r="B1" t="inlineStr">
        <is>
          <t>Category</t>
        </is>
      </c>
      <c r="C1" t="inlineStr">
        <is>
          <t>Description</t>
        </is>
      </c>
      <c r="D1" t="inlineStr">
        <is>
          <t>Unit</t>
        </is>
      </c>
      <c r="E1" t="inlineStr">
        <is>
          <t>Basic Rate (Rs)</t>
        </is>
      </c>
    </row>
    <row r="2">
      <c r="A2" t="inlineStr">
        <is>
          <t>0114</t>
        </is>
      </c>
      <c r="B2" t="inlineStr">
        <is>
          <t>Labour</t>
        </is>
      </c>
      <c r="C2" t="inlineStr">
        <is>
          <t>Beldar</t>
        </is>
      </c>
      <c r="D2" t="inlineStr">
        <is>
          <t>day</t>
        </is>
      </c>
      <c r="E2" t="n">
        <v>558</v>
      </c>
    </row>
    <row r="3">
      <c r="A3" t="inlineStr">
        <is>
          <t>0115</t>
        </is>
      </c>
      <c r="B3" t="inlineStr">
        <is>
          <t>Labour</t>
        </is>
      </c>
      <c r="C3" t="inlineStr">
        <is>
          <t>Coolie</t>
        </is>
      </c>
      <c r="D3" t="inlineStr">
        <is>
          <t>day</t>
        </is>
      </c>
      <c r="E3" t="n">
        <v>558</v>
      </c>
    </row>
    <row r="4">
      <c r="A4" t="inlineStr">
        <is>
          <t>0101</t>
        </is>
      </c>
      <c r="B4" t="inlineStr">
        <is>
          <t>Labour</t>
        </is>
      </c>
      <c r="C4" t="inlineStr">
        <is>
          <t>Bhisti</t>
        </is>
      </c>
      <c r="D4" t="inlineStr">
        <is>
          <t>day</t>
        </is>
      </c>
      <c r="E4" t="n">
        <v>617</v>
      </c>
    </row>
    <row r="5">
      <c r="A5" t="inlineStr">
        <is>
          <t>0113</t>
        </is>
      </c>
      <c r="B5" t="inlineStr">
        <is>
          <t>Sundries</t>
        </is>
      </c>
      <c r="C5" t="inlineStr">
        <is>
          <t>Chowkidar</t>
        </is>
      </c>
      <c r="D5" t="inlineStr">
        <is>
          <t>day</t>
        </is>
      </c>
      <c r="E5" t="n">
        <v>558</v>
      </c>
    </row>
    <row r="6">
      <c r="A6" t="inlineStr">
        <is>
          <t>0003</t>
        </is>
      </c>
      <c r="B6" t="inlineStr">
        <is>
          <t>Plant</t>
        </is>
      </c>
      <c r="C6" t="inlineStr">
        <is>
          <t>Hire charges of Diesel Road Roller</t>
        </is>
      </c>
      <c r="D6" t="inlineStr">
        <is>
          <t>day</t>
        </is>
      </c>
      <c r="E6" t="n">
        <v>3000</v>
      </c>
    </row>
    <row r="7">
      <c r="A7" t="inlineStr">
        <is>
          <t>9999</t>
        </is>
      </c>
      <c r="B7" t="inlineStr">
        <is>
          <t>Sundries</t>
        </is>
      </c>
      <c r="C7" t="inlineStr">
        <is>
          <t>Sundries</t>
        </is>
      </c>
      <c r="D7" t="inlineStr">
        <is>
          <t>L.S.</t>
        </is>
      </c>
      <c r="E7" t="n">
        <v>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GF_1</t>
        </is>
      </c>
      <c r="B1" t="inlineStr">
        <is>
          <t>desc</t>
        </is>
      </c>
      <c r="C1" t="n">
        <v>0.01</v>
      </c>
      <c r="D1" t="inlineStr">
        <is>
          <t>unit</t>
        </is>
      </c>
      <c r="E1" t="n">
        <v>0.01</v>
      </c>
      <c r="F1" t="n">
        <v>0.01</v>
      </c>
    </row>
    <row r="2">
      <c r="A2" t="inlineStr">
        <is>
          <t>GF_2</t>
        </is>
      </c>
      <c r="B2" t="inlineStr">
        <is>
          <t>desc</t>
        </is>
      </c>
      <c r="C2" t="n">
        <v>0.01</v>
      </c>
      <c r="D2" t="inlineStr">
        <is>
          <t>unit</t>
        </is>
      </c>
      <c r="E2" t="n">
        <v>0.01</v>
      </c>
      <c r="F2" t="n">
        <v>0.01</v>
      </c>
    </row>
    <row r="3">
      <c r="A3" t="inlineStr">
        <is>
          <t>GF_3</t>
        </is>
      </c>
      <c r="B3" t="inlineStr">
        <is>
          <t>desc</t>
        </is>
      </c>
      <c r="C3" t="n">
        <v>0.01</v>
      </c>
      <c r="D3" t="inlineStr">
        <is>
          <t>unit</t>
        </is>
      </c>
      <c r="E3" t="n">
        <v>0.01</v>
      </c>
      <c r="F3" t="n">
        <v>0.01</v>
      </c>
    </row>
    <row r="4">
      <c r="A4" t="inlineStr">
        <is>
          <t>GF_4</t>
        </is>
      </c>
      <c r="B4" t="inlineStr">
        <is>
          <t>desc</t>
        </is>
      </c>
      <c r="C4" t="n">
        <v>0.01</v>
      </c>
      <c r="D4" t="inlineStr">
        <is>
          <t>unit</t>
        </is>
      </c>
      <c r="E4" t="n">
        <v>0.01</v>
      </c>
      <c r="F4" t="n">
        <v>0.01</v>
      </c>
    </row>
    <row r="5">
      <c r="A5" t="inlineStr">
        <is>
          <t>GF_5</t>
        </is>
      </c>
      <c r="B5" t="inlineStr">
        <is>
          <t>desc</t>
        </is>
      </c>
      <c r="C5" t="n">
        <v>0.01</v>
      </c>
      <c r="D5" t="inlineStr">
        <is>
          <t>unit</t>
        </is>
      </c>
      <c r="E5" t="n">
        <v>0.01</v>
      </c>
      <c r="F5" t="n">
        <v>0.01</v>
      </c>
    </row>
    <row r="6">
      <c r="A6" t="inlineStr">
        <is>
          <t>GF_6</t>
        </is>
      </c>
      <c r="B6" t="inlineStr">
        <is>
          <t>desc</t>
        </is>
      </c>
      <c r="C6" t="n">
        <v>0.01</v>
      </c>
      <c r="D6" t="inlineStr">
        <is>
          <t>unit</t>
        </is>
      </c>
      <c r="E6" t="n">
        <v>0.01</v>
      </c>
      <c r="F6" t="n">
        <v>0.01</v>
      </c>
    </row>
    <row r="7">
      <c r="A7" t="inlineStr">
        <is>
          <t>GF_7</t>
        </is>
      </c>
      <c r="B7" t="inlineStr">
        <is>
          <t>desc</t>
        </is>
      </c>
      <c r="C7" t="n">
        <v>0.01</v>
      </c>
      <c r="D7" t="inlineStr">
        <is>
          <t>unit</t>
        </is>
      </c>
      <c r="E7" t="n">
        <v>0.01</v>
      </c>
      <c r="F7" t="n">
        <v>0.01</v>
      </c>
    </row>
    <row r="8">
      <c r="A8" t="inlineStr">
        <is>
          <t>GF_8</t>
        </is>
      </c>
      <c r="B8" t="inlineStr">
        <is>
          <t>desc</t>
        </is>
      </c>
      <c r="C8" t="n">
        <v>0.01</v>
      </c>
      <c r="D8" t="inlineStr">
        <is>
          <t>unit</t>
        </is>
      </c>
      <c r="E8" t="n">
        <v>0.01</v>
      </c>
      <c r="F8" t="n">
        <v>0.01</v>
      </c>
    </row>
    <row r="9">
      <c r="A9" t="inlineStr">
        <is>
          <t>GF_9</t>
        </is>
      </c>
      <c r="B9" t="inlineStr">
        <is>
          <t>desc</t>
        </is>
      </c>
      <c r="C9" t="n">
        <v>0.01</v>
      </c>
      <c r="D9" t="inlineStr">
        <is>
          <t>unit</t>
        </is>
      </c>
      <c r="E9" t="n">
        <v>0.01</v>
      </c>
      <c r="F9" t="n">
        <v>0.01</v>
      </c>
    </row>
    <row r="10">
      <c r="A10" t="inlineStr">
        <is>
          <t>GF_10</t>
        </is>
      </c>
      <c r="B10" t="inlineStr">
        <is>
          <t>desc</t>
        </is>
      </c>
      <c r="C10" t="n">
        <v>0.01</v>
      </c>
      <c r="D10" t="inlineStr">
        <is>
          <t>unit</t>
        </is>
      </c>
      <c r="E10" t="n">
        <v>0.01</v>
      </c>
      <c r="F10" t="n">
        <v>0.01</v>
      </c>
    </row>
    <row r="11">
      <c r="A11" t="inlineStr">
        <is>
          <t>GF_11</t>
        </is>
      </c>
      <c r="B11" t="inlineStr">
        <is>
          <t>desc</t>
        </is>
      </c>
      <c r="C11" t="n">
        <v>0.01</v>
      </c>
      <c r="D11" t="inlineStr">
        <is>
          <t>unit</t>
        </is>
      </c>
      <c r="E11" t="n">
        <v>0.01</v>
      </c>
      <c r="F11" t="n">
        <v>0.01</v>
      </c>
    </row>
    <row r="12">
      <c r="A12" t="inlineStr">
        <is>
          <t>GF_12</t>
        </is>
      </c>
      <c r="B12" t="inlineStr">
        <is>
          <t>desc</t>
        </is>
      </c>
      <c r="C12" t="n">
        <v>0.01</v>
      </c>
      <c r="D12" t="inlineStr">
        <is>
          <t>unit</t>
        </is>
      </c>
      <c r="E12" t="n">
        <v>0.01</v>
      </c>
      <c r="F12" t="n">
        <v>0.01</v>
      </c>
    </row>
    <row r="13">
      <c r="A13" t="inlineStr">
        <is>
          <t>GF_13</t>
        </is>
      </c>
      <c r="B13" t="inlineStr">
        <is>
          <t>desc</t>
        </is>
      </c>
      <c r="C13" t="n">
        <v>0.1405</v>
      </c>
      <c r="D13" t="inlineStr">
        <is>
          <t>unit</t>
        </is>
      </c>
      <c r="E13" t="n">
        <v>0.01</v>
      </c>
      <c r="F13" t="n">
        <v>0.01</v>
      </c>
    </row>
    <row r="14">
      <c r="A14" t="inlineStr">
        <is>
          <t>GF_14</t>
        </is>
      </c>
      <c r="B14" t="inlineStr">
        <is>
          <t>desc</t>
        </is>
      </c>
      <c r="C14" t="n">
        <v>0.15</v>
      </c>
      <c r="D14" t="inlineStr">
        <is>
          <t>unit</t>
        </is>
      </c>
      <c r="E14" t="n">
        <v>0.01</v>
      </c>
      <c r="F14" t="n">
        <v>0.01</v>
      </c>
    </row>
    <row r="15">
      <c r="A15" t="inlineStr">
        <is>
          <t>GF_15</t>
        </is>
      </c>
      <c r="B15" t="inlineStr">
        <is>
          <t>desc</t>
        </is>
      </c>
      <c r="C15" t="n">
        <v>0.01</v>
      </c>
      <c r="D15" t="inlineStr">
        <is>
          <t>unit</t>
        </is>
      </c>
      <c r="E15" t="n">
        <v>0.01</v>
      </c>
      <c r="F15" t="n">
        <v>0.01</v>
      </c>
    </row>
    <row r="16">
      <c r="A16" t="inlineStr">
        <is>
          <t>GF_16</t>
        </is>
      </c>
      <c r="B16" t="inlineStr">
        <is>
          <t>desc</t>
        </is>
      </c>
      <c r="C16" t="n">
        <v>0.01</v>
      </c>
      <c r="D16" t="inlineStr">
        <is>
          <t>unit</t>
        </is>
      </c>
      <c r="E16" t="n">
        <v>0.01</v>
      </c>
      <c r="F16" t="n">
        <v>0.01</v>
      </c>
    </row>
    <row r="17">
      <c r="A17" t="inlineStr">
        <is>
          <t>GF_17</t>
        </is>
      </c>
      <c r="B17" t="inlineStr">
        <is>
          <t>desc</t>
        </is>
      </c>
      <c r="C17" t="n">
        <v>0.01</v>
      </c>
      <c r="D17" t="inlineStr">
        <is>
          <t>unit</t>
        </is>
      </c>
      <c r="E17" t="n">
        <v>0.01</v>
      </c>
      <c r="F17" t="n">
        <v>0.01</v>
      </c>
    </row>
    <row r="18">
      <c r="A18" t="inlineStr">
        <is>
          <t>GF_18</t>
        </is>
      </c>
      <c r="B18" t="inlineStr">
        <is>
          <t>desc</t>
        </is>
      </c>
      <c r="C18" t="n">
        <v>0.01</v>
      </c>
      <c r="D18" t="inlineStr">
        <is>
          <t>unit</t>
        </is>
      </c>
      <c r="E18" t="n">
        <v>0.01</v>
      </c>
      <c r="F18" t="n">
        <v>0.01</v>
      </c>
    </row>
    <row r="19">
      <c r="A19" t="inlineStr">
        <is>
          <t>GF_19</t>
        </is>
      </c>
      <c r="B19" t="inlineStr">
        <is>
          <t>desc</t>
        </is>
      </c>
      <c r="C19" t="n">
        <v>0.01</v>
      </c>
      <c r="D19" t="inlineStr">
        <is>
          <t>unit</t>
        </is>
      </c>
      <c r="E19" t="n">
        <v>0.01</v>
      </c>
      <c r="F19" t="n">
        <v>0.01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282"/>
  <sheetViews>
    <sheetView showGridLines="1" workbookViewId="0">
      <selection activeCell="A1" sqref="A1"/>
    </sheetView>
  </sheetViews>
  <sheetFormatPr baseColWidth="8" defaultRowHeight="15"/>
  <cols>
    <col width="10" customWidth="1" min="1" max="1"/>
    <col width="26" customWidth="1" min="2" max="2"/>
    <col width="34" customWidth="1" min="3" max="3"/>
    <col width="34" customWidth="1" min="4" max="4"/>
    <col width="14" customWidth="1" min="5" max="5"/>
    <col width="16" customWidth="1" min="6" max="6"/>
    <col width="16" customWidth="1" min="7" max="7"/>
    <col width="18" customWidth="1" min="8" max="8"/>
    <col width="14" customWidth="1" min="9" max="9"/>
    <col width="16" customWidth="1" min="10" max="10"/>
    <col width="18" customWidth="1" min="11" max="11"/>
    <col width="16" customWidth="1" min="12" max="12"/>
    <col width="20" customWidth="1" min="13" max="13"/>
    <col width="44" customWidth="1" min="14" max="14"/>
    <col width="56" customWidth="1" min="15" max="15"/>
    <col width="40" customWidth="1" min="16" max="16"/>
    <col width="10" customWidth="1" min="17" max="17"/>
    <col width="12" customWidth="1" min="18" max="18"/>
    <col width="12" customWidth="1" min="19" max="19"/>
    <col width="14" customWidth="1" min="20" max="20"/>
    <col width="30" customWidth="1" min="21" max="21"/>
    <col width="30" customWidth="1" min="22" max="22"/>
    <col width="30" customWidth="1" min="23" max="23"/>
    <col width="30" customWidth="1" min="24" max="24"/>
    <col width="30" customWidth="1" min="25" max="25"/>
    <col width="45" customWidth="1" min="27" max="27"/>
    <col width="35" customWidth="1" min="28" max="28"/>
    <col width="12" customWidth="1" min="29" max="29"/>
    <col width="12" customWidth="1" min="30" max="30"/>
    <col width="14" customWidth="1" min="31" max="31"/>
    <col width="60" customWidth="1" min="32" max="32"/>
    <col width="30" customWidth="1" min="33" max="33"/>
    <col width="30" customWidth="1" min="34" max="34"/>
    <col width="30" customWidth="1" min="35" max="35"/>
    <col width="30" customWidth="1" min="36" max="36"/>
    <col width="30" customWidth="1" min="37" max="37"/>
    <col width="45" customWidth="1" min="38" max="38"/>
  </cols>
  <sheetData>
    <row r="1" ht="30" customHeight="1">
      <c r="A1" s="1" t="inlineStr">
        <is>
          <t>CPWD DAR 2019 — SUB-HEAD 02: EARTH WORK (CUSTOM ITEM BUILDER)</t>
        </is>
      </c>
    </row>
    <row r="2" ht="20" customHeight="1">
      <c r="A2" s="2" t="inlineStr">
        <is>
          <t>LEGEND:</t>
        </is>
      </c>
      <c r="B2" s="3" t="inlineStr">
        <is>
          <t>INPUT - you type it</t>
        </is>
      </c>
      <c r="C2" s="4" t="inlineStr">
        <is>
          <t>OVERRIDE - optional</t>
        </is>
      </c>
      <c r="D2" s="5" t="inlineStr">
        <is>
          <t>LOOKUP - fetched</t>
        </is>
      </c>
      <c r="E2" s="6" t="inlineStr">
        <is>
          <t>DERIVED - calculated</t>
        </is>
      </c>
      <c r="F2" s="7" t="inlineStr">
        <is>
          <t>RESULT - subtotal</t>
        </is>
      </c>
      <c r="G2" s="8" t="inlineStr">
        <is>
          <t>SAY - final rate</t>
        </is>
      </c>
      <c r="H2" s="9" t="inlineStr">
        <is>
          <t>CPWD rule / note</t>
        </is>
      </c>
      <c r="I2" s="10" t="inlineStr">
        <is>
          <t>Not editable</t>
        </is>
      </c>
    </row>
    <row r="3" ht="30" customHeight="1">
      <c r="A3" s="11" t="inlineStr">
        <is>
          <t>CPWD DAR Sub-head 02: Earthwork operations (surface excavation, trench excavation, filling, compaction). Operates without raw material inputs, applying labour crews and earthmoving machinery hire with standard 5-step compounding statutory markups.</t>
        </is>
      </c>
      <c r="B3" s="92" t="n"/>
      <c r="C3" s="92" t="n"/>
      <c r="D3" s="92" t="n"/>
      <c r="E3" s="92" t="n"/>
      <c r="F3" s="92" t="n"/>
      <c r="G3" s="92" t="n"/>
      <c r="H3" s="92" t="n"/>
      <c r="I3" s="93" t="n"/>
    </row>
    <row r="4" ht="26" customHeight="1">
      <c r="A4" s="12" t="inlineStr">
        <is>
          <t>1. RATE ANALYSIS CONFIGURATION &amp; OPERATIONAL PROFILE (Select parameters in D6, D7, D8, D9 to drive rate analysis)</t>
        </is>
      </c>
    </row>
    <row r="5" ht="24" customHeight="1">
      <c r="A5" s="13" t="inlineStr">
        <is>
          <t>Parameter</t>
        </is>
      </c>
      <c r="B5" s="14" t="n"/>
      <c r="C5" s="15" t="n"/>
      <c r="D5" s="13" t="inlineStr">
        <is>
          <t>Selected Value / Parameter Input</t>
        </is>
      </c>
      <c r="E5" s="13" t="inlineStr">
        <is>
          <t>Unit</t>
        </is>
      </c>
      <c r="F5" s="13" t="inlineStr">
        <is>
          <t>Cell Role</t>
        </is>
      </c>
      <c r="G5" s="13" t="inlineStr">
        <is>
          <t>CPWD DAR 2019 Engineering Specification &amp; Practical Field Guidance Notes</t>
        </is>
      </c>
      <c r="H5" s="14" t="n"/>
      <c r="I5" s="14" t="n"/>
      <c r="J5" s="14" t="n"/>
      <c r="K5" s="14" t="n"/>
      <c r="L5" s="14" t="n"/>
      <c r="M5" s="14" t="n"/>
      <c r="N5" s="14" t="n"/>
      <c r="O5" s="15" t="n"/>
    </row>
    <row r="6" ht="24" customHeight="1">
      <c r="A6" s="16" t="inlineStr">
        <is>
          <t>Primary Work Scope</t>
        </is>
      </c>
      <c r="B6" s="92" t="n"/>
      <c r="C6" s="93" t="n"/>
      <c r="D6" s="3" t="inlineStr">
        <is>
          <t>Surface Excavation (≤30 cm)</t>
        </is>
      </c>
      <c r="E6" s="18" t="inlineStr">
        <is>
          <t>—</t>
        </is>
      </c>
      <c r="F6" s="3" t="inlineStr">
        <is>
          <t>INPUT</t>
        </is>
      </c>
      <c r="G6" s="19" t="inlineStr">
        <is>
          <t>Core civil work category: Surface excavation, Foundation/trenching, Embankment, Backfilling, Site clearance, Timbering, or Anti-termite.</t>
        </is>
      </c>
      <c r="H6" s="92" t="n"/>
      <c r="I6" s="92" t="n"/>
      <c r="J6" s="92" t="n"/>
      <c r="K6" s="92" t="n"/>
      <c r="L6" s="92" t="n"/>
      <c r="M6" s="92" t="n"/>
      <c r="N6" s="92" t="n"/>
      <c r="O6" s="93" t="n"/>
    </row>
    <row r="7" ht="24" customHeight="1">
      <c r="A7" s="16" t="inlineStr">
        <is>
          <t>Ground Strata / Material</t>
        </is>
      </c>
      <c r="B7" s="92" t="n"/>
      <c r="C7" s="93" t="n"/>
      <c r="D7" s="3" t="inlineStr">
        <is>
          <t>All kinds of soil</t>
        </is>
      </c>
      <c r="E7" s="18" t="inlineStr">
        <is>
          <t>—</t>
        </is>
      </c>
      <c r="F7" s="3" t="inlineStr">
        <is>
          <t>INPUT</t>
        </is>
      </c>
      <c r="G7" s="19" t="inlineStr">
        <is>
          <t>Strata classification: All kinds of soil, Ordinary rock, Hard rock (blasting permitted), or Hard rock (blasting prohibited).</t>
        </is>
      </c>
      <c r="H7" s="92" t="n"/>
      <c r="I7" s="92" t="n"/>
      <c r="J7" s="92" t="n"/>
      <c r="K7" s="92" t="n"/>
      <c r="L7" s="92" t="n"/>
      <c r="M7" s="92" t="n"/>
      <c r="N7" s="92" t="n"/>
      <c r="O7" s="93" t="n"/>
    </row>
    <row r="8" ht="24" customHeight="1">
      <c r="A8" s="16" t="inlineStr">
        <is>
          <t>Execution Method &amp; Depth Condition</t>
        </is>
      </c>
      <c r="B8" s="92" t="n"/>
      <c r="C8" s="93" t="n"/>
      <c r="D8" s="3" t="inlineStr">
        <is>
          <t>Manual labor (depth ≤1.5m)</t>
        </is>
      </c>
      <c r="E8" s="18" t="inlineStr">
        <is>
          <t>—</t>
        </is>
      </c>
      <c r="F8" s="3" t="inlineStr">
        <is>
          <t>INPUT</t>
        </is>
      </c>
      <c r="G8" s="19" t="inlineStr">
        <is>
          <t>Execution technique: Manual labor (≤1.5m), Mechanical (Hydraulic Excavator 0.9 cum), Extra depth 1.5-3.0m, or Extra depth 3.0-4.5m.</t>
        </is>
      </c>
      <c r="H8" s="92" t="n"/>
      <c r="I8" s="92" t="n"/>
      <c r="J8" s="92" t="n"/>
      <c r="K8" s="92" t="n"/>
      <c r="L8" s="92" t="n"/>
      <c r="M8" s="92" t="n"/>
      <c r="N8" s="92" t="n"/>
      <c r="O8" s="93" t="n"/>
    </row>
    <row r="9" ht="24" customHeight="1">
      <c r="A9" s="16" t="inlineStr">
        <is>
          <t>Operation / Task Specification</t>
        </is>
      </c>
      <c r="B9" s="92" t="n"/>
      <c r="C9" s="93" t="n"/>
      <c r="D9" s="3" t="inlineStr">
        <is>
          <t>General surface cut (≤30 cm deep)</t>
        </is>
      </c>
      <c r="E9" s="18" t="inlineStr">
        <is>
          <t>—</t>
        </is>
      </c>
      <c r="F9" s="3" t="inlineStr">
        <is>
          <t>INPUT</t>
        </is>
      </c>
      <c r="G9" s="19" t="inlineStr">
        <is>
          <t>Specific activity variant or application subtype (e.g. open areas, pipe trenches, post holes, tree girth band, chemical barrier stage).</t>
        </is>
      </c>
      <c r="H9" s="92" t="n"/>
      <c r="I9" s="92" t="n"/>
      <c r="J9" s="92" t="n"/>
      <c r="K9" s="92" t="n"/>
      <c r="L9" s="92" t="n"/>
      <c r="M9" s="92" t="n"/>
      <c r="N9" s="92" t="n"/>
      <c r="O9" s="93" t="n"/>
    </row>
    <row r="10" ht="24" customHeight="1">
      <c r="A10" s="16" t="inlineStr">
        <is>
          <t>Standard Output Batch Quantity</t>
        </is>
      </c>
      <c r="B10" s="92" t="n"/>
      <c r="C10" s="93" t="n"/>
      <c r="D10" s="20" t="n">
        <v>1</v>
      </c>
      <c r="E10" s="18" t="inlineStr">
        <is>
          <t>units</t>
        </is>
      </c>
      <c r="F10" s="21" t="inlineStr">
        <is>
          <t>LOOKUP</t>
        </is>
      </c>
      <c r="G10" s="19" t="inlineStr">
        <is>
          <t>Standard output batch volume or area defined in CPWD DAR 2019 (100 sqm, 10 cum, 1 m, 1 tree, 10 holes).</t>
        </is>
      </c>
      <c r="H10" s="92" t="n"/>
      <c r="I10" s="92" t="n"/>
      <c r="J10" s="92" t="n"/>
      <c r="K10" s="92" t="n"/>
      <c r="L10" s="92" t="n"/>
      <c r="M10" s="92" t="n"/>
      <c r="N10" s="92" t="n"/>
      <c r="O10" s="93" t="n"/>
    </row>
    <row r="11" ht="24" customHeight="1">
      <c r="A11" s="16" t="inlineStr">
        <is>
          <t>Standard Output Measurement Unit</t>
        </is>
      </c>
      <c r="B11" s="92" t="n"/>
      <c r="C11" s="93" t="n"/>
      <c r="D11" s="21" t="n">
        <v>1</v>
      </c>
      <c r="E11" s="18" t="inlineStr">
        <is>
          <t>—</t>
        </is>
      </c>
      <c r="F11" s="21" t="inlineStr">
        <is>
          <t>LOOKUP</t>
        </is>
      </c>
      <c r="G11" s="19" t="inlineStr">
        <is>
          <t>Billing measurement unit for work output (cum, sqm, metre, tree, hole).</t>
        </is>
      </c>
      <c r="H11" s="92" t="n"/>
      <c r="I11" s="92" t="n"/>
      <c r="J11" s="92" t="n"/>
      <c r="K11" s="92" t="n"/>
      <c r="L11" s="92" t="n"/>
      <c r="M11" s="92" t="n"/>
      <c r="N11" s="92" t="n"/>
      <c r="O11" s="93" t="n"/>
    </row>
    <row r="12" ht="24" customHeight="1">
      <c r="A12" s="16" t="inlineStr">
        <is>
          <t>Custom Project Rate Reference Code</t>
        </is>
      </c>
      <c r="B12" s="92" t="n"/>
      <c r="C12" s="93" t="n"/>
      <c r="D12" s="3" t="inlineStr">
        <is>
          <t>C-02.01</t>
        </is>
      </c>
      <c r="E12" s="18" t="inlineStr">
        <is>
          <t>—</t>
        </is>
      </c>
      <c r="F12" s="3" t="inlineStr">
        <is>
          <t>INPUT</t>
        </is>
      </c>
      <c r="G12" s="19" t="inlineStr">
        <is>
          <t>Project-specific non-DSR reference code when saving custom rate variations.</t>
        </is>
      </c>
      <c r="H12" s="92" t="n"/>
      <c r="I12" s="92" t="n"/>
      <c r="J12" s="92" t="n"/>
      <c r="K12" s="92" t="n"/>
      <c r="L12" s="92" t="n"/>
      <c r="M12" s="92" t="n"/>
      <c r="N12" s="92" t="n"/>
      <c r="O12" s="93" t="n"/>
    </row>
    <row r="13" ht="40" customHeight="1">
      <c r="A13" s="22" t="inlineStr">
        <is>
          <t>Official Work Specification Nomenclature:</t>
        </is>
      </c>
      <c r="B13" s="92" t="n"/>
      <c r="C13" s="93" t="n"/>
      <c r="D13" s="23" t="n">
        <v>1</v>
      </c>
      <c r="E13" s="92" t="n"/>
      <c r="F13" s="92" t="n"/>
      <c r="G13" s="92" t="n"/>
      <c r="H13" s="92" t="n"/>
      <c r="I13" s="92" t="n"/>
      <c r="J13" s="92" t="n"/>
      <c r="K13" s="92" t="n"/>
      <c r="L13" s="92" t="n"/>
      <c r="M13" s="92" t="n"/>
      <c r="N13" s="92" t="n"/>
      <c r="O13" s="93" t="n"/>
    </row>
    <row r="14" ht="24" customHeight="1">
      <c r="A14" s="16" t="inlineStr">
        <is>
          <t>Published Reference Say Rate (Benchmark)</t>
        </is>
      </c>
      <c r="B14" s="92" t="n"/>
      <c r="C14" s="93" t="n"/>
      <c r="D14" s="24" t="n">
        <v>1</v>
      </c>
      <c r="E14" s="18" t="n">
        <v>1</v>
      </c>
      <c r="F14" s="21" t="inlineStr">
        <is>
          <t>LOOKUP</t>
        </is>
      </c>
      <c r="G14" s="19" t="inlineStr">
        <is>
          <t>Official CPWD DAR 2019 Volume 1 published rate for identical scope and strata.</t>
        </is>
      </c>
      <c r="H14" s="92" t="n"/>
      <c r="I14" s="92" t="n"/>
      <c r="J14" s="92" t="n"/>
      <c r="K14" s="92" t="n"/>
      <c r="L14" s="92" t="n"/>
      <c r="M14" s="92" t="n"/>
      <c r="N14" s="92" t="n"/>
      <c r="O14" s="93" t="n"/>
    </row>
    <row r="15" ht="24" customHeight="1">
      <c r="A15" s="25" t="inlineStr">
        <is>
          <t>AUDIT VERIFICATION STATUS:</t>
        </is>
      </c>
      <c r="B15" s="92" t="n"/>
      <c r="C15" s="93" t="n"/>
      <c r="D15" s="26" t="n">
        <v>1</v>
      </c>
      <c r="E15" s="27" t="inlineStr">
        <is>
          <t>Cost Base:</t>
        </is>
      </c>
      <c r="F15" s="28" t="n">
        <v>1</v>
      </c>
      <c r="G15" s="29" t="inlineStr">
        <is>
          <t>Live variance check against published CPWD DAR 2019 Volume 1 Say Rate. Target variance: ₹ 0.00.</t>
        </is>
      </c>
      <c r="H15" s="92" t="n"/>
      <c r="I15" s="92" t="n"/>
      <c r="J15" s="92" t="n"/>
      <c r="K15" s="92" t="n"/>
      <c r="L15" s="92" t="n"/>
      <c r="M15" s="92" t="n"/>
      <c r="N15" s="92" t="n"/>
      <c r="O15" s="93" t="n"/>
    </row>
    <row r="17" ht="24" customHeight="1">
      <c r="A17" s="12" t="inlineStr">
        <is>
          <t>1B. PARAMETRIC OPERATIONAL SPECIFICATION PROFILE (5 CORE CIVIL WORK LEVERS)</t>
        </is>
      </c>
    </row>
    <row r="18" ht="24" customHeight="1">
      <c r="A18" s="13" t="inlineStr">
        <is>
          <t>Operational Work Lever</t>
        </is>
      </c>
      <c r="B18" s="14" t="n"/>
      <c r="C18" s="15" t="n"/>
      <c r="D18" s="13" t="inlineStr">
        <is>
          <t>Active Execution Mechanism / Field Technique</t>
        </is>
      </c>
      <c r="E18" s="13" t="inlineStr">
        <is>
          <t>CPWD Standard Field Specification &amp; Practical Engineering Scope Notes</t>
        </is>
      </c>
      <c r="F18" s="14" t="n"/>
      <c r="G18" s="14" t="n"/>
      <c r="H18" s="14" t="n"/>
      <c r="I18" s="14" t="n"/>
      <c r="J18" s="14" t="n"/>
      <c r="K18" s="14" t="n"/>
      <c r="L18" s="14" t="n"/>
      <c r="M18" s="14" t="n"/>
      <c r="N18" s="14" t="n"/>
      <c r="O18" s="15" t="n"/>
    </row>
    <row r="19" ht="22" customHeight="1">
      <c r="A19" s="22" t="inlineStr">
        <is>
          <t>1. Loosening / Digging Mode</t>
        </is>
      </c>
      <c r="B19" s="92" t="n"/>
      <c r="C19" s="93" t="n"/>
      <c r="D19" s="30" t="n">
        <v>1</v>
      </c>
      <c r="E19" s="19" t="inlineStr">
        <is>
          <t>Loosening of soil/rock crust to required formation level or trench invert.</t>
        </is>
      </c>
      <c r="F19" s="92" t="n"/>
      <c r="G19" s="92" t="n"/>
      <c r="H19" s="92" t="n"/>
      <c r="I19" s="92" t="n"/>
      <c r="J19" s="92" t="n"/>
      <c r="K19" s="92" t="n"/>
      <c r="L19" s="92" t="n"/>
      <c r="M19" s="92" t="n"/>
      <c r="N19" s="92" t="n"/>
      <c r="O19" s="93" t="n"/>
    </row>
    <row r="20" ht="22" customHeight="1">
      <c r="A20" s="22" t="inlineStr">
        <is>
          <t>2. Handling &amp; Haulage Boundary</t>
        </is>
      </c>
      <c r="B20" s="92" t="n"/>
      <c r="C20" s="93" t="n"/>
      <c r="D20" s="30" t="n">
        <v>1</v>
      </c>
      <c r="E20" s="19" t="inlineStr">
        <is>
          <t>Haulage boundary: lead up to 50 m and lift up to 1.5 m from excavation face.</t>
        </is>
      </c>
      <c r="F20" s="92" t="n"/>
      <c r="G20" s="92" t="n"/>
      <c r="H20" s="92" t="n"/>
      <c r="I20" s="92" t="n"/>
      <c r="J20" s="92" t="n"/>
      <c r="K20" s="92" t="n"/>
      <c r="L20" s="92" t="n"/>
      <c r="M20" s="92" t="n"/>
      <c r="N20" s="92" t="n"/>
      <c r="O20" s="93" t="n"/>
    </row>
    <row r="21" ht="22" customHeight="1">
      <c r="A21" s="22" t="inlineStr">
        <is>
          <t>3. Layer Placement &amp; Spreading</t>
        </is>
      </c>
      <c r="B21" s="92" t="n"/>
      <c r="C21" s="93" t="n"/>
      <c r="D21" s="30" t="n">
        <v>1</v>
      </c>
      <c r="E21" s="19" t="inlineStr">
        <is>
          <t>Depositing excavated earth in uniform layers ≤20 cm depth, breaking clods and shaping slopes.</t>
        </is>
      </c>
      <c r="F21" s="92" t="n"/>
      <c r="G21" s="92" t="n"/>
      <c r="H21" s="92" t="n"/>
      <c r="I21" s="92" t="n"/>
      <c r="J21" s="92" t="n"/>
      <c r="K21" s="92" t="n"/>
      <c r="L21" s="92" t="n"/>
      <c r="M21" s="92" t="n"/>
      <c r="N21" s="92" t="n"/>
      <c r="O21" s="93" t="n"/>
    </row>
    <row r="22" ht="26" customHeight="1">
      <c r="A22" s="22" t="inlineStr">
        <is>
          <t>4. Compaction Watering to OMC</t>
        </is>
      </c>
      <c r="B22" s="92" t="n"/>
      <c r="C22" s="93" t="n"/>
      <c r="D22" s="3" t="inlineStr">
        <is>
          <t>YES</t>
        </is>
      </c>
      <c r="E22" s="19" t="n">
        <v>1</v>
      </c>
      <c r="F22" s="92" t="n"/>
      <c r="G22" s="92" t="n"/>
      <c r="H22" s="92" t="n"/>
      <c r="I22" s="92" t="n"/>
      <c r="J22" s="92" t="n"/>
      <c r="K22" s="92" t="n"/>
      <c r="L22" s="92" t="n"/>
      <c r="M22" s="92" t="n"/>
      <c r="N22" s="92" t="n"/>
      <c r="O22" s="93" t="n"/>
    </row>
    <row r="23" ht="26" customHeight="1">
      <c r="A23" s="22" t="inlineStr">
        <is>
          <t>5. Compaction Mechanism</t>
        </is>
      </c>
      <c r="B23" s="92" t="n"/>
      <c r="C23" s="93" t="n"/>
      <c r="D23" s="3" t="inlineStr">
        <is>
          <t>YES</t>
        </is>
      </c>
      <c r="E23" s="19" t="n">
        <v>1</v>
      </c>
      <c r="F23" s="92" t="n"/>
      <c r="G23" s="92" t="n"/>
      <c r="H23" s="92" t="n"/>
      <c r="I23" s="92" t="n"/>
      <c r="J23" s="92" t="n"/>
      <c r="K23" s="92" t="n"/>
      <c r="L23" s="92" t="n"/>
      <c r="M23" s="92" t="n"/>
      <c r="N23" s="92" t="n"/>
      <c r="O23" s="93" t="n"/>
    </row>
    <row r="25" ht="24" customHeight="1">
      <c r="A25" s="12" t="inlineStr">
        <is>
          <t>2. ACTIVE RESOURCE BUILD-UP (Auto-populated from Table 5E Ground-Truth Norms; Equipment codes include fuel &amp; crew)</t>
        </is>
      </c>
    </row>
    <row r="26" ht="24" customHeight="1">
      <c r="A26" s="13" t="inlineStr">
        <is>
          <t>Line</t>
        </is>
      </c>
      <c r="B26" s="13" t="inlineStr">
        <is>
          <t>Resource Code</t>
        </is>
      </c>
      <c r="C26" s="13" t="inlineStr">
        <is>
          <t>Resource Name &amp; Description</t>
        </is>
      </c>
      <c r="D26" s="13" t="inlineStr">
        <is>
          <t>Resource Category</t>
        </is>
      </c>
      <c r="E26" s="13" t="inlineStr">
        <is>
          <t>Unit</t>
        </is>
      </c>
      <c r="F26" s="13" t="inlineStr">
        <is>
          <t>Norm Input Qty</t>
        </is>
      </c>
      <c r="G26" s="13" t="inlineStr">
        <is>
          <t>Unit Rate (₹)</t>
        </is>
      </c>
      <c r="H26" s="13" t="inlineStr">
        <is>
          <t>Line Amount (₹)</t>
        </is>
      </c>
      <c r="I26" s="13" t="inlineStr">
        <is>
          <t>Include? / Apply</t>
        </is>
      </c>
      <c r="J26" s="13" t="inlineStr">
        <is>
          <t>Cost Share %</t>
        </is>
      </c>
      <c r="K26" s="13" t="inlineStr">
        <is>
          <t>Daily Productivity Norm</t>
        </is>
      </c>
      <c r="L26" s="13" t="inlineStr">
        <is>
          <t>Specific Effort</t>
        </is>
      </c>
      <c r="M26" s="13" t="inlineStr">
        <is>
          <t>Hourly Pace</t>
        </is>
      </c>
      <c r="N26" s="13" t="inlineStr">
        <is>
          <t>Field Guidance Note</t>
        </is>
      </c>
      <c r="O26" s="13" t="inlineStr">
        <is>
          <t>Engineering First-Principles &amp; 8-Hour Shift Logic</t>
        </is>
      </c>
    </row>
    <row r="27" ht="22" customHeight="1">
      <c r="A27" s="28" t="n">
        <v>1</v>
      </c>
      <c r="B27" s="21">
        <f>IFERROR(INDEX($G$105:$G$282, MATCH($D$6&amp;"|"&amp;$D$7&amp;"|"&amp;$D$8&amp;"|"&amp;$D$9&amp;"|"&amp;1, $P$105:$P$282, 0)), "")</f>
        <v/>
      </c>
      <c r="C27" s="31">
        <f>IF(B27="","", IFERROR(INDEX(Rates_Master!$C:$C, MATCH(B27, Rates_Master!$A:$A, 0)), IFERROR(INDEX($H$105:$H$282, MATCH($D$6&amp;"|"&amp;$D$7&amp;"|"&amp;$D$8&amp;"|"&amp;$D$9&amp;"|"&amp;1, $P$105:$P$282, 0)), "Custom Resource")))</f>
        <v/>
      </c>
      <c r="D27" s="32">
        <f>IF(B27="","", IFERROR(INDEX(Rates_Master!$B:$B, MATCH(B27, Rates_Master!$A:$A, 0)), "Labour"))</f>
        <v/>
      </c>
      <c r="E27" s="18">
        <f>IF(B27="","", IFERROR(INDEX(Rates_Master!$D:$D, MATCH(B27, Rates_Master!$A:$A, 0)), "day"))</f>
        <v/>
      </c>
      <c r="F27" s="33">
        <f>IF(B27="","", IF(B27="0101", IF($D$22="NO", 0, IF(AND(ISNUMBER(K27), K27&gt;0), ROUND(D$10/K27, 5), IFERROR(INDEX($I$105:$I$282, MATCH($D$6&amp;"|"&amp;$D$7&amp;"|"&amp;$D$8&amp;"|"&amp;$D$9&amp;"|"&amp;1, $P$105:$P$282, 0)), 0))), IF(OR(B27="0003", B27="0011", B27="0113"), IF($D$23="NO", 0, IF(AND(ISNUMBER(K27), K27&gt;0), ROUND(D$10/K27, 5), IFERROR(INDEX($I$105:$I$282, MATCH($D$6&amp;"|"&amp;$D$7&amp;"|"&amp;$D$8&amp;"|"&amp;$D$9&amp;"|"&amp;1, $P$105:$P$282, 0)), 0))), IF(AND(ISNUMBER(K27), K27&gt;0), ROUND(D$10/K27, 5), IFERROR(INDEX($I$105:$I$282, MATCH($D$6&amp;"|"&amp;$D$7&amp;"|"&amp;$D$8&amp;"|"&amp;$D$9&amp;"|"&amp;1, $P$105:$P$282, 0)), 0)))))</f>
        <v/>
      </c>
      <c r="G27" s="34">
        <f>IF(B27="","", IFERROR(INDEX(Rates_Master!$E:$E, MATCH(B27, Rates_Master!$A:$A, 0)), IFERROR(INDEX($K$105:$K$282, MATCH($D$6&amp;"|"&amp;$D$7&amp;"|"&amp;$D$8&amp;"|"&amp;$D$9&amp;"|"&amp;1, $P$105:$P$282, 0)), 0)))</f>
        <v/>
      </c>
      <c r="H27" s="35">
        <f>IF(OR(B27="", F27=""), 0, ROUND(F27 * G27, 2))</f>
        <v/>
      </c>
      <c r="I27" s="21">
        <f>IF(B27="","", IF(ISNUMBER(SEARCH("2.10", B27)), "A", "W"))</f>
        <v/>
      </c>
      <c r="J27" s="36">
        <f>IF(H$41&gt;0, ROUND(H27 / H$41 * 100, 1), 0)</f>
        <v/>
      </c>
      <c r="K27" s="37">
        <f>IFERROR(INDEX($N$105:$N$282, MATCH($D$6&amp;"|"&amp;$D$7&amp;"|"&amp;$D$8&amp;"|"&amp;$D$9&amp;"|"&amp;1, $P$105:$P$282, 0)), "")</f>
        <v/>
      </c>
      <c r="L27" s="38">
        <f>IF(AND(ISNUMBER(F27), F27&gt;0, D$10&gt;0), ROUND(F27 * 8 / D$10, 4), "")</f>
        <v/>
      </c>
      <c r="M27" s="37">
        <f>IF(AND(ISNUMBER(F27), F27&gt;0, D$10&gt;0), ROUND(D$10 / (F27 * 8), 2), "")</f>
        <v/>
      </c>
      <c r="N27" s="39">
        <f>IF(B27="","", "CPWD Standard Earthwork Production Resource")</f>
        <v/>
      </c>
      <c r="O27" s="39">
        <f>IF(B27="","", IF(B27="0101", IF($D$22="NO", "OMITTED DEDUCTION (DAR Item 2.5): 0.40 Bhishti-day @ Rs 617 = Rs 246.80 direct. Compounded with GST 14.05% (Rs 34.68) + CPOH 15% (Rs 42.22) + Cess 1% (Rs 3.24) = Rs 326.94/10 cum -&gt; -Rs 33.00/cum deduction.", "Watering by Bhishti to OMC: 25 cum/8-hr day (0.40 day/10 cum)."), IF(OR(B27="0003", B27="0011", B27="0113"),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 $P$105:$P$282, 0)), ""))))</f>
        <v/>
      </c>
    </row>
    <row r="28" ht="22" customHeight="1">
      <c r="A28" s="28" t="n">
        <v>2</v>
      </c>
      <c r="B28" s="21">
        <f>IFERROR(INDEX($G$105:$G$282, MATCH($D$6&amp;"|"&amp;$D$7&amp;"|"&amp;$D$8&amp;"|"&amp;$D$9&amp;"|"&amp;2, $P$105:$P$282, 0)), "")</f>
        <v/>
      </c>
      <c r="C28" s="31">
        <f>IF(B28="","", IFERROR(INDEX(Rates_Master!$C:$C, MATCH(B28, Rates_Master!$A:$A, 0)), IFERROR(INDEX($H$105:$H$282, MATCH($D$6&amp;"|"&amp;$D$7&amp;"|"&amp;$D$8&amp;"|"&amp;$D$9&amp;"|"&amp;2, $P$105:$P$282, 0)), "Custom Resource")))</f>
        <v/>
      </c>
      <c r="D28" s="32">
        <f>IF(B28="","", IFERROR(INDEX(Rates_Master!$B:$B, MATCH(B28, Rates_Master!$A:$A, 0)), "Labour"))</f>
        <v/>
      </c>
      <c r="E28" s="18">
        <f>IF(B28="","", IFERROR(INDEX(Rates_Master!$D:$D, MATCH(B28, Rates_Master!$A:$A, 0)), "day"))</f>
        <v/>
      </c>
      <c r="F28" s="33">
        <f>IF(B28="","", IF(B28="0101", IF($D$22="NO", 0, IF(AND(ISNUMBER(K28), K28&gt;0), ROUND(D$10/K28, 5), IFERROR(INDEX($I$105:$I$282, MATCH($D$6&amp;"|"&amp;$D$7&amp;"|"&amp;$D$8&amp;"|"&amp;$D$9&amp;"|"&amp;2, $P$105:$P$282, 0)), 0))), IF(OR(B28="0003", B28="0011", B28="0113"), IF($D$23="NO", 0, IF(AND(ISNUMBER(K28), K28&gt;0), ROUND(D$10/K28, 5), IFERROR(INDEX($I$105:$I$282, MATCH($D$6&amp;"|"&amp;$D$7&amp;"|"&amp;$D$8&amp;"|"&amp;$D$9&amp;"|"&amp;2, $P$105:$P$282, 0)), 0))), IF(AND(ISNUMBER(K28), K28&gt;0), ROUND(D$10/K28, 5), IFERROR(INDEX($I$105:$I$282, MATCH($D$6&amp;"|"&amp;$D$7&amp;"|"&amp;$D$8&amp;"|"&amp;$D$9&amp;"|"&amp;2, $P$105:$P$282, 0)), 0)))))</f>
        <v/>
      </c>
      <c r="G28" s="34">
        <f>IF(B28="","", IFERROR(INDEX(Rates_Master!$E:$E, MATCH(B28, Rates_Master!$A:$A, 0)), IFERROR(INDEX($K$105:$K$282, MATCH($D$6&amp;"|"&amp;$D$7&amp;"|"&amp;$D$8&amp;"|"&amp;$D$9&amp;"|"&amp;2, $P$105:$P$282, 0)), 0)))</f>
        <v/>
      </c>
      <c r="H28" s="35">
        <f>IF(OR(B28="", F28=""), 0, ROUND(F28 * G28, 2))</f>
        <v/>
      </c>
      <c r="I28" s="21">
        <f>IF(B28="","", IF(ISNUMBER(SEARCH("2.10", B28)), "A", "W"))</f>
        <v/>
      </c>
      <c r="J28" s="36">
        <f>IF(H$41&gt;0, ROUND(H28 / H$41 * 100, 1), 0)</f>
        <v/>
      </c>
      <c r="K28" s="37">
        <f>IFERROR(INDEX($N$105:$N$282, MATCH($D$6&amp;"|"&amp;$D$7&amp;"|"&amp;$D$8&amp;"|"&amp;$D$9&amp;"|"&amp;2, $P$105:$P$282, 0)), "")</f>
        <v/>
      </c>
      <c r="L28" s="38">
        <f>IF(AND(ISNUMBER(F28), F28&gt;0, D$10&gt;0), ROUND(F28 * 8 / D$10, 4), "")</f>
        <v/>
      </c>
      <c r="M28" s="37">
        <f>IF(AND(ISNUMBER(F28), F28&gt;0, D$10&gt;0), ROUND(D$10 / (F28 * 8), 2), "")</f>
        <v/>
      </c>
      <c r="N28" s="39">
        <f>IF(B28="","", "CPWD Standard Earthwork Production Resource")</f>
        <v/>
      </c>
      <c r="O28" s="39">
        <f>IF(B28="","", IF(B28="0101", IF($D$22="NO", "OMITTED DEDUCTION (DAR Item 2.5): 0.40 Bhishti-day @ Rs 617 = Rs 246.80 direct. Compounded with GST 14.05% (Rs 34.68) + CPOH 15% (Rs 42.22) + Cess 1% (Rs 3.24) = Rs 326.94/10 cum -&gt; -Rs 33.00/cum deduction.", "Watering by Bhishti to OMC: 25 cum/8-hr day (0.40 day/10 cum)."), IF(OR(B28="0003", B28="0011", B28="0113"),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MATCH($D$6&amp;"|"&amp;$D$7&amp;"|"&amp;$D$8&amp;"|"&amp;$D$9&amp;"|"&amp;2, $P$105:$P$282, 0)), ""))))</f>
        <v/>
      </c>
    </row>
    <row r="29" ht="22" customHeight="1">
      <c r="A29" s="28" t="n">
        <v>3</v>
      </c>
      <c r="B29" s="21">
        <f>IFERROR(INDEX($G$105:$G$282, MATCH($D$6&amp;"|"&amp;$D$7&amp;"|"&amp;$D$8&amp;"|"&amp;$D$9&amp;"|"&amp;3, $P$105:$P$282, 0)), "")</f>
        <v/>
      </c>
      <c r="C29" s="31">
        <f>IF(B29="","", IFERROR(INDEX(Rates_Master!$C:$C, MATCH(B29, Rates_Master!$A:$A, 0)), IFERROR(INDEX($H$105:$H$282, MATCH($D$6&amp;"|"&amp;$D$7&amp;"|"&amp;$D$8&amp;"|"&amp;$D$9&amp;"|"&amp;3, $P$105:$P$282, 0)), "Custom Resource")))</f>
        <v/>
      </c>
      <c r="D29" s="32">
        <f>IF(B29="","", IFERROR(INDEX(Rates_Master!$B:$B, MATCH(B29, Rates_Master!$A:$A, 0)), "Labour"))</f>
        <v/>
      </c>
      <c r="E29" s="18">
        <f>IF(B29="","", IFERROR(INDEX(Rates_Master!$D:$D, MATCH(B29, Rates_Master!$A:$A, 0)), "day"))</f>
        <v/>
      </c>
      <c r="F29" s="33">
        <f>IF(B29="","", IF(B29="0101", IF($D$22="NO", 0, IF(AND(ISNUMBER(K29), K29&gt;0), ROUND(D$10/K29, 5), IFERROR(INDEX($I$105:$I$282, MATCH($D$6&amp;"|"&amp;$D$7&amp;"|"&amp;$D$8&amp;"|"&amp;$D$9&amp;"|"&amp;3, $P$105:$P$282, 0)), 0))), IF(OR(B29="0003", B29="0011", B29="0113"), IF($D$23="NO", 0, IF(AND(ISNUMBER(K29), K29&gt;0), ROUND(D$10/K29, 5), IFERROR(INDEX($I$105:$I$282, MATCH($D$6&amp;"|"&amp;$D$7&amp;"|"&amp;$D$8&amp;"|"&amp;$D$9&amp;"|"&amp;3, $P$105:$P$282, 0)), 0))), IF(AND(ISNUMBER(K29), K29&gt;0), ROUND(D$10/K29, 5), IFERROR(INDEX($I$105:$I$282, MATCH($D$6&amp;"|"&amp;$D$7&amp;"|"&amp;$D$8&amp;"|"&amp;$D$9&amp;"|"&amp;3, $P$105:$P$282, 0)), 0)))))</f>
        <v/>
      </c>
      <c r="G29" s="34">
        <f>IF(B29="","", IFERROR(INDEX(Rates_Master!$E:$E, MATCH(B29, Rates_Master!$A:$A, 0)), IFERROR(INDEX($K$105:$K$282, MATCH($D$6&amp;"|"&amp;$D$7&amp;"|"&amp;$D$8&amp;"|"&amp;$D$9&amp;"|"&amp;3, $P$105:$P$282, 0)), 0)))</f>
        <v/>
      </c>
      <c r="H29" s="35">
        <f>IF(OR(B29="", F29=""), 0, ROUND(F29 * G29, 2))</f>
        <v/>
      </c>
      <c r="I29" s="21">
        <f>IF(B29="","", IF(ISNUMBER(SEARCH("2.10", B29)), "A", "W"))</f>
        <v/>
      </c>
      <c r="J29" s="36">
        <f>IF(H$41&gt;0, ROUND(H29 / H$41 * 100, 1), 0)</f>
        <v/>
      </c>
      <c r="K29" s="37">
        <f>IFERROR(INDEX($N$105:$N$282, MATCH($D$6&amp;"|"&amp;$D$7&amp;"|"&amp;$D$8&amp;"|"&amp;$D$9&amp;"|"&amp;3, $P$105:$P$282, 0)), "")</f>
        <v/>
      </c>
      <c r="L29" s="38">
        <f>IF(AND(ISNUMBER(F29), F29&gt;0, D$10&gt;0), ROUND(F29 * 8 / D$10, 4), "")</f>
        <v/>
      </c>
      <c r="M29" s="37">
        <f>IF(AND(ISNUMBER(F29), F29&gt;0, D$10&gt;0), ROUND(D$10 / (F29 * 8), 2), "")</f>
        <v/>
      </c>
      <c r="N29" s="39">
        <f>IF(B29="","", "CPWD Standard Earthwork Production Resource")</f>
        <v/>
      </c>
      <c r="O29" s="39">
        <f>IF(B29="","", IF(B29="0101", IF($D$22="NO", "OMITTED DEDUCTION (DAR Item 2.5): 0.40 Bhishti-day @ Rs 617 = Rs 246.80 direct. Compounded with GST 14.05% (Rs 34.68) + CPOH 15% (Rs 42.22) + Cess 1% (Rs 3.24) = Rs 326.94/10 cum -&gt; -Rs 33.00/cum deduction.", "Watering by Bhishti to OMC: 25 cum/8-hr day (0.40 day/10 cum)."), IF(OR(B29="0003", B29="0011", B29="0113"),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MATCH($D$6&amp;"|"&amp;$D$7&amp;"|"&amp;$D$8&amp;"|"&amp;$D$9&amp;"|"&amp;3, $P$105:$P$282, 0)), ""))))</f>
        <v/>
      </c>
    </row>
    <row r="30" ht="22" customHeight="1">
      <c r="A30" s="28" t="n">
        <v>4</v>
      </c>
      <c r="B30" s="21">
        <f>IFERROR(INDEX($G$105:$G$282, MATCH($D$6&amp;"|"&amp;$D$7&amp;"|"&amp;$D$8&amp;"|"&amp;$D$9&amp;"|"&amp;4, $P$105:$P$282, 0)), "")</f>
        <v/>
      </c>
      <c r="C30" s="31">
        <f>IF(B30="","", IFERROR(INDEX(Rates_Master!$C:$C, MATCH(B30, Rates_Master!$A:$A, 0)), IFERROR(INDEX($H$105:$H$282, MATCH($D$6&amp;"|"&amp;$D$7&amp;"|"&amp;$D$8&amp;"|"&amp;$D$9&amp;"|"&amp;4, $P$105:$P$282, 0)), "Custom Resource")))</f>
        <v/>
      </c>
      <c r="D30" s="32">
        <f>IF(B30="","", IFERROR(INDEX(Rates_Master!$B:$B, MATCH(B30, Rates_Master!$A:$A, 0)), "Labour"))</f>
        <v/>
      </c>
      <c r="E30" s="18">
        <f>IF(B30="","", IFERROR(INDEX(Rates_Master!$D:$D, MATCH(B30, Rates_Master!$A:$A, 0)), "day"))</f>
        <v/>
      </c>
      <c r="F30" s="33">
        <f>IF(B30="","", IF(B30="0101", IF($D$22="NO", 0, IF(AND(ISNUMBER(K30), K30&gt;0), ROUND(D$10/K30, 5), IFERROR(INDEX($I$105:$I$282, MATCH($D$6&amp;"|"&amp;$D$7&amp;"|"&amp;$D$8&amp;"|"&amp;$D$9&amp;"|"&amp;4, $P$105:$P$282, 0)), 0))), IF(OR(B30="0003", B30="0011", B30="0113"), IF($D$23="NO", 0, IF(AND(ISNUMBER(K30), K30&gt;0), ROUND(D$10/K30, 5), IFERROR(INDEX($I$105:$I$282, MATCH($D$6&amp;"|"&amp;$D$7&amp;"|"&amp;$D$8&amp;"|"&amp;$D$9&amp;"|"&amp;4, $P$105:$P$282, 0)), 0))), IF(AND(ISNUMBER(K30), K30&gt;0), ROUND(D$10/K30, 5), IFERROR(INDEX($I$105:$I$282, MATCH($D$6&amp;"|"&amp;$D$7&amp;"|"&amp;$D$8&amp;"|"&amp;$D$9&amp;"|"&amp;4, $P$105:$P$282, 0)), 0)))))</f>
        <v/>
      </c>
      <c r="G30" s="34">
        <f>IF(B30="","", IFERROR(INDEX(Rates_Master!$E:$E, MATCH(B30, Rates_Master!$A:$A, 0)), IFERROR(INDEX($K$105:$K$282, MATCH($D$6&amp;"|"&amp;$D$7&amp;"|"&amp;$D$8&amp;"|"&amp;$D$9&amp;"|"&amp;4, $P$105:$P$282, 0)), 0)))</f>
        <v/>
      </c>
      <c r="H30" s="35">
        <f>IF(OR(B30="", F30=""), 0, ROUND(F30 * G30, 2))</f>
        <v/>
      </c>
      <c r="I30" s="21">
        <f>IF(B30="","", IF(ISNUMBER(SEARCH("2.10", B30)), "A", "W"))</f>
        <v/>
      </c>
      <c r="J30" s="36">
        <f>IF(H$41&gt;0, ROUND(H30 / H$41 * 100, 1), 0)</f>
        <v/>
      </c>
      <c r="K30" s="37">
        <f>IFERROR(INDEX($N$105:$N$282, MATCH($D$6&amp;"|"&amp;$D$7&amp;"|"&amp;$D$8&amp;"|"&amp;$D$9&amp;"|"&amp;4, $P$105:$P$282, 0)), "")</f>
        <v/>
      </c>
      <c r="L30" s="38">
        <f>IF(AND(ISNUMBER(F30), F30&gt;0, D$10&gt;0), ROUND(F30 * 8 / D$10, 4), "")</f>
        <v/>
      </c>
      <c r="M30" s="37">
        <f>IF(AND(ISNUMBER(F30), F30&gt;0, D$10&gt;0), ROUND(D$10 / (F30 * 8), 2), "")</f>
        <v/>
      </c>
      <c r="N30" s="39">
        <f>IF(B30="","", "CPWD Standard Earthwork Production Resource")</f>
        <v/>
      </c>
      <c r="O30" s="39">
        <f>IF(B30="","", IF(B30="0101", IF($D$22="NO", "OMITTED DEDUCTION (DAR Item 2.5): 0.40 Bhishti-day @ Rs 617 = Rs 246.80 direct. Compounded with GST 14.05% (Rs 34.68) + CPOH 15% (Rs 42.22) + Cess 1% (Rs 3.24) = Rs 326.94/10 cum -&gt; -Rs 33.00/cum deduction.", "Watering by Bhishti to OMC: 25 cum/8-hr day (0.40 day/10 cum)."), IF(OR(B30="0003", B30="0011", B30="0113"),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MATCH($D$6&amp;"|"&amp;$D$7&amp;"|"&amp;$D$8&amp;"|"&amp;$D$9&amp;"|"&amp;4, $P$105:$P$282, 0)), ""))))</f>
        <v/>
      </c>
    </row>
    <row r="31" ht="22" customHeight="1">
      <c r="A31" s="28" t="n">
        <v>5</v>
      </c>
      <c r="B31" s="21">
        <f>IFERROR(INDEX($G$105:$G$282, MATCH($D$6&amp;"|"&amp;$D$7&amp;"|"&amp;$D$8&amp;"|"&amp;$D$9&amp;"|"&amp;5, $P$105:$P$282, 0)), "")</f>
        <v/>
      </c>
      <c r="C31" s="31">
        <f>IF(B31="","", IFERROR(INDEX(Rates_Master!$C:$C, MATCH(B31, Rates_Master!$A:$A, 0)), IFERROR(INDEX($H$105:$H$282, MATCH($D$6&amp;"|"&amp;$D$7&amp;"|"&amp;$D$8&amp;"|"&amp;$D$9&amp;"|"&amp;5, $P$105:$P$282, 0)), "Custom Resource")))</f>
        <v/>
      </c>
      <c r="D31" s="32">
        <f>IF(B31="","", IFERROR(INDEX(Rates_Master!$B:$B, MATCH(B31, Rates_Master!$A:$A, 0)), "Labour"))</f>
        <v/>
      </c>
      <c r="E31" s="18">
        <f>IF(B31="","", IFERROR(INDEX(Rates_Master!$D:$D, MATCH(B31, Rates_Master!$A:$A, 0)), "day"))</f>
        <v/>
      </c>
      <c r="F31" s="33">
        <f>IF(B31="","", IF(B31="0101", IF($D$22="NO", 0, IF(AND(ISNUMBER(K31), K31&gt;0), ROUND(D$10/K31, 5), IFERROR(INDEX($I$105:$I$282, MATCH($D$6&amp;"|"&amp;$D$7&amp;"|"&amp;$D$8&amp;"|"&amp;$D$9&amp;"|"&amp;5, $P$105:$P$282, 0)), 0))), IF(OR(B31="0003", B31="0011", B31="0113"), IF($D$23="NO", 0, IF(AND(ISNUMBER(K31), K31&gt;0), ROUND(D$10/K31, 5), IFERROR(INDEX($I$105:$I$282, MATCH($D$6&amp;"|"&amp;$D$7&amp;"|"&amp;$D$8&amp;"|"&amp;$D$9&amp;"|"&amp;5, $P$105:$P$282, 0)), 0))), IF(AND(ISNUMBER(K31), K31&gt;0), ROUND(D$10/K31, 5), IFERROR(INDEX($I$105:$I$282, MATCH($D$6&amp;"|"&amp;$D$7&amp;"|"&amp;$D$8&amp;"|"&amp;$D$9&amp;"|"&amp;5, $P$105:$P$282, 0)), 0)))))</f>
        <v/>
      </c>
      <c r="G31" s="34">
        <f>IF(B31="","", IFERROR(INDEX(Rates_Master!$E:$E, MATCH(B31, Rates_Master!$A:$A, 0)), IFERROR(INDEX($K$105:$K$282, MATCH($D$6&amp;"|"&amp;$D$7&amp;"|"&amp;$D$8&amp;"|"&amp;$D$9&amp;"|"&amp;5, $P$105:$P$282, 0)), 0)))</f>
        <v/>
      </c>
      <c r="H31" s="35">
        <f>IF(OR(B31="", F31=""), 0, ROUND(F31 * G31, 2))</f>
        <v/>
      </c>
      <c r="I31" s="21">
        <f>IF(B31="","", IF(ISNUMBER(SEARCH("2.10", B31)), "A", "W"))</f>
        <v/>
      </c>
      <c r="J31" s="36">
        <f>IF(H$41&gt;0, ROUND(H31 / H$41 * 100, 1), 0)</f>
        <v/>
      </c>
      <c r="K31" s="37">
        <f>IFERROR(INDEX($N$105:$N$282, MATCH($D$6&amp;"|"&amp;$D$7&amp;"|"&amp;$D$8&amp;"|"&amp;$D$9&amp;"|"&amp;5, $P$105:$P$282, 0)), "")</f>
        <v/>
      </c>
      <c r="L31" s="38">
        <f>IF(AND(ISNUMBER(F31), F31&gt;0, D$10&gt;0), ROUND(F31 * 8 / D$10, 4), "")</f>
        <v/>
      </c>
      <c r="M31" s="37">
        <f>IF(AND(ISNUMBER(F31), F31&gt;0, D$10&gt;0), ROUND(D$10 / (F31 * 8), 2), "")</f>
        <v/>
      </c>
      <c r="N31" s="39">
        <f>IF(B31="","", "CPWD Standard Earthwork Production Resource")</f>
        <v/>
      </c>
      <c r="O31" s="39">
        <f>IF(B31="","", IF(B31="0101", IF($D$22="NO", "OMITTED DEDUCTION (DAR Item 2.5): 0.40 Bhishti-day @ Rs 617 = Rs 246.80 direct. Compounded with GST 14.05% (Rs 34.68) + CPOH 15% (Rs 42.22) + Cess 1% (Rs 3.24) = Rs 326.94/10 cum -&gt; -Rs 33.00/cum deduction.", "Watering by Bhishti to OMC: 25 cum/8-hr day (0.40 day/10 cum)."), IF(OR(B31="0003", B31="0011", B31="0113"),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MATCH($D$6&amp;"|"&amp;$D$7&amp;"|"&amp;$D$8&amp;"|"&amp;$D$9&amp;"|"&amp;5, $P$105:$P$282, 0)), ""))))</f>
        <v/>
      </c>
    </row>
    <row r="32" ht="22" customHeight="1">
      <c r="A32" s="28" t="n">
        <v>6</v>
      </c>
      <c r="B32" s="21">
        <f>IFERROR(INDEX($G$105:$G$282, MATCH($D$6&amp;"|"&amp;$D$7&amp;"|"&amp;$D$8&amp;"|"&amp;$D$9&amp;"|"&amp;6, $P$105:$P$282, 0)), "")</f>
        <v/>
      </c>
      <c r="C32" s="31">
        <f>IF(B32="","", IFERROR(INDEX(Rates_Master!$C:$C, MATCH(B32, Rates_Master!$A:$A, 0)), IFERROR(INDEX($H$105:$H$282, MATCH($D$6&amp;"|"&amp;$D$7&amp;"|"&amp;$D$8&amp;"|"&amp;$D$9&amp;"|"&amp;6, $P$105:$P$282, 0)), "Custom Resource")))</f>
        <v/>
      </c>
      <c r="D32" s="32">
        <f>IF(B32="","", IFERROR(INDEX(Rates_Master!$B:$B, MATCH(B32, Rates_Master!$A:$A, 0)), "Labour"))</f>
        <v/>
      </c>
      <c r="E32" s="18">
        <f>IF(B32="","", IFERROR(INDEX(Rates_Master!$D:$D, MATCH(B32, Rates_Master!$A:$A, 0)), "day"))</f>
        <v/>
      </c>
      <c r="F32" s="33">
        <f>IF(B32="","", IF(B32="0101", IF($D$22="NO", 0, IF(AND(ISNUMBER(K32), K32&gt;0), ROUND(D$10/K32, 5), IFERROR(INDEX($I$105:$I$282, MATCH($D$6&amp;"|"&amp;$D$7&amp;"|"&amp;$D$8&amp;"|"&amp;$D$9&amp;"|"&amp;6, $P$105:$P$282, 0)), 0))), IF(OR(B32="0003", B32="0011", B32="0113"), IF($D$23="NO", 0, IF(AND(ISNUMBER(K32), K32&gt;0), ROUND(D$10/K32, 5), IFERROR(INDEX($I$105:$I$282, MATCH($D$6&amp;"|"&amp;$D$7&amp;"|"&amp;$D$8&amp;"|"&amp;$D$9&amp;"|"&amp;6, $P$105:$P$282, 0)), 0))), IF(AND(ISNUMBER(K32), K32&gt;0), ROUND(D$10/K32, 5), IFERROR(INDEX($I$105:$I$282, MATCH($D$6&amp;"|"&amp;$D$7&amp;"|"&amp;$D$8&amp;"|"&amp;$D$9&amp;"|"&amp;6, $P$105:$P$282, 0)), 0)))))</f>
        <v/>
      </c>
      <c r="G32" s="34">
        <f>IF(B32="","", IFERROR(INDEX(Rates_Master!$E:$E, MATCH(B32, Rates_Master!$A:$A, 0)), IFERROR(INDEX($K$105:$K$282, MATCH($D$6&amp;"|"&amp;$D$7&amp;"|"&amp;$D$8&amp;"|"&amp;$D$9&amp;"|"&amp;6, $P$105:$P$282, 0)), 0)))</f>
        <v/>
      </c>
      <c r="H32" s="35">
        <f>IF(OR(B32="", F32=""), 0, ROUND(F32 * G32, 2))</f>
        <v/>
      </c>
      <c r="I32" s="21">
        <f>IF(B32="","", IF(ISNUMBER(SEARCH("2.10", B32)), "A", "W"))</f>
        <v/>
      </c>
      <c r="J32" s="36">
        <f>IF(H$41&gt;0, ROUND(H32 / H$41 * 100, 1), 0)</f>
        <v/>
      </c>
      <c r="K32" s="37">
        <f>IFERROR(INDEX($N$105:$N$282, MATCH($D$6&amp;"|"&amp;$D$7&amp;"|"&amp;$D$8&amp;"|"&amp;$D$9&amp;"|"&amp;6, $P$105:$P$282, 0)), "")</f>
        <v/>
      </c>
      <c r="L32" s="38">
        <f>IF(AND(ISNUMBER(F32), F32&gt;0, D$10&gt;0), ROUND(F32 * 8 / D$10, 4), "")</f>
        <v/>
      </c>
      <c r="M32" s="37">
        <f>IF(AND(ISNUMBER(F32), F32&gt;0, D$10&gt;0), ROUND(D$10 / (F32 * 8), 2), "")</f>
        <v/>
      </c>
      <c r="N32" s="39">
        <f>IF(B32="","", "CPWD Standard Earthwork Production Resource")</f>
        <v/>
      </c>
      <c r="O32" s="39">
        <f>IF(B32="","", IF(B32="0101", IF($D$22="NO", "OMITTED DEDUCTION (DAR Item 2.5): 0.40 Bhishti-day @ Rs 617 = Rs 246.80 direct. Compounded with GST 14.05% (Rs 34.68) + CPOH 15% (Rs 42.22) + Cess 1% (Rs 3.24) = Rs 326.94/10 cum -&gt; -Rs 33.00/cum deduction.", "Watering by Bhishti to OMC: 25 cum/8-hr day (0.40 day/10 cum)."), IF(OR(B32="0003", B32="0011", B32="0113"),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MATCH($D$6&amp;"|"&amp;$D$7&amp;"|"&amp;$D$8&amp;"|"&amp;$D$9&amp;"|"&amp;6, $P$105:$P$282, 0)), ""))))</f>
        <v/>
      </c>
    </row>
    <row r="33" ht="22" customHeight="1">
      <c r="A33" s="28" t="n">
        <v>7</v>
      </c>
      <c r="B33" s="21">
        <f>IFERROR(INDEX($G$105:$G$282, MATCH($D$6&amp;"|"&amp;$D$7&amp;"|"&amp;$D$8&amp;"|"&amp;$D$9&amp;"|"&amp;7, $P$105:$P$282, 0)), "")</f>
        <v/>
      </c>
      <c r="C33" s="31">
        <f>IF(B33="","", IFERROR(INDEX(Rates_Master!$C:$C, MATCH(B33, Rates_Master!$A:$A, 0)), IFERROR(INDEX($H$105:$H$282, MATCH($D$6&amp;"|"&amp;$D$7&amp;"|"&amp;$D$8&amp;"|"&amp;$D$9&amp;"|"&amp;7, $P$105:$P$282, 0)), "Custom Resource")))</f>
        <v/>
      </c>
      <c r="D33" s="32">
        <f>IF(B33="","", IFERROR(INDEX(Rates_Master!$B:$B, MATCH(B33, Rates_Master!$A:$A, 0)), "Labour"))</f>
        <v/>
      </c>
      <c r="E33" s="18">
        <f>IF(B33="","", IFERROR(INDEX(Rates_Master!$D:$D, MATCH(B33, Rates_Master!$A:$A, 0)), "day"))</f>
        <v/>
      </c>
      <c r="F33" s="33">
        <f>IF(B33="","", IF(B33="0101", IF($D$22="NO", 0, IF(AND(ISNUMBER(K33), K33&gt;0), ROUND(D$10/K33, 5), IFERROR(INDEX($I$105:$I$282, MATCH($D$6&amp;"|"&amp;$D$7&amp;"|"&amp;$D$8&amp;"|"&amp;$D$9&amp;"|"&amp;7, $P$105:$P$282, 0)), 0))), IF(OR(B33="0003", B33="0011", B33="0113"), IF($D$23="NO", 0, IF(AND(ISNUMBER(K33), K33&gt;0), ROUND(D$10/K33, 5), IFERROR(INDEX($I$105:$I$282, MATCH($D$6&amp;"|"&amp;$D$7&amp;"|"&amp;$D$8&amp;"|"&amp;$D$9&amp;"|"&amp;7, $P$105:$P$282, 0)), 0))), IF(AND(ISNUMBER(K33), K33&gt;0), ROUND(D$10/K33, 5), IFERROR(INDEX($I$105:$I$282, MATCH($D$6&amp;"|"&amp;$D$7&amp;"|"&amp;$D$8&amp;"|"&amp;$D$9&amp;"|"&amp;7, $P$105:$P$282, 0)), 0)))))</f>
        <v/>
      </c>
      <c r="G33" s="34">
        <f>IF(B33="","", IFERROR(INDEX(Rates_Master!$E:$E, MATCH(B33, Rates_Master!$A:$A, 0)), IFERROR(INDEX($K$105:$K$282, MATCH($D$6&amp;"|"&amp;$D$7&amp;"|"&amp;$D$8&amp;"|"&amp;$D$9&amp;"|"&amp;7, $P$105:$P$282, 0)), 0)))</f>
        <v/>
      </c>
      <c r="H33" s="35">
        <f>IF(OR(B33="", F33=""), 0, ROUND(F33 * G33, 2))</f>
        <v/>
      </c>
      <c r="I33" s="21">
        <f>IF(B33="","", IF(ISNUMBER(SEARCH("2.10", B33)), "A", "W"))</f>
        <v/>
      </c>
      <c r="J33" s="36">
        <f>IF(H$41&gt;0, ROUND(H33 / H$41 * 100, 1), 0)</f>
        <v/>
      </c>
      <c r="K33" s="37">
        <f>IFERROR(INDEX($N$105:$N$282, MATCH($D$6&amp;"|"&amp;$D$7&amp;"|"&amp;$D$8&amp;"|"&amp;$D$9&amp;"|"&amp;7, $P$105:$P$282, 0)), "")</f>
        <v/>
      </c>
      <c r="L33" s="38">
        <f>IF(AND(ISNUMBER(F33), F33&gt;0, D$10&gt;0), ROUND(F33 * 8 / D$10, 4), "")</f>
        <v/>
      </c>
      <c r="M33" s="37">
        <f>IF(AND(ISNUMBER(F33), F33&gt;0, D$10&gt;0), ROUND(D$10 / (F33 * 8), 2), "")</f>
        <v/>
      </c>
      <c r="N33" s="39">
        <f>IF(B33="","", "CPWD Standard Earthwork Production Resource")</f>
        <v/>
      </c>
      <c r="O33" s="39">
        <f>IF(B33="","", IF(B33="0101", IF($D$22="NO", "OMITTED DEDUCTION (DAR Item 2.5): 0.40 Bhishti-day @ Rs 617 = Rs 246.80 direct. Compounded with GST 14.05% (Rs 34.68) + CPOH 15% (Rs 42.22) + Cess 1% (Rs 3.24) = Rs 326.94/10 cum -&gt; -Rs 33.00/cum deduction.", "Watering by Bhishti to OMC: 25 cum/8-hr day (0.40 day/10 cum)."), IF(OR(B33="0003", B33="0011", B33="0113"),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MATCH($D$6&amp;"|"&amp;$D$7&amp;"|"&amp;$D$8&amp;"|"&amp;$D$9&amp;"|"&amp;7, $P$105:$P$282, 0)), ""))))</f>
        <v/>
      </c>
    </row>
    <row r="34" ht="22" customHeight="1">
      <c r="A34" s="28" t="n">
        <v>8</v>
      </c>
      <c r="B34" s="21">
        <f>IFERROR(INDEX($G$105:$G$282, MATCH($D$6&amp;"|"&amp;$D$7&amp;"|"&amp;$D$8&amp;"|"&amp;$D$9&amp;"|"&amp;8, $P$105:$P$282, 0)), "")</f>
        <v/>
      </c>
      <c r="C34" s="31">
        <f>IF(B34="","", IFERROR(INDEX(Rates_Master!$C:$C, MATCH(B34, Rates_Master!$A:$A, 0)), IFERROR(INDEX($H$105:$H$282, MATCH($D$6&amp;"|"&amp;$D$7&amp;"|"&amp;$D$8&amp;"|"&amp;$D$9&amp;"|"&amp;8, $P$105:$P$282, 0)), "Custom Resource")))</f>
        <v/>
      </c>
      <c r="D34" s="32">
        <f>IF(B34="","", IFERROR(INDEX(Rates_Master!$B:$B, MATCH(B34, Rates_Master!$A:$A, 0)), "Labour"))</f>
        <v/>
      </c>
      <c r="E34" s="18">
        <f>IF(B34="","", IFERROR(INDEX(Rates_Master!$D:$D, MATCH(B34, Rates_Master!$A:$A, 0)), "day"))</f>
        <v/>
      </c>
      <c r="F34" s="33">
        <f>IF(B34="","", IF(B34="0101", IF($D$22="NO", 0, IF(AND(ISNUMBER(K34), K34&gt;0), ROUND(D$10/K34, 5), IFERROR(INDEX($I$105:$I$282, MATCH($D$6&amp;"|"&amp;$D$7&amp;"|"&amp;$D$8&amp;"|"&amp;$D$9&amp;"|"&amp;8, $P$105:$P$282, 0)), 0))), IF(OR(B34="0003", B34="0011", B34="0113"), IF($D$23="NO", 0, IF(AND(ISNUMBER(K34), K34&gt;0), ROUND(D$10/K34, 5), IFERROR(INDEX($I$105:$I$282, MATCH($D$6&amp;"|"&amp;$D$7&amp;"|"&amp;$D$8&amp;"|"&amp;$D$9&amp;"|"&amp;8, $P$105:$P$282, 0)), 0))), IF(AND(ISNUMBER(K34), K34&gt;0), ROUND(D$10/K34, 5), IFERROR(INDEX($I$105:$I$282, MATCH($D$6&amp;"|"&amp;$D$7&amp;"|"&amp;$D$8&amp;"|"&amp;$D$9&amp;"|"&amp;8, $P$105:$P$282, 0)), 0)))))</f>
        <v/>
      </c>
      <c r="G34" s="34">
        <f>IF(B34="","", IFERROR(INDEX(Rates_Master!$E:$E, MATCH(B34, Rates_Master!$A:$A, 0)), IFERROR(INDEX($K$105:$K$282, MATCH($D$6&amp;"|"&amp;$D$7&amp;"|"&amp;$D$8&amp;"|"&amp;$D$9&amp;"|"&amp;8, $P$105:$P$282, 0)), 0)))</f>
        <v/>
      </c>
      <c r="H34" s="35">
        <f>IF(OR(B34="", F34=""), 0, ROUND(F34 * G34, 2))</f>
        <v/>
      </c>
      <c r="I34" s="21">
        <f>IF(B34="","", IF(ISNUMBER(SEARCH("2.10", B34)), "A", "W"))</f>
        <v/>
      </c>
      <c r="J34" s="36">
        <f>IF(H$41&gt;0, ROUND(H34 / H$41 * 100, 1), 0)</f>
        <v/>
      </c>
      <c r="K34" s="37">
        <f>IFERROR(INDEX($N$105:$N$282, MATCH($D$6&amp;"|"&amp;$D$7&amp;"|"&amp;$D$8&amp;"|"&amp;$D$9&amp;"|"&amp;8, $P$105:$P$282, 0)), "")</f>
        <v/>
      </c>
      <c r="L34" s="38">
        <f>IF(AND(ISNUMBER(F34), F34&gt;0, D$10&gt;0), ROUND(F34 * 8 / D$10, 4), "")</f>
        <v/>
      </c>
      <c r="M34" s="37">
        <f>IF(AND(ISNUMBER(F34), F34&gt;0, D$10&gt;0), ROUND(D$10 / (F34 * 8), 2), "")</f>
        <v/>
      </c>
      <c r="N34" s="39">
        <f>IF(B34="","", "CPWD Standard Earthwork Production Resource")</f>
        <v/>
      </c>
      <c r="O34" s="39">
        <f>IF(B34="","", IF(B34="0101", IF($D$22="NO", "OMITTED DEDUCTION (DAR Item 2.5): 0.40 Bhishti-day @ Rs 617 = Rs 246.80 direct. Compounded with GST 14.05% (Rs 34.68) + CPOH 15% (Rs 42.22) + Cess 1% (Rs 3.24) = Rs 326.94/10 cum -&gt; -Rs 33.00/cum deduction.", "Watering by Bhishti to OMC: 25 cum/8-hr day (0.40 day/10 cum)."), IF(OR(B34="0003", B34="0011", B34="0113"),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MATCH($D$6&amp;"|"&amp;$D$7&amp;"|"&amp;$D$8&amp;"|"&amp;$D$9&amp;"|"&amp;8, $P$105:$P$282, 0)), ""))))</f>
        <v/>
      </c>
    </row>
    <row r="35" ht="22" customHeight="1">
      <c r="A35" s="28" t="n">
        <v>9</v>
      </c>
      <c r="B35" s="21">
        <f>IFERROR(INDEX($G$105:$G$282, MATCH($D$6&amp;"|"&amp;$D$7&amp;"|"&amp;$D$8&amp;"|"&amp;$D$9&amp;"|"&amp;9, $P$105:$P$282, 0)), "")</f>
        <v/>
      </c>
      <c r="C35" s="31">
        <f>IF(B35="","", IFERROR(INDEX(Rates_Master!$C:$C, MATCH(B35, Rates_Master!$A:$A, 0)), IFERROR(INDEX($H$105:$H$282, MATCH($D$6&amp;"|"&amp;$D$7&amp;"|"&amp;$D$8&amp;"|"&amp;$D$9&amp;"|"&amp;9, $P$105:$P$282, 0)), "Custom Resource")))</f>
        <v/>
      </c>
      <c r="D35" s="32">
        <f>IF(B35="","", IFERROR(INDEX(Rates_Master!$B:$B, MATCH(B35, Rates_Master!$A:$A, 0)), "Labour"))</f>
        <v/>
      </c>
      <c r="E35" s="18">
        <f>IF(B35="","", IFERROR(INDEX(Rates_Master!$D:$D, MATCH(B35, Rates_Master!$A:$A, 0)), "day"))</f>
        <v/>
      </c>
      <c r="F35" s="33">
        <f>IF(B35="","", IF(B35="0101", IF($D$22="NO", 0, IF(AND(ISNUMBER(K35), K35&gt;0), ROUND(D$10/K35, 5), IFERROR(INDEX($I$105:$I$282, MATCH($D$6&amp;"|"&amp;$D$7&amp;"|"&amp;$D$8&amp;"|"&amp;$D$9&amp;"|"&amp;9, $P$105:$P$282, 0)), 0))), IF(OR(B35="0003", B35="0011", B35="0113"), IF($D$23="NO", 0, IF(AND(ISNUMBER(K35), K35&gt;0), ROUND(D$10/K35, 5), IFERROR(INDEX($I$105:$I$282, MATCH($D$6&amp;"|"&amp;$D$7&amp;"|"&amp;$D$8&amp;"|"&amp;$D$9&amp;"|"&amp;9, $P$105:$P$282, 0)), 0))), IF(AND(ISNUMBER(K35), K35&gt;0), ROUND(D$10/K35, 5), IFERROR(INDEX($I$105:$I$282, MATCH($D$6&amp;"|"&amp;$D$7&amp;"|"&amp;$D$8&amp;"|"&amp;$D$9&amp;"|"&amp;9, $P$105:$P$282, 0)), 0)))))</f>
        <v/>
      </c>
      <c r="G35" s="34">
        <f>IF(B35="","", IFERROR(INDEX(Rates_Master!$E:$E, MATCH(B35, Rates_Master!$A:$A, 0)), IFERROR(INDEX($K$105:$K$282, MATCH($D$6&amp;"|"&amp;$D$7&amp;"|"&amp;$D$8&amp;"|"&amp;$D$9&amp;"|"&amp;9, $P$105:$P$282, 0)), 0)))</f>
        <v/>
      </c>
      <c r="H35" s="35">
        <f>IF(OR(B35="", F35=""), 0, ROUND(F35 * G35, 2))</f>
        <v/>
      </c>
      <c r="I35" s="21">
        <f>IF(B35="","", IF(ISNUMBER(SEARCH("2.10", B35)), "A", "W"))</f>
        <v/>
      </c>
      <c r="J35" s="36">
        <f>IF(H$41&gt;0, ROUND(H35 / H$41 * 100, 1), 0)</f>
        <v/>
      </c>
      <c r="K35" s="37">
        <f>IFERROR(INDEX($N$105:$N$282, MATCH($D$6&amp;"|"&amp;$D$7&amp;"|"&amp;$D$8&amp;"|"&amp;$D$9&amp;"|"&amp;9, $P$105:$P$282, 0)), "")</f>
        <v/>
      </c>
      <c r="L35" s="38">
        <f>IF(AND(ISNUMBER(F35), F35&gt;0, D$10&gt;0), ROUND(F35 * 8 / D$10, 4), "")</f>
        <v/>
      </c>
      <c r="M35" s="37">
        <f>IF(AND(ISNUMBER(F35), F35&gt;0, D$10&gt;0), ROUND(D$10 / (F35 * 8), 2), "")</f>
        <v/>
      </c>
      <c r="N35" s="39">
        <f>IF(B35="","", "CPWD Standard Earthwork Production Resource")</f>
        <v/>
      </c>
      <c r="O35" s="39">
        <f>IF(B35="","", IF(B35="0101", IF($D$22="NO", "OMITTED DEDUCTION (DAR Item 2.5): 0.40 Bhishti-day @ Rs 617 = Rs 246.80 direct. Compounded with GST 14.05% (Rs 34.68) + CPOH 15% (Rs 42.22) + Cess 1% (Rs 3.24) = Rs 326.94/10 cum -&gt; -Rs 33.00/cum deduction.", "Watering by Bhishti to OMC: 25 cum/8-hr day (0.40 day/10 cum)."), IF(OR(B35="0003", B35="0011", B35="0113"),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MATCH($D$6&amp;"|"&amp;$D$7&amp;"|"&amp;$D$8&amp;"|"&amp;$D$9&amp;"|"&amp;9, $P$105:$P$282, 0)), ""))))</f>
        <v/>
      </c>
    </row>
    <row r="36" ht="22" customHeight="1">
      <c r="A36" s="28" t="n">
        <v>10</v>
      </c>
      <c r="B36" s="21">
        <f>IFERROR(INDEX($G$105:$G$282, MATCH($D$6&amp;"|"&amp;$D$7&amp;"|"&amp;$D$8&amp;"|"&amp;$D$9&amp;"|"&amp;10, $P$105:$P$282, 0)), "")</f>
        <v/>
      </c>
      <c r="C36" s="31">
        <f>IF(B36="","", IFERROR(INDEX(Rates_Master!$C:$C, MATCH(B36, Rates_Master!$A:$A, 0)), IFERROR(INDEX($H$105:$H$282, MATCH($D$6&amp;"|"&amp;$D$7&amp;"|"&amp;$D$8&amp;"|"&amp;$D$9&amp;"|"&amp;10, $P$105:$P$282, 0)), "Custom Resource")))</f>
        <v/>
      </c>
      <c r="D36" s="32">
        <f>IF(B36="","", IFERROR(INDEX(Rates_Master!$B:$B, MATCH(B36, Rates_Master!$A:$A, 0)), "Labour"))</f>
        <v/>
      </c>
      <c r="E36" s="18">
        <f>IF(B36="","", IFERROR(INDEX(Rates_Master!$D:$D, MATCH(B36, Rates_Master!$A:$A, 0)), "day"))</f>
        <v/>
      </c>
      <c r="F36" s="33">
        <f>IF(B36="","", IF(B36="0101", IF($D$22="NO", 0, IF(AND(ISNUMBER(K36), K36&gt;0), ROUND(D$10/K36, 5), IFERROR(INDEX($I$105:$I$282, MATCH($D$6&amp;"|"&amp;$D$7&amp;"|"&amp;$D$8&amp;"|"&amp;$D$9&amp;"|"&amp;10, $P$105:$P$282, 0)), 0))), IF(OR(B36="0003", B36="0011", B36="0113"), IF($D$23="NO", 0, IF(AND(ISNUMBER(K36), K36&gt;0), ROUND(D$10/K36, 5), IFERROR(INDEX($I$105:$I$282, MATCH($D$6&amp;"|"&amp;$D$7&amp;"|"&amp;$D$8&amp;"|"&amp;$D$9&amp;"|"&amp;10, $P$105:$P$282, 0)), 0))), IF(AND(ISNUMBER(K36), K36&gt;0), ROUND(D$10/K36, 5), IFERROR(INDEX($I$105:$I$282, MATCH($D$6&amp;"|"&amp;$D$7&amp;"|"&amp;$D$8&amp;"|"&amp;$D$9&amp;"|"&amp;10, $P$105:$P$282, 0)), 0)))))</f>
        <v/>
      </c>
      <c r="G36" s="34">
        <f>IF(B36="","", IFERROR(INDEX(Rates_Master!$E:$E, MATCH(B36, Rates_Master!$A:$A, 0)), IFERROR(INDEX($K$105:$K$282, MATCH($D$6&amp;"|"&amp;$D$7&amp;"|"&amp;$D$8&amp;"|"&amp;$D$9&amp;"|"&amp;10, $P$105:$P$282, 0)), 0)))</f>
        <v/>
      </c>
      <c r="H36" s="35">
        <f>IF(OR(B36="", F36=""), 0, ROUND(F36 * G36, 2))</f>
        <v/>
      </c>
      <c r="I36" s="21">
        <f>IF(B36="","", IF(ISNUMBER(SEARCH("2.10", B36)), "A", "W"))</f>
        <v/>
      </c>
      <c r="J36" s="36">
        <f>IF(H$41&gt;0, ROUND(H36 / H$41 * 100, 1), 0)</f>
        <v/>
      </c>
      <c r="K36" s="37">
        <f>IFERROR(INDEX($N$105:$N$282, MATCH($D$6&amp;"|"&amp;$D$7&amp;"|"&amp;$D$8&amp;"|"&amp;$D$9&amp;"|"&amp;10, $P$105:$P$282, 0)), "")</f>
        <v/>
      </c>
      <c r="L36" s="38">
        <f>IF(AND(ISNUMBER(F36), F36&gt;0, D$10&gt;0), ROUND(F36 * 8 / D$10, 4), "")</f>
        <v/>
      </c>
      <c r="M36" s="37">
        <f>IF(AND(ISNUMBER(F36), F36&gt;0, D$10&gt;0), ROUND(D$10 / (F36 * 8), 2), "")</f>
        <v/>
      </c>
      <c r="N36" s="39">
        <f>IF(B36="","", "CPWD Standard Earthwork Production Resource")</f>
        <v/>
      </c>
      <c r="O36" s="39">
        <f>IF(B36="","", IF(B36="0101", IF($D$22="NO", "OMITTED DEDUCTION (DAR Item 2.5): 0.40 Bhishti-day @ Rs 617 = Rs 246.80 direct. Compounded with GST 14.05% (Rs 34.68) + CPOH 15% (Rs 42.22) + Cess 1% (Rs 3.24) = Rs 326.94/10 cum -&gt; -Rs 33.00/cum deduction.", "Watering by Bhishti to OMC: 25 cum/8-hr day (0.40 day/10 cum)."), IF(OR(B36="0003", B36="0011", B36="0113"),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MATCH($D$6&amp;"|"&amp;$D$7&amp;"|"&amp;$D$8&amp;"|"&amp;$D$9&amp;"|"&amp;10, $P$105:$P$282, 0)), ""))))</f>
        <v/>
      </c>
    </row>
    <row r="37" ht="22" customHeight="1">
      <c r="A37" s="28" t="n">
        <v>11</v>
      </c>
      <c r="B37" s="21">
        <f>IFERROR(INDEX($G$105:$G$282, MATCH($D$6&amp;"|"&amp;$D$7&amp;"|"&amp;$D$8&amp;"|"&amp;$D$9&amp;"|"&amp;11, $P$105:$P$282, 0)), "")</f>
        <v/>
      </c>
      <c r="C37" s="31">
        <f>IF(B37="","", IFERROR(INDEX(Rates_Master!$C:$C, MATCH(B37, Rates_Master!$A:$A, 0)), IFERROR(INDEX($H$105:$H$282, MATCH($D$6&amp;"|"&amp;$D$7&amp;"|"&amp;$D$8&amp;"|"&amp;$D$9&amp;"|"&amp;11, $P$105:$P$282, 0)), "Custom Resource")))</f>
        <v/>
      </c>
      <c r="D37" s="32">
        <f>IF(B37="","", IFERROR(INDEX(Rates_Master!$B:$B, MATCH(B37, Rates_Master!$A:$A, 0)), "Labour"))</f>
        <v/>
      </c>
      <c r="E37" s="18">
        <f>IF(B37="","", IFERROR(INDEX(Rates_Master!$D:$D, MATCH(B37, Rates_Master!$A:$A, 0)), "day"))</f>
        <v/>
      </c>
      <c r="F37" s="33">
        <f>IF(B37="","", IF(B37="0101", IF($D$22="NO", 0, IF(AND(ISNUMBER(K37), K37&gt;0), ROUND(D$10/K37, 5), IFERROR(INDEX($I$105:$I$282, MATCH($D$6&amp;"|"&amp;$D$7&amp;"|"&amp;$D$8&amp;"|"&amp;$D$9&amp;"|"&amp;11, $P$105:$P$282, 0)), 0))), IF(OR(B37="0003", B37="0011", B37="0113"), IF($D$23="NO", 0, IF(AND(ISNUMBER(K37), K37&gt;0), ROUND(D$10/K37, 5), IFERROR(INDEX($I$105:$I$282, MATCH($D$6&amp;"|"&amp;$D$7&amp;"|"&amp;$D$8&amp;"|"&amp;$D$9&amp;"|"&amp;11, $P$105:$P$282, 0)), 0))), IF(AND(ISNUMBER(K37), K37&gt;0), ROUND(D$10/K37, 5), IFERROR(INDEX($I$105:$I$282, MATCH($D$6&amp;"|"&amp;$D$7&amp;"|"&amp;$D$8&amp;"|"&amp;$D$9&amp;"|"&amp;11, $P$105:$P$282, 0)), 0)))))</f>
        <v/>
      </c>
      <c r="G37" s="34">
        <f>IF(B37="","", IFERROR(INDEX(Rates_Master!$E:$E, MATCH(B37, Rates_Master!$A:$A, 0)), IFERROR(INDEX($K$105:$K$282, MATCH($D$6&amp;"|"&amp;$D$7&amp;"|"&amp;$D$8&amp;"|"&amp;$D$9&amp;"|"&amp;11, $P$105:$P$282, 0)), 0)))</f>
        <v/>
      </c>
      <c r="H37" s="35">
        <f>IF(OR(B37="", F37=""), 0, ROUND(F37 * G37, 2))</f>
        <v/>
      </c>
      <c r="I37" s="21">
        <f>IF(B37="","", IF(ISNUMBER(SEARCH("2.10", B37)), "A", "W"))</f>
        <v/>
      </c>
      <c r="J37" s="36">
        <f>IF(H$41&gt;0, ROUND(H37 / H$41 * 100, 1), 0)</f>
        <v/>
      </c>
      <c r="K37" s="37">
        <f>IFERROR(INDEX($N$105:$N$282, MATCH($D$6&amp;"|"&amp;$D$7&amp;"|"&amp;$D$8&amp;"|"&amp;$D$9&amp;"|"&amp;11, $P$105:$P$282, 0)), "")</f>
        <v/>
      </c>
      <c r="L37" s="38">
        <f>IF(AND(ISNUMBER(F37), F37&gt;0, D$10&gt;0), ROUND(F37 * 8 / D$10, 4), "")</f>
        <v/>
      </c>
      <c r="M37" s="37">
        <f>IF(AND(ISNUMBER(F37), F37&gt;0, D$10&gt;0), ROUND(D$10 / (F37 * 8), 2), "")</f>
        <v/>
      </c>
      <c r="N37" s="39">
        <f>IF(B37="","", "CPWD Standard Earthwork Production Resource")</f>
        <v/>
      </c>
      <c r="O37" s="39">
        <f>IF(B37="","", IF(B37="0101", IF($D$22="NO", "OMITTED DEDUCTION (DAR Item 2.5): 0.40 Bhishti-day @ Rs 617 = Rs 246.80 direct. Compounded with GST 14.05% (Rs 34.68) + CPOH 15% (Rs 42.22) + Cess 1% (Rs 3.24) = Rs 326.94/10 cum -&gt; -Rs 33.00/cum deduction.", "Watering by Bhishti to OMC: 25 cum/8-hr day (0.40 day/10 cum)."), IF(OR(B37="0003", B37="0011", B37="0113"),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MATCH($D$6&amp;"|"&amp;$D$7&amp;"|"&amp;$D$8&amp;"|"&amp;$D$9&amp;"|"&amp;11, $P$105:$P$282, 0)), ""))))</f>
        <v/>
      </c>
    </row>
    <row r="38" ht="22" customHeight="1">
      <c r="A38" s="28" t="n">
        <v>12</v>
      </c>
      <c r="B38" s="21">
        <f>IFERROR(INDEX($G$105:$G$282, MATCH($D$6&amp;"|"&amp;$D$7&amp;"|"&amp;$D$8&amp;"|"&amp;$D$9&amp;"|"&amp;12, $P$105:$P$282, 0)), "")</f>
        <v/>
      </c>
      <c r="C38" s="31">
        <f>IF(B38="","", IFERROR(INDEX(Rates_Master!$C:$C, MATCH(B38, Rates_Master!$A:$A, 0)), IFERROR(INDEX($H$105:$H$282, MATCH($D$6&amp;"|"&amp;$D$7&amp;"|"&amp;$D$8&amp;"|"&amp;$D$9&amp;"|"&amp;12, $P$105:$P$282, 0)), "Custom Resource")))</f>
        <v/>
      </c>
      <c r="D38" s="32">
        <f>IF(B38="","", IFERROR(INDEX(Rates_Master!$B:$B, MATCH(B38, Rates_Master!$A:$A, 0)), "Labour"))</f>
        <v/>
      </c>
      <c r="E38" s="18">
        <f>IF(B38="","", IFERROR(INDEX(Rates_Master!$D:$D, MATCH(B38, Rates_Master!$A:$A, 0)), "day"))</f>
        <v/>
      </c>
      <c r="F38" s="33">
        <f>IF(B38="","", IF(B38="0101", IF($D$22="NO", 0, IF(AND(ISNUMBER(K38), K38&gt;0), ROUND(D$10/K38, 5), IFERROR(INDEX($I$105:$I$282, MATCH($D$6&amp;"|"&amp;$D$7&amp;"|"&amp;$D$8&amp;"|"&amp;$D$9&amp;"|"&amp;12, $P$105:$P$282, 0)), 0))), IF(OR(B38="0003", B38="0011", B38="0113"), IF($D$23="NO", 0, IF(AND(ISNUMBER(K38), K38&gt;0), ROUND(D$10/K38, 5), IFERROR(INDEX($I$105:$I$282, MATCH($D$6&amp;"|"&amp;$D$7&amp;"|"&amp;$D$8&amp;"|"&amp;$D$9&amp;"|"&amp;12, $P$105:$P$282, 0)), 0))), IF(AND(ISNUMBER(K38), K38&gt;0), ROUND(D$10/K38, 5), IFERROR(INDEX($I$105:$I$282, MATCH($D$6&amp;"|"&amp;$D$7&amp;"|"&amp;$D$8&amp;"|"&amp;$D$9&amp;"|"&amp;12, $P$105:$P$282, 0)), 0)))))</f>
        <v/>
      </c>
      <c r="G38" s="34">
        <f>IF(B38="","", IFERROR(INDEX(Rates_Master!$E:$E, MATCH(B38, Rates_Master!$A:$A, 0)), IFERROR(INDEX($K$105:$K$282, MATCH($D$6&amp;"|"&amp;$D$7&amp;"|"&amp;$D$8&amp;"|"&amp;$D$9&amp;"|"&amp;12, $P$105:$P$282, 0)), 0)))</f>
        <v/>
      </c>
      <c r="H38" s="35">
        <f>IF(OR(B38="", F38=""), 0, ROUND(F38 * G38, 2))</f>
        <v/>
      </c>
      <c r="I38" s="21">
        <f>IF(B38="","", IF(ISNUMBER(SEARCH("2.10", B38)), "A", "W"))</f>
        <v/>
      </c>
      <c r="J38" s="36">
        <f>IF(H$41&gt;0, ROUND(H38 / H$41 * 100, 1), 0)</f>
        <v/>
      </c>
      <c r="K38" s="37">
        <f>IFERROR(INDEX($N$105:$N$282, MATCH($D$6&amp;"|"&amp;$D$7&amp;"|"&amp;$D$8&amp;"|"&amp;$D$9&amp;"|"&amp;12, $P$105:$P$282, 0)), "")</f>
        <v/>
      </c>
      <c r="L38" s="38">
        <f>IF(AND(ISNUMBER(F38), F38&gt;0, D$10&gt;0), ROUND(F38 * 8 / D$10, 4), "")</f>
        <v/>
      </c>
      <c r="M38" s="37">
        <f>IF(AND(ISNUMBER(F38), F38&gt;0, D$10&gt;0), ROUND(D$10 / (F38 * 8), 2), "")</f>
        <v/>
      </c>
      <c r="N38" s="39">
        <f>IF(B38="","", "CPWD Standard Earthwork Production Resource")</f>
        <v/>
      </c>
      <c r="O38" s="39">
        <f>IF(B38="","", IF(B38="0101", IF($D$22="NO", "OMITTED DEDUCTION (DAR Item 2.5): 0.40 Bhishti-day @ Rs 617 = Rs 246.80 direct. Compounded with GST 14.05% (Rs 34.68) + CPOH 15% (Rs 42.22) + Cess 1% (Rs 3.24) = Rs 326.94/10 cum -&gt; -Rs 33.00/cum deduction.", "Watering by Bhishti to OMC: 25 cum/8-hr day (0.40 day/10 cum)."), IF(OR(B38="0003", B38="0011", B38="0113"),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MATCH($D$6&amp;"|"&amp;$D$7&amp;"|"&amp;$D$8&amp;"|"&amp;$D$9&amp;"|"&amp;12, $P$105:$P$282, 0)), ""))))</f>
        <v/>
      </c>
    </row>
    <row r="39" ht="22" customHeight="1">
      <c r="A39" s="28" t="n">
        <v>13</v>
      </c>
      <c r="B39" s="21">
        <f>IFERROR(INDEX($G$105:$G$282, MATCH($D$6&amp;"|"&amp;$D$7&amp;"|"&amp;$D$8&amp;"|"&amp;$D$9&amp;"|"&amp;13, $P$105:$P$282, 0)), "")</f>
        <v/>
      </c>
      <c r="C39" s="31">
        <f>IF(B39="","", IFERROR(INDEX(Rates_Master!$C:$C, MATCH(B39, Rates_Master!$A:$A, 0)), IFERROR(INDEX($H$105:$H$282, MATCH($D$6&amp;"|"&amp;$D$7&amp;"|"&amp;$D$8&amp;"|"&amp;$D$9&amp;"|"&amp;13, $P$105:$P$282, 0)), "Custom Resource")))</f>
        <v/>
      </c>
      <c r="D39" s="32">
        <f>IF(B39="","", IFERROR(INDEX(Rates_Master!$B:$B, MATCH(B39, Rates_Master!$A:$A, 0)), "Labour"))</f>
        <v/>
      </c>
      <c r="E39" s="18">
        <f>IF(B39="","", IFERROR(INDEX(Rates_Master!$D:$D, MATCH(B39, Rates_Master!$A:$A, 0)), "day"))</f>
        <v/>
      </c>
      <c r="F39" s="33">
        <f>IF(B39="","", IF(B39="0101", IF($D$22="NO", 0, IF(AND(ISNUMBER(K39), K39&gt;0), ROUND(D$10/K39, 5), IFERROR(INDEX($I$105:$I$282, MATCH($D$6&amp;"|"&amp;$D$7&amp;"|"&amp;$D$8&amp;"|"&amp;$D$9&amp;"|"&amp;13, $P$105:$P$282, 0)), 0))), IF(OR(B39="0003", B39="0011", B39="0113"), IF($D$23="NO", 0, IF(AND(ISNUMBER(K39), K39&gt;0), ROUND(D$10/K39, 5), IFERROR(INDEX($I$105:$I$282, MATCH($D$6&amp;"|"&amp;$D$7&amp;"|"&amp;$D$8&amp;"|"&amp;$D$9&amp;"|"&amp;13, $P$105:$P$282, 0)), 0))), IF(AND(ISNUMBER(K39), K39&gt;0), ROUND(D$10/K39, 5), IFERROR(INDEX($I$105:$I$282, MATCH($D$6&amp;"|"&amp;$D$7&amp;"|"&amp;$D$8&amp;"|"&amp;$D$9&amp;"|"&amp;13, $P$105:$P$282, 0)), 0)))))</f>
        <v/>
      </c>
      <c r="G39" s="34">
        <f>IF(B39="","", IFERROR(INDEX(Rates_Master!$E:$E, MATCH(B39, Rates_Master!$A:$A, 0)), IFERROR(INDEX($K$105:$K$282, MATCH($D$6&amp;"|"&amp;$D$7&amp;"|"&amp;$D$8&amp;"|"&amp;$D$9&amp;"|"&amp;13, $P$105:$P$282, 0)), 0)))</f>
        <v/>
      </c>
      <c r="H39" s="35">
        <f>IF(OR(B39="", F39=""), 0, ROUND(F39 * G39, 2))</f>
        <v/>
      </c>
      <c r="I39" s="21">
        <f>IF(B39="","", IF(ISNUMBER(SEARCH("2.10", B39)), "A", "W"))</f>
        <v/>
      </c>
      <c r="J39" s="36">
        <f>IF(H$41&gt;0, ROUND(H39 / H$41 * 100, 1), 0)</f>
        <v/>
      </c>
      <c r="K39" s="37">
        <f>IFERROR(INDEX($N$105:$N$282, MATCH($D$6&amp;"|"&amp;$D$7&amp;"|"&amp;$D$8&amp;"|"&amp;$D$9&amp;"|"&amp;13, $P$105:$P$282, 0)), "")</f>
        <v/>
      </c>
      <c r="L39" s="38">
        <f>IF(AND(ISNUMBER(F39), F39&gt;0, D$10&gt;0), ROUND(F39 * 8 / D$10, 4), "")</f>
        <v/>
      </c>
      <c r="M39" s="37">
        <f>IF(AND(ISNUMBER(F39), F39&gt;0, D$10&gt;0), ROUND(D$10 / (F39 * 8), 2), "")</f>
        <v/>
      </c>
      <c r="N39" s="39">
        <f>IF(B39="","", "CPWD Standard Earthwork Production Resource")</f>
        <v/>
      </c>
      <c r="O39" s="39">
        <f>IF(B39="","", IF(B39="0101", IF($D$22="NO", "OMITTED DEDUCTION (DAR Item 2.5): 0.40 Bhishti-day @ Rs 617 = Rs 246.80 direct. Compounded with GST 14.05% (Rs 34.68) + CPOH 15% (Rs 42.22) + Cess 1% (Rs 3.24) = Rs 326.94/10 cum -&gt; -Rs 33.00/cum deduction.", "Watering by Bhishti to OMC: 25 cum/8-hr day (0.40 day/10 cum)."), IF(OR(B39="0003", B39="0011", B39="0113"),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MATCH($D$6&amp;"|"&amp;$D$7&amp;"|"&amp;$D$8&amp;"|"&amp;$D$9&amp;"|"&amp;13, $P$105:$P$282, 0)), ""))))</f>
        <v/>
      </c>
    </row>
    <row r="40" ht="22" customHeight="1">
      <c r="A40" s="28" t="n">
        <v>14</v>
      </c>
      <c r="B40" s="21">
        <f>IFERROR(INDEX($G$105:$G$282, MATCH($D$6&amp;"|"&amp;$D$7&amp;"|"&amp;$D$8&amp;"|"&amp;$D$9&amp;"|"&amp;14, $P$105:$P$282, 0)), "")</f>
        <v/>
      </c>
      <c r="C40" s="31">
        <f>IF(B40="","", IFERROR(INDEX(Rates_Master!$C:$C, MATCH(B40, Rates_Master!$A:$A, 0)), IFERROR(INDEX($H$105:$H$282, MATCH($D$6&amp;"|"&amp;$D$7&amp;"|"&amp;$D$8&amp;"|"&amp;$D$9&amp;"|"&amp;14, $P$105:$P$282, 0)), "Custom Resource")))</f>
        <v/>
      </c>
      <c r="D40" s="32">
        <f>IF(B40="","", IFERROR(INDEX(Rates_Master!$B:$B, MATCH(B40, Rates_Master!$A:$A, 0)), "Labour"))</f>
        <v/>
      </c>
      <c r="E40" s="18">
        <f>IF(B40="","", IFERROR(INDEX(Rates_Master!$D:$D, MATCH(B40, Rates_Master!$A:$A, 0)), "day"))</f>
        <v/>
      </c>
      <c r="F40" s="33">
        <f>IF(B40="","", IF(B40="0101", IF($D$22="NO", 0, IF(AND(ISNUMBER(K40), K40&gt;0), ROUND(D$10/K40, 5), IFERROR(INDEX($I$105:$I$282, MATCH($D$6&amp;"|"&amp;$D$7&amp;"|"&amp;$D$8&amp;"|"&amp;$D$9&amp;"|"&amp;14, $P$105:$P$282, 0)), 0))), IF(OR(B40="0003", B40="0011", B40="0113"), IF($D$23="NO", 0, IF(AND(ISNUMBER(K40), K40&gt;0), ROUND(D$10/K40, 5), IFERROR(INDEX($I$105:$I$282, MATCH($D$6&amp;"|"&amp;$D$7&amp;"|"&amp;$D$8&amp;"|"&amp;$D$9&amp;"|"&amp;14, $P$105:$P$282, 0)), 0))), IF(AND(ISNUMBER(K40), K40&gt;0), ROUND(D$10/K40, 5), IFERROR(INDEX($I$105:$I$282, MATCH($D$6&amp;"|"&amp;$D$7&amp;"|"&amp;$D$8&amp;"|"&amp;$D$9&amp;"|"&amp;14, $P$105:$P$282, 0)), 0)))))</f>
        <v/>
      </c>
      <c r="G40" s="34">
        <f>IF(B40="","", IFERROR(INDEX(Rates_Master!$E:$E, MATCH(B40, Rates_Master!$A:$A, 0)), IFERROR(INDEX($K$105:$K$282, MATCH($D$6&amp;"|"&amp;$D$7&amp;"|"&amp;$D$8&amp;"|"&amp;$D$9&amp;"|"&amp;14, $P$105:$P$282, 0)), 0)))</f>
        <v/>
      </c>
      <c r="H40" s="35">
        <f>IF(OR(B40="", F40=""), 0, ROUND(F40 * G40, 2))</f>
        <v/>
      </c>
      <c r="I40" s="21">
        <f>IF(B40="","", IF(ISNUMBER(SEARCH("2.10", B40)), "A", "W"))</f>
        <v/>
      </c>
      <c r="J40" s="36">
        <f>IF(H$41&gt;0, ROUND(H40 / H$41 * 100, 1), 0)</f>
        <v/>
      </c>
      <c r="K40" s="37">
        <f>IFERROR(INDEX($N$105:$N$282, MATCH($D$6&amp;"|"&amp;$D$7&amp;"|"&amp;$D$8&amp;"|"&amp;$D$9&amp;"|"&amp;14, $P$105:$P$282, 0)), "")</f>
        <v/>
      </c>
      <c r="L40" s="38">
        <f>IF(AND(ISNUMBER(F40), F40&gt;0, D$10&gt;0), ROUND(F40 * 8 / D$10, 4), "")</f>
        <v/>
      </c>
      <c r="M40" s="37">
        <f>IF(AND(ISNUMBER(F40), F40&gt;0, D$10&gt;0), ROUND(D$10 / (F40 * 8), 2), "")</f>
        <v/>
      </c>
      <c r="N40" s="39">
        <f>IF(B40="","", "CPWD Standard Earthwork Production Resource")</f>
        <v/>
      </c>
      <c r="O40" s="39">
        <f>IF(B40="","", IF(B40="0101", IF($D$22="NO", "OMITTED DEDUCTION (DAR Item 2.5): 0.40 Bhishti-day @ Rs 617 = Rs 246.80 direct. Compounded with GST 14.05% (Rs 34.68) + CPOH 15% (Rs 42.22) + Cess 1% (Rs 3.24) = Rs 326.94/10 cum -&gt; -Rs 33.00/cum deduction.", "Watering by Bhishti to OMC: 25 cum/8-hr day (0.40 day/10 cum)."), IF(OR(B40="0003", B40="0011", B40="0113"), IF($D$23="NO", "OMITTED DEDUCTION (DAR Item 2.4): 0.008 Roller @ Rs 3000 (Rs 24.00) + 0.008 Chowkidar (Rs 4.46) + Sundries (Rs 3.64) = Rs 32.10 direct. Compounded with Water 1% (Rs 0.32) + GST 14.05% (Rs 4.55) + CPOH 15% (Rs 5.55) + Cess 1% (Rs 0.43) = Rs 42.95/10 cum -&gt; -Rs 4.30/cum deduction.", "Power roller compaction: 1250 cum/8-hr day (0.008 day/10 cum)."), IFERROR(INDEX($O$105:$O$282, MATCH($D$6&amp;"|"&amp;$D$7&amp;"|"&amp;$D$8&amp;"|"&amp;$D$9&amp;"|"&amp;14, $P$105:$P$282, 0)), ""))))</f>
        <v/>
      </c>
    </row>
    <row r="41" ht="24" customHeight="1">
      <c r="A41" s="40" t="inlineStr">
        <is>
          <t>Direct Production Cost W = Σ Amount (all active resource lines):</t>
        </is>
      </c>
      <c r="B41" s="92" t="n"/>
      <c r="C41" s="92" t="n"/>
      <c r="D41" s="92" t="n"/>
      <c r="E41" s="92" t="n"/>
      <c r="F41" s="92" t="n"/>
      <c r="G41" s="93" t="n"/>
      <c r="H41" s="42" t="n">
        <v>1</v>
      </c>
      <c r="I41" s="43" t="inlineStr">
        <is>
          <t>W</t>
        </is>
      </c>
      <c r="J41" s="44" t="inlineStr">
        <is>
          <t>Base for statutory markup calculations before exclusion of pre-marked reference items.</t>
        </is>
      </c>
      <c r="K41" s="92" t="n"/>
      <c r="L41" s="92" t="n"/>
      <c r="M41" s="92" t="n"/>
      <c r="N41" s="92" t="n"/>
      <c r="O41" s="93" t="n"/>
    </row>
    <row r="42" ht="24" customHeight="1">
      <c r="A42" s="45" t="inlineStr">
        <is>
          <t>A-tagged Total (pre-marked composite reference items excluded from markups):</t>
        </is>
      </c>
      <c r="B42" s="94" t="n"/>
      <c r="C42" s="94" t="n"/>
      <c r="D42" s="94" t="n"/>
      <c r="E42" s="94" t="n"/>
      <c r="F42" s="94" t="n"/>
      <c r="G42" s="95" t="n"/>
      <c r="H42" s="47" t="n">
        <v>1</v>
      </c>
      <c r="I42" s="48" t="inlineStr">
        <is>
          <t>A</t>
        </is>
      </c>
      <c r="J42" s="49" t="inlineStr">
        <is>
          <t>Uses robust SUMIF to guarantee error-free evaluation even with empty slots.</t>
        </is>
      </c>
      <c r="K42" s="94" t="n"/>
      <c r="L42" s="94" t="n"/>
      <c r="M42" s="94" t="n"/>
      <c r="N42" s="94" t="n"/>
      <c r="O42" s="95" t="n"/>
    </row>
    <row r="44" ht="24" customHeight="1">
      <c r="A44" s="12" t="inlineStr">
        <is>
          <t>3. STATUTORY MARKUPS &amp; FINAL RATE DERIVATION (CPWD DAR Standard Compounded Markup Chain)</t>
        </is>
      </c>
    </row>
    <row r="45" ht="24" customHeight="1">
      <c r="A45" s="13" t="inlineStr">
        <is>
          <t>Step</t>
        </is>
      </c>
      <c r="B45" s="13" t="inlineStr">
        <is>
          <t>Component / Markup Description</t>
        </is>
      </c>
      <c r="C45" s="13" t="inlineStr">
        <is>
          <t>Apply?</t>
        </is>
      </c>
      <c r="D45" s="13" t="inlineStr">
        <is>
          <t>Basis Applied</t>
        </is>
      </c>
      <c r="E45" s="13" t="inlineStr">
        <is>
          <t>Base Amount (₹)</t>
        </is>
      </c>
      <c r="F45" s="13" t="inlineStr">
        <is>
          <t>Factor / %</t>
        </is>
      </c>
      <c r="G45" s="13" t="inlineStr">
        <is>
          <t>Added (₹)</t>
        </is>
      </c>
      <c r="H45" s="13" t="inlineStr">
        <is>
          <t>Running Total (₹)</t>
        </is>
      </c>
      <c r="I45" s="13" t="inlineStr">
        <is>
          <t>Cell Role</t>
        </is>
      </c>
      <c r="J45" s="13" t="inlineStr">
        <is>
          <t>CPWD Statutory Guidance Rule &amp; Practical Field Note</t>
        </is>
      </c>
      <c r="K45" s="14" t="n"/>
      <c r="L45" s="14" t="n"/>
      <c r="M45" s="14" t="n"/>
      <c r="N45" s="14" t="n"/>
      <c r="O45" s="15" t="n"/>
    </row>
    <row r="46" ht="22" customHeight="1">
      <c r="A46" s="28" t="inlineStr">
        <is>
          <t>W</t>
        </is>
      </c>
      <c r="B46" s="31" t="inlineStr">
        <is>
          <t>Direct Production Cost W (all resources)</t>
        </is>
      </c>
      <c r="C46" s="50" t="inlineStr">
        <is>
          <t>—</t>
        </is>
      </c>
      <c r="D46" s="50" t="inlineStr">
        <is>
          <t>Direct Sum</t>
        </is>
      </c>
      <c r="E46" s="51" t="n">
        <v>1</v>
      </c>
      <c r="F46" s="52" t="inlineStr">
        <is>
          <t>—</t>
        </is>
      </c>
      <c r="G46" s="51" t="n">
        <v>1</v>
      </c>
      <c r="H46" s="53" t="n">
        <v>1</v>
      </c>
      <c r="I46" s="28" t="inlineStr">
        <is>
          <t>DERIVED</t>
        </is>
      </c>
      <c r="J46" s="19" t="inlineStr">
        <is>
          <t>Sum of all direct labour, machinery and sundries from Section 2.</t>
        </is>
      </c>
      <c r="K46" s="92" t="n"/>
      <c r="L46" s="92" t="n"/>
      <c r="M46" s="92" t="n"/>
      <c r="N46" s="92" t="n"/>
      <c r="O46" s="93" t="n"/>
    </row>
    <row r="47" ht="22" customHeight="1">
      <c r="A47" s="28" t="inlineStr">
        <is>
          <t>X1</t>
        </is>
      </c>
      <c r="B47" s="31" t="inlineStr">
        <is>
          <t>Add: Water Charges (1% on W-A)</t>
        </is>
      </c>
      <c r="C47" s="3" t="inlineStr">
        <is>
          <t>YES</t>
        </is>
      </c>
      <c r="D47" s="50" t="inlineStr">
        <is>
          <t>On (W - A)</t>
        </is>
      </c>
      <c r="E47" s="51" t="n">
        <v>1</v>
      </c>
      <c r="F47" s="54" t="n">
        <v>1</v>
      </c>
      <c r="G47" s="51" t="n">
        <v>1</v>
      </c>
      <c r="H47" s="53" t="n">
        <v>1</v>
      </c>
      <c r="I47" s="28" t="inlineStr">
        <is>
          <t>INPUT</t>
        </is>
      </c>
      <c r="J47" s="19" t="inlineStr">
        <is>
          <t>CPWD standard: 1% for site compaction watering, trench dampening and dust control. Live-linked to Factor_Water.</t>
        </is>
      </c>
      <c r="K47" s="92" t="n"/>
      <c r="L47" s="92" t="n"/>
      <c r="M47" s="92" t="n"/>
      <c r="N47" s="92" t="n"/>
      <c r="O47" s="93" t="n"/>
    </row>
    <row r="48" ht="22" customHeight="1">
      <c r="A48" s="55" t="inlineStr">
        <is>
          <t>X</t>
        </is>
      </c>
      <c r="B48" s="56" t="inlineStr">
        <is>
          <t>Subtotal X (W + Water Charges)</t>
        </is>
      </c>
      <c r="C48" s="43" t="inlineStr">
        <is>
          <t>—</t>
        </is>
      </c>
      <c r="D48" s="43" t="inlineStr">
        <is>
          <t>W + Water</t>
        </is>
      </c>
      <c r="E48" s="57" t="n">
        <v>1</v>
      </c>
      <c r="F48" s="58" t="inlineStr">
        <is>
          <t>—</t>
        </is>
      </c>
      <c r="G48" s="57" t="n">
        <v>1</v>
      </c>
      <c r="H48" s="59" t="n">
        <v>1</v>
      </c>
      <c r="I48" s="55" t="inlineStr">
        <is>
          <t>DERIVED</t>
        </is>
      </c>
      <c r="J48" s="60" t="inlineStr">
        <is>
          <t>Compounded base passed to Works Contract GST calculation.</t>
        </is>
      </c>
      <c r="K48" s="92" t="n"/>
      <c r="L48" s="92" t="n"/>
      <c r="M48" s="92" t="n"/>
      <c r="N48" s="92" t="n"/>
      <c r="O48" s="93" t="n"/>
    </row>
    <row r="49" ht="22" customHeight="1">
      <c r="A49" s="28" t="inlineStr">
        <is>
          <t>Y1</t>
        </is>
      </c>
      <c r="B49" s="31" t="inlineStr">
        <is>
          <t>Add: GST on Works Contract (14.05% on X-A)</t>
        </is>
      </c>
      <c r="C49" s="3" t="inlineStr">
        <is>
          <t>YES</t>
        </is>
      </c>
      <c r="D49" s="50" t="inlineStr">
        <is>
          <t>On (X - A)</t>
        </is>
      </c>
      <c r="E49" s="51" t="n">
        <v>1</v>
      </c>
      <c r="F49" s="54" t="n">
        <v>1</v>
      </c>
      <c r="G49" s="51" t="n">
        <v>1</v>
      </c>
      <c r="H49" s="53" t="n">
        <v>1</v>
      </c>
      <c r="I49" s="28" t="inlineStr">
        <is>
          <t>INPUT</t>
        </is>
      </c>
      <c r="J49" s="19" t="inlineStr">
        <is>
          <t>CPWD DAR statutory works contract tax factor (0.1405). Live-linked to Factor_GST on Global_Factors.</t>
        </is>
      </c>
      <c r="K49" s="92" t="n"/>
      <c r="L49" s="92" t="n"/>
      <c r="M49" s="92" t="n"/>
      <c r="N49" s="92" t="n"/>
      <c r="O49" s="93" t="n"/>
    </row>
    <row r="50" ht="22" customHeight="1">
      <c r="A50" s="55" t="inlineStr">
        <is>
          <t>Y</t>
        </is>
      </c>
      <c r="B50" s="56" t="inlineStr">
        <is>
          <t>Subtotal Y (X + GST)</t>
        </is>
      </c>
      <c r="C50" s="43" t="inlineStr">
        <is>
          <t>—</t>
        </is>
      </c>
      <c r="D50" s="43" t="inlineStr">
        <is>
          <t>X + GST</t>
        </is>
      </c>
      <c r="E50" s="57" t="n">
        <v>1</v>
      </c>
      <c r="F50" s="58" t="inlineStr">
        <is>
          <t>—</t>
        </is>
      </c>
      <c r="G50" s="57" t="n">
        <v>1</v>
      </c>
      <c r="H50" s="59" t="n">
        <v>1</v>
      </c>
      <c r="I50" s="55" t="inlineStr">
        <is>
          <t>DERIVED</t>
        </is>
      </c>
      <c r="J50" s="60" t="inlineStr">
        <is>
          <t>Compounded base passed to Contractor Profit &amp; Overheads calculation.</t>
        </is>
      </c>
      <c r="K50" s="92" t="n"/>
      <c r="L50" s="92" t="n"/>
      <c r="M50" s="92" t="n"/>
      <c r="N50" s="92" t="n"/>
      <c r="O50" s="93" t="n"/>
    </row>
    <row r="51" ht="22" customHeight="1">
      <c r="A51" s="28" t="inlineStr">
        <is>
          <t>Z1</t>
        </is>
      </c>
      <c r="B51" s="31" t="inlineStr">
        <is>
          <t>Add: Contractor Profit &amp; Overheads (15% CPOH on Y-A)</t>
        </is>
      </c>
      <c r="C51" s="3" t="inlineStr">
        <is>
          <t>YES</t>
        </is>
      </c>
      <c r="D51" s="50" t="inlineStr">
        <is>
          <t>On (Y - A)</t>
        </is>
      </c>
      <c r="E51" s="51" t="n">
        <v>1</v>
      </c>
      <c r="F51" s="54" t="n">
        <v>1</v>
      </c>
      <c r="G51" s="51" t="n">
        <v>1</v>
      </c>
      <c r="H51" s="53" t="n">
        <v>1</v>
      </c>
      <c r="I51" s="28" t="inlineStr">
        <is>
          <t>INPUT</t>
        </is>
      </c>
      <c r="J51" s="19" t="inlineStr">
        <is>
          <t>Standard 15% allowance for contractor overheads, plant depreciation and profit. Live-linked to Factor_CPOH.</t>
        </is>
      </c>
      <c r="K51" s="92" t="n"/>
      <c r="L51" s="92" t="n"/>
      <c r="M51" s="92" t="n"/>
      <c r="N51" s="92" t="n"/>
      <c r="O51" s="93" t="n"/>
    </row>
    <row r="52" ht="22" customHeight="1">
      <c r="A52" s="55" t="inlineStr">
        <is>
          <t>Z</t>
        </is>
      </c>
      <c r="B52" s="56" t="inlineStr">
        <is>
          <t>Subtotal Z (Y + CPOH)</t>
        </is>
      </c>
      <c r="C52" s="43" t="inlineStr">
        <is>
          <t>—</t>
        </is>
      </c>
      <c r="D52" s="43" t="inlineStr">
        <is>
          <t>Y + CPOH</t>
        </is>
      </c>
      <c r="E52" s="57" t="n">
        <v>1</v>
      </c>
      <c r="F52" s="58" t="inlineStr">
        <is>
          <t>—</t>
        </is>
      </c>
      <c r="G52" s="57" t="n">
        <v>1</v>
      </c>
      <c r="H52" s="59" t="n">
        <v>1</v>
      </c>
      <c r="I52" s="55" t="inlineStr">
        <is>
          <t>DERIVED</t>
        </is>
      </c>
      <c r="J52" s="60" t="inlineStr">
        <is>
          <t>Compounded base passed to Building and Other Construction Workers Welfare Cess calculation.</t>
        </is>
      </c>
      <c r="K52" s="92" t="n"/>
      <c r="L52" s="92" t="n"/>
      <c r="M52" s="92" t="n"/>
      <c r="N52" s="92" t="n"/>
      <c r="O52" s="93" t="n"/>
    </row>
    <row r="53" ht="22" customHeight="1">
      <c r="A53" s="28" t="inlineStr">
        <is>
          <t>Z2</t>
        </is>
      </c>
      <c r="B53" s="31" t="inlineStr">
        <is>
          <t>Add: Building and Other Construction Workers Welfare Cess (1% on Z)</t>
        </is>
      </c>
      <c r="C53" s="3" t="inlineStr">
        <is>
          <t>YES</t>
        </is>
      </c>
      <c r="D53" s="50" t="inlineStr">
        <is>
          <t>On Z</t>
        </is>
      </c>
      <c r="E53" s="51" t="n">
        <v>1</v>
      </c>
      <c r="F53" s="54" t="n">
        <v>1</v>
      </c>
      <c r="G53" s="51" t="n">
        <v>1</v>
      </c>
      <c r="H53" s="53" t="n">
        <v>1</v>
      </c>
      <c r="I53" s="28" t="inlineStr">
        <is>
          <t>INPUT</t>
        </is>
      </c>
      <c r="J53" s="19" t="inlineStr">
        <is>
          <t>Statutory 1% BOCW Welfare Cess levied on overall cost including CPOH. Live-linked to Factor_Cess.</t>
        </is>
      </c>
      <c r="K53" s="92" t="n"/>
      <c r="L53" s="92" t="n"/>
      <c r="M53" s="92" t="n"/>
      <c r="N53" s="92" t="n"/>
      <c r="O53" s="93" t="n"/>
    </row>
    <row r="54" ht="24" customHeight="1">
      <c r="A54" s="7" t="inlineStr">
        <is>
          <t>Cost</t>
        </is>
      </c>
      <c r="B54" s="61" t="n">
        <v>1</v>
      </c>
      <c r="C54" s="62" t="inlineStr">
        <is>
          <t>—</t>
        </is>
      </c>
      <c r="D54" s="62" t="inlineStr">
        <is>
          <t>Standard Output Batch</t>
        </is>
      </c>
      <c r="E54" s="63" t="n">
        <v>1</v>
      </c>
      <c r="F54" s="64" t="inlineStr">
        <is>
          <t>—</t>
        </is>
      </c>
      <c r="G54" s="63" t="n">
        <v>1</v>
      </c>
      <c r="H54" s="65" t="n">
        <v>1</v>
      </c>
      <c r="I54" s="7" t="inlineStr">
        <is>
          <t>RESULT</t>
        </is>
      </c>
      <c r="J54" s="66" t="inlineStr">
        <is>
          <t>Fully compounded cost for the standard DAR batch quantity before unit-rate derivation.</t>
        </is>
      </c>
      <c r="K54" s="92" t="n"/>
      <c r="L54" s="92" t="n"/>
      <c r="M54" s="92" t="n"/>
      <c r="N54" s="92" t="n"/>
      <c r="O54" s="93" t="n"/>
    </row>
    <row r="55" ht="22" customHeight="1">
      <c r="A55" s="28" t="inlineStr">
        <is>
          <t>Rate</t>
        </is>
      </c>
      <c r="B55" s="31" t="n">
        <v>1</v>
      </c>
      <c r="C55" s="50" t="inlineStr">
        <is>
          <t>—</t>
        </is>
      </c>
      <c r="D55" s="50" t="n">
        <v>1</v>
      </c>
      <c r="E55" s="51" t="n">
        <v>1</v>
      </c>
      <c r="F55" s="52" t="inlineStr">
        <is>
          <t>—</t>
        </is>
      </c>
      <c r="G55" s="51" t="n">
        <v>1</v>
      </c>
      <c r="H55" s="53" t="n">
        <v>1</v>
      </c>
      <c r="I55" s="28" t="inlineStr">
        <is>
          <t>DERIVED</t>
        </is>
      </c>
      <c r="J55" s="19" t="inlineStr">
        <is>
          <t>Exact rate per unit output (Cost / Batch Qty) carried into statutory rounding.</t>
        </is>
      </c>
      <c r="K55" s="92" t="n"/>
      <c r="L55" s="92" t="n"/>
      <c r="M55" s="92" t="n"/>
      <c r="N55" s="92" t="n"/>
      <c r="O55" s="93" t="n"/>
    </row>
    <row r="56" ht="30" customHeight="1">
      <c r="A56" s="8" t="inlineStr">
        <is>
          <t>SAY</t>
        </is>
      </c>
      <c r="B56" s="68" t="n">
        <v>1</v>
      </c>
      <c r="C56" s="69" t="inlineStr">
        <is>
          <t>—</t>
        </is>
      </c>
      <c r="D56" s="69" t="inlineStr">
        <is>
          <t>MROUND 0.05</t>
        </is>
      </c>
      <c r="E56" s="70" t="n">
        <v>1</v>
      </c>
      <c r="F56" s="71" t="inlineStr">
        <is>
          <t>—</t>
        </is>
      </c>
      <c r="G56" s="70" t="n">
        <v>1</v>
      </c>
      <c r="H56" s="72" t="n">
        <v>1</v>
      </c>
      <c r="I56" s="8" t="inlineStr">
        <is>
          <t>SAY</t>
        </is>
      </c>
      <c r="J56" s="73" t="inlineStr">
        <is>
          <t>Final published billing rate rounded to the nearest 5 paise in accordance with CPWD DAR Section 0 conventions.</t>
        </is>
      </c>
      <c r="K56" s="92" t="n"/>
      <c r="L56" s="92" t="n"/>
      <c r="M56" s="92" t="n"/>
      <c r="N56" s="92" t="n"/>
      <c r="O56" s="93" t="n"/>
    </row>
    <row r="57" ht="22" customHeight="1">
      <c r="A57" s="28" t="inlineStr">
        <is>
          <t>REF</t>
        </is>
      </c>
      <c r="B57" s="31" t="n">
        <v>1</v>
      </c>
      <c r="C57" s="50" t="inlineStr">
        <is>
          <t>—</t>
        </is>
      </c>
      <c r="D57" s="50" t="inlineStr">
        <is>
          <t>Benchmark</t>
        </is>
      </c>
      <c r="E57" s="51" t="n">
        <v>1</v>
      </c>
      <c r="F57" s="52" t="inlineStr">
        <is>
          <t>—</t>
        </is>
      </c>
      <c r="G57" s="51" t="n">
        <v>1</v>
      </c>
      <c r="H57" s="53" t="n">
        <v>1</v>
      </c>
      <c r="I57" s="28" t="inlineStr">
        <is>
          <t>LOOKUP</t>
        </is>
      </c>
      <c r="J57" s="19" t="inlineStr">
        <is>
          <t>Official CPWD DAR 2019 Volume 1 published rate for verification.</t>
        </is>
      </c>
      <c r="K57" s="92" t="n"/>
      <c r="L57" s="92" t="n"/>
      <c r="M57" s="92" t="n"/>
      <c r="N57" s="92" t="n"/>
      <c r="O57" s="93" t="n"/>
    </row>
    <row r="58" ht="24" customHeight="1">
      <c r="A58" s="7" t="inlineStr">
        <is>
          <t>DIFF</t>
        </is>
      </c>
      <c r="B58" s="61" t="inlineStr">
        <is>
          <t>Audit Variance (Analysed Say - Published Say):</t>
        </is>
      </c>
      <c r="C58" s="62" t="inlineStr">
        <is>
          <t>—</t>
        </is>
      </c>
      <c r="D58" s="62" t="inlineStr">
        <is>
          <t>Say - Ref</t>
        </is>
      </c>
      <c r="E58" s="63" t="n">
        <v>1</v>
      </c>
      <c r="F58" s="64" t="inlineStr">
        <is>
          <t>—</t>
        </is>
      </c>
      <c r="G58" s="63" t="n">
        <v>1</v>
      </c>
      <c r="H58" s="65" t="n">
        <v>1</v>
      </c>
      <c r="I58" s="7" t="inlineStr">
        <is>
          <t>RESULT</t>
        </is>
      </c>
      <c r="J58" s="66" t="inlineStr">
        <is>
          <t>Discrepancy audit against published benchmark. Target = ₹ 0.00.</t>
        </is>
      </c>
      <c r="K58" s="92" t="n"/>
      <c r="L58" s="92" t="n"/>
      <c r="M58" s="92" t="n"/>
      <c r="N58" s="92" t="n"/>
      <c r="O58" s="93" t="n"/>
    </row>
    <row r="60" ht="24" customHeight="1">
      <c r="A60" s="12" t="inlineStr">
        <is>
          <t>4. FIRST-PRINCIPLES LABOUR &amp; MACHINERY PRODUCTIVITY BENCHMARK MATRIX (8-Hour Working Shift Basis)</t>
        </is>
      </c>
    </row>
    <row r="61" ht="36" customHeight="1">
      <c r="A61" s="75"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c r="A62" s="13" t="inlineStr">
        <is>
          <t>Civil Work Scope / Operation</t>
        </is>
      </c>
      <c r="B62" s="13" t="inlineStr">
        <is>
          <t>Operation / Sub-Task</t>
        </is>
      </c>
      <c r="C62" s="13" t="inlineStr">
        <is>
          <t>Resource Code</t>
        </is>
      </c>
      <c r="D62" s="13" t="inlineStr">
        <is>
          <t>Resource Trade / Fleet Role</t>
        </is>
      </c>
      <c r="E62" s="13" t="inlineStr">
        <is>
          <t>Batch Qty (Q)</t>
        </is>
      </c>
      <c r="F62" s="13" t="inlineStr">
        <is>
          <t>Unit</t>
        </is>
      </c>
      <c r="G62" s="13" t="inlineStr">
        <is>
          <t>Gang Size (G)</t>
        </is>
      </c>
      <c r="H62" s="13" t="inlineStr">
        <is>
          <t>Duration (H hrs)</t>
        </is>
      </c>
      <c r="I62" s="13" t="inlineStr">
        <is>
          <t>Total Man-Hours (MH)</t>
        </is>
      </c>
      <c r="J62" s="13" t="inlineStr">
        <is>
          <t>Shift (h)</t>
        </is>
      </c>
      <c r="K62" s="13" t="inlineStr">
        <is>
          <t>Day Coeff (D)</t>
        </is>
      </c>
      <c r="L62" s="13" t="inlineStr">
        <is>
          <t>Daily Output (P)</t>
        </is>
      </c>
      <c r="M62" s="13" t="inlineStr">
        <is>
          <t>Unit Effort (SE)</t>
        </is>
      </c>
      <c r="N62" s="13" t="inlineStr">
        <is>
          <t>Hourly Pace</t>
        </is>
      </c>
      <c r="O62" s="13" t="inlineStr">
        <is>
          <t>Engineering Task Breakdown &amp; First-Principles 8-Hour Logic</t>
        </is>
      </c>
    </row>
    <row r="63" ht="24" customHeight="1">
      <c r="A63" s="16" t="inlineStr">
        <is>
          <t>Surface excavation &lt;= 30cm depth (100 sqm)</t>
        </is>
      </c>
      <c r="B63" s="76" t="inlineStr">
        <is>
          <t>Pickaxe &amp; phowrah loosening hard crust</t>
        </is>
      </c>
      <c r="C63" s="21" t="inlineStr">
        <is>
          <t>0114</t>
        </is>
      </c>
      <c r="D63" s="16" t="inlineStr">
        <is>
          <t>Beldar (Semi-Skilled / Operational Earthwork)</t>
        </is>
      </c>
      <c r="E63" s="77" t="n">
        <v>100</v>
      </c>
      <c r="F63" s="50" t="inlineStr">
        <is>
          <t>sqm</t>
        </is>
      </c>
      <c r="G63" s="78" t="n">
        <v>4</v>
      </c>
      <c r="H63" s="79" t="n">
        <v>13.6</v>
      </c>
      <c r="I63" s="80" t="n">
        <v>1</v>
      </c>
      <c r="J63" s="81" t="n">
        <v>8</v>
      </c>
      <c r="K63" s="80" t="n">
        <v>1</v>
      </c>
      <c r="L63" s="82" t="n">
        <v>1</v>
      </c>
      <c r="M63" s="83" t="n">
        <v>1</v>
      </c>
      <c r="N63" s="82" t="n">
        <v>1</v>
      </c>
      <c r="O63" s="39" t="inlineStr">
        <is>
          <t>Pickaxe loosening of hard dry soil crust up to 30 cm depth. 1 Beldar loosens 14.71 sqm per 8-hr shift (1.84 sqm/hr). Total 54.40 man-hrs.</t>
        </is>
      </c>
    </row>
    <row r="64" ht="24" customHeight="1">
      <c r="A64" s="16" t="inlineStr">
        <is>
          <t>Surface excavation &lt;= 30cm depth (100 sqm)</t>
        </is>
      </c>
      <c r="B64" s="76" t="inlineStr">
        <is>
          <t>Basket loading, haulage &amp; 50m disposal</t>
        </is>
      </c>
      <c r="C64" s="21" t="inlineStr">
        <is>
          <t>0115</t>
        </is>
      </c>
      <c r="D64" s="16" t="inlineStr">
        <is>
          <t>Coolie (Unskilled / Haulage &amp; Spoil Handling)</t>
        </is>
      </c>
      <c r="E64" s="77" t="n">
        <v>100</v>
      </c>
      <c r="F64" s="50" t="inlineStr">
        <is>
          <t>sqm</t>
        </is>
      </c>
      <c r="G64" s="78" t="n">
        <v>4</v>
      </c>
      <c r="H64" s="79" t="n">
        <v>11.2</v>
      </c>
      <c r="I64" s="80" t="n">
        <v>1</v>
      </c>
      <c r="J64" s="81" t="n">
        <v>8</v>
      </c>
      <c r="K64" s="80" t="n">
        <v>1</v>
      </c>
      <c r="L64" s="82" t="n">
        <v>1</v>
      </c>
      <c r="M64" s="83" t="n">
        <v>1</v>
      </c>
      <c r="N64" s="82" t="n">
        <v>1</v>
      </c>
      <c r="O64" s="39" t="inlineStr">
        <is>
          <t>Shoveling into iron tagaris, basket haulage and dumping up to 50 m lead and 1.5 m lift. 1 Coolie moves 17.86 sqm per 8-hr shift.</t>
        </is>
      </c>
    </row>
    <row r="65" ht="24" customHeight="1">
      <c r="A65" s="16" t="inlineStr">
        <is>
          <t>Rough excav, banking, water &amp; roll (10 cum)</t>
        </is>
      </c>
      <c r="B65" s="76" t="inlineStr">
        <is>
          <t>Rough soil digging &amp; heavy clod breaking</t>
        </is>
      </c>
      <c r="C65" s="21" t="inlineStr">
        <is>
          <t>0114</t>
        </is>
      </c>
      <c r="D65" s="16" t="inlineStr">
        <is>
          <t>Beldar (Semi-Skilled / Operational Earthwork)</t>
        </is>
      </c>
      <c r="E65" s="77" t="n">
        <v>10</v>
      </c>
      <c r="F65" s="50" t="inlineStr">
        <is>
          <t>cum</t>
        </is>
      </c>
      <c r="G65" s="78" t="n">
        <v>4</v>
      </c>
      <c r="H65" s="79" t="n">
        <v>11.8</v>
      </c>
      <c r="I65" s="80" t="n">
        <v>1</v>
      </c>
      <c r="J65" s="81" t="n">
        <v>8</v>
      </c>
      <c r="K65" s="80" t="n">
        <v>1</v>
      </c>
      <c r="L65" s="82" t="n">
        <v>1</v>
      </c>
      <c r="M65" s="83" t="n">
        <v>1</v>
      </c>
      <c r="N65" s="82" t="n">
        <v>1</v>
      </c>
      <c r="O65" s="39" t="inlineStr">
        <is>
          <t>Rough digging in soil + breaking heavy clods + dressing embankment slope profile. 1 Beldar yields 1.695 cum per 8-hr shift.</t>
        </is>
      </c>
    </row>
    <row r="66" ht="24" customHeight="1">
      <c r="A66" s="16" t="inlineStr">
        <is>
          <t>Rough excav, banking, water &amp; roll (10 cum)</t>
        </is>
      </c>
      <c r="B66" s="76" t="inlineStr">
        <is>
          <t>Basket haulage 50m &amp; 20cm layer spread</t>
        </is>
      </c>
      <c r="C66" s="21" t="inlineStr">
        <is>
          <t>0115</t>
        </is>
      </c>
      <c r="D66" s="16" t="inlineStr">
        <is>
          <t>Coolie (Unskilled / Haulage &amp; Spoil Handling)</t>
        </is>
      </c>
      <c r="E66" s="77" t="n">
        <v>10</v>
      </c>
      <c r="F66" s="50" t="inlineStr">
        <is>
          <t>cum</t>
        </is>
      </c>
      <c r="G66" s="78" t="n">
        <v>3</v>
      </c>
      <c r="H66" s="79" t="n">
        <v>9.6</v>
      </c>
      <c r="I66" s="80" t="n">
        <v>1</v>
      </c>
      <c r="J66" s="81" t="n">
        <v>8</v>
      </c>
      <c r="K66" s="80" t="n">
        <v>1</v>
      </c>
      <c r="L66" s="82" t="n">
        <v>1</v>
      </c>
      <c r="M66" s="83" t="n">
        <v>1</v>
      </c>
      <c r="N66" s="82" t="n">
        <v>1</v>
      </c>
      <c r="O66" s="39" t="inlineStr">
        <is>
          <t>Basket haulage within 50 m lead, tipping and uniform spreading in layers not exceeding 20 cm depth.</t>
        </is>
      </c>
    </row>
    <row r="67" ht="24" customHeight="1">
      <c r="A67" s="16" t="inlineStr">
        <is>
          <t>Rough excav, banking, water &amp; roll (10 cum)</t>
        </is>
      </c>
      <c r="B67" s="76" t="inlineStr">
        <is>
          <t>OMC compaction layer watering</t>
        </is>
      </c>
      <c r="C67" s="21" t="inlineStr">
        <is>
          <t>0101</t>
        </is>
      </c>
      <c r="D67" s="16" t="inlineStr">
        <is>
          <t>Bhishti (Compaction Layer Watering to OMC)</t>
        </is>
      </c>
      <c r="E67" s="77" t="n">
        <v>10</v>
      </c>
      <c r="F67" s="50" t="inlineStr">
        <is>
          <t>cum</t>
        </is>
      </c>
      <c r="G67" s="78" t="n">
        <v>1</v>
      </c>
      <c r="H67" s="79" t="n">
        <v>3.2</v>
      </c>
      <c r="I67" s="80" t="n">
        <v>1</v>
      </c>
      <c r="J67" s="81" t="n">
        <v>8</v>
      </c>
      <c r="K67" s="80" t="n">
        <v>1</v>
      </c>
      <c r="L67" s="82" t="n">
        <v>1</v>
      </c>
      <c r="M67" s="83" t="n">
        <v>1</v>
      </c>
      <c r="N67" s="82" t="n">
        <v>1</v>
      </c>
      <c r="O67" s="39" t="inlineStr">
        <is>
          <t>Spraying water over loose 20 cm layers from mashak/hose to optimum moisture content (OMC) before rolling. 25 cum per 8-hr day.</t>
        </is>
      </c>
    </row>
    <row r="68" ht="24" customHeight="1">
      <c r="A68" s="16" t="inlineStr">
        <is>
          <t>Rough excav, banking, water &amp; roll (10 cum)</t>
        </is>
      </c>
      <c r="B68" s="76" t="inlineStr">
        <is>
          <t>8-10t power roller 6 passes on 20cm layer</t>
        </is>
      </c>
      <c r="C68" s="21" t="inlineStr">
        <is>
          <t>0011</t>
        </is>
      </c>
      <c r="D68" s="16" t="inlineStr">
        <is>
          <t>Road Roller 8-10t Diesel Power (incl Fuel &amp; Crew)</t>
        </is>
      </c>
      <c r="E68" s="77" t="n">
        <v>10</v>
      </c>
      <c r="F68" s="50" t="inlineStr">
        <is>
          <t>cum</t>
        </is>
      </c>
      <c r="G68" s="78" t="n">
        <v>1</v>
      </c>
      <c r="H68" s="79" t="n">
        <v>0.064</v>
      </c>
      <c r="I68" s="80" t="n">
        <v>1</v>
      </c>
      <c r="J68" s="81" t="n">
        <v>8</v>
      </c>
      <c r="K68" s="80" t="n">
        <v>1</v>
      </c>
      <c r="L68" s="82" t="n">
        <v>1</v>
      </c>
      <c r="M68" s="83" t="n">
        <v>1</v>
      </c>
      <c r="N68" s="82" t="n">
        <v>1</v>
      </c>
      <c r="O68" s="39" t="inlineStr">
        <is>
          <t>Compacting loose 20 cm layers: 6 passes with 8-10t roller covering 1.8 m width at 2.5 km/h = 156.25 cum/hr (1250 cum per 8-hr shift).</t>
        </is>
      </c>
    </row>
    <row r="69" ht="24" customHeight="1">
      <c r="A69" s="16" t="inlineStr">
        <is>
          <t>Rough excavation only (10 cum)</t>
        </is>
      </c>
      <c r="B69" s="76" t="inlineStr">
        <is>
          <t>Rough soil digging &amp; loosening</t>
        </is>
      </c>
      <c r="C69" s="21" t="inlineStr">
        <is>
          <t>0114</t>
        </is>
      </c>
      <c r="D69" s="16" t="inlineStr">
        <is>
          <t>Beldar (Semi-Skilled / Operational Earthwork)</t>
        </is>
      </c>
      <c r="E69" s="77" t="n">
        <v>10</v>
      </c>
      <c r="F69" s="50" t="inlineStr">
        <is>
          <t>cum</t>
        </is>
      </c>
      <c r="G69" s="78" t="n">
        <v>2</v>
      </c>
      <c r="H69" s="79" t="n">
        <v>14.8</v>
      </c>
      <c r="I69" s="80" t="n">
        <v>1</v>
      </c>
      <c r="J69" s="81" t="n">
        <v>8</v>
      </c>
      <c r="K69" s="80" t="n">
        <v>1</v>
      </c>
      <c r="L69" s="82" t="n">
        <v>1</v>
      </c>
      <c r="M69" s="83" t="n">
        <v>1</v>
      </c>
      <c r="N69" s="82" t="n">
        <v>1</v>
      </c>
      <c r="O69" s="39" t="inlineStr">
        <is>
          <t>Pure rough soil digging and loosening without banking or clod pulverization: 29.60 man-hrs / 10 cum (3.70 bd). Daily output: 2.703 cum per 8-hr shift.</t>
        </is>
      </c>
    </row>
    <row r="70" ht="24" customHeight="1">
      <c r="A70" s="16" t="inlineStr">
        <is>
          <t>Embankment banking excl digging (10 cum)</t>
        </is>
      </c>
      <c r="B70" s="76" t="inlineStr">
        <is>
          <t>Breaking clods &amp; shaping slope profile</t>
        </is>
      </c>
      <c r="C70" s="21" t="inlineStr">
        <is>
          <t>0114</t>
        </is>
      </c>
      <c r="D70" s="16" t="inlineStr">
        <is>
          <t>Beldar (Semi-Skilled / Operational Earthwork)</t>
        </is>
      </c>
      <c r="E70" s="77" t="n">
        <v>10</v>
      </c>
      <c r="F70" s="50" t="inlineStr">
        <is>
          <t>cum</t>
        </is>
      </c>
      <c r="G70" s="78" t="n">
        <v>2</v>
      </c>
      <c r="H70" s="79" t="n">
        <v>8.800000000000001</v>
      </c>
      <c r="I70" s="80" t="n">
        <v>1</v>
      </c>
      <c r="J70" s="81" t="n">
        <v>8</v>
      </c>
      <c r="K70" s="80" t="n">
        <v>1</v>
      </c>
      <c r="L70" s="82" t="n">
        <v>1</v>
      </c>
      <c r="M70" s="83" t="n">
        <v>1</v>
      </c>
      <c r="N70" s="82" t="n">
        <v>1</v>
      </c>
      <c r="O70" s="39" t="inlineStr">
        <is>
          <t>Pulverizing clods, leveling into 20 cm layers and shaping embankment slope profiles: 17.60 man-hrs / 10 cum (2.20 bd). Daily output: 4.545 cum per 8-hr shift. (Full cycle = 3.70 dig + 2.20 bank = 5.90 bd).</t>
        </is>
      </c>
    </row>
    <row r="71" ht="24" customHeight="1">
      <c r="A71" s="16" t="inlineStr">
        <is>
          <t>Embankment banking excl digging (10 cum)</t>
        </is>
      </c>
      <c r="B71" s="76" t="inlineStr">
        <is>
          <t>Haulage &amp; layer spreading</t>
        </is>
      </c>
      <c r="C71" s="21" t="inlineStr">
        <is>
          <t>0115</t>
        </is>
      </c>
      <c r="D71" s="16" t="inlineStr">
        <is>
          <t>Coolie (Unskilled / Haulage &amp; Spoil Handling)</t>
        </is>
      </c>
      <c r="E71" s="77" t="n">
        <v>10</v>
      </c>
      <c r="F71" s="50" t="inlineStr">
        <is>
          <t>cum</t>
        </is>
      </c>
      <c r="G71" s="78" t="n">
        <v>3</v>
      </c>
      <c r="H71" s="79" t="n">
        <v>9.6</v>
      </c>
      <c r="I71" s="80" t="n">
        <v>1</v>
      </c>
      <c r="J71" s="81" t="n">
        <v>8</v>
      </c>
      <c r="K71" s="80" t="n">
        <v>1</v>
      </c>
      <c r="L71" s="82" t="n">
        <v>1</v>
      </c>
      <c r="M71" s="83" t="n">
        <v>1</v>
      </c>
      <c r="N71" s="82" t="n">
        <v>1</v>
      </c>
      <c r="O71" s="39" t="inlineStr">
        <is>
          <t>Haulage within 50m lead and spreading in layers not exceeding 20cm.</t>
        </is>
      </c>
    </row>
    <row r="72" ht="24" customHeight="1">
      <c r="A72" s="16" t="inlineStr">
        <is>
          <t>Embankment banking excl digging (10 cum)</t>
        </is>
      </c>
      <c r="B72" s="76" t="inlineStr">
        <is>
          <t>OMC compaction layer watering</t>
        </is>
      </c>
      <c r="C72" s="21" t="inlineStr">
        <is>
          <t>0101</t>
        </is>
      </c>
      <c r="D72" s="16" t="inlineStr">
        <is>
          <t>Bhishti (Compaction Layer Watering to OMC)</t>
        </is>
      </c>
      <c r="E72" s="77" t="n">
        <v>10</v>
      </c>
      <c r="F72" s="50" t="inlineStr">
        <is>
          <t>cum</t>
        </is>
      </c>
      <c r="G72" s="78" t="n">
        <v>1</v>
      </c>
      <c r="H72" s="79" t="n">
        <v>3.2</v>
      </c>
      <c r="I72" s="80" t="n">
        <v>1</v>
      </c>
      <c r="J72" s="81" t="n">
        <v>8</v>
      </c>
      <c r="K72" s="80" t="n">
        <v>1</v>
      </c>
      <c r="L72" s="82" t="n">
        <v>1</v>
      </c>
      <c r="M72" s="83" t="n">
        <v>1</v>
      </c>
      <c r="N72" s="82" t="n">
        <v>1</v>
      </c>
      <c r="O72" s="39" t="inlineStr">
        <is>
          <t>Compaction watering: 25 cum conditioned per 8-hr shift.</t>
        </is>
      </c>
    </row>
    <row r="73" ht="24" customHeight="1">
      <c r="A73" s="16" t="inlineStr">
        <is>
          <t>Embankment banking excl digging (10 cum)</t>
        </is>
      </c>
      <c r="B73" s="76" t="inlineStr">
        <is>
          <t>8-10t power rolling 6 passes</t>
        </is>
      </c>
      <c r="C73" s="21" t="inlineStr">
        <is>
          <t>0011</t>
        </is>
      </c>
      <c r="D73" s="16" t="inlineStr">
        <is>
          <t>Road Roller 8-10t Diesel Power (incl Fuel &amp; Crew)</t>
        </is>
      </c>
      <c r="E73" s="77" t="n">
        <v>10</v>
      </c>
      <c r="F73" s="50" t="inlineStr">
        <is>
          <t>cum</t>
        </is>
      </c>
      <c r="G73" s="78" t="n">
        <v>1</v>
      </c>
      <c r="H73" s="79" t="n">
        <v>0.064</v>
      </c>
      <c r="I73" s="80" t="n">
        <v>1</v>
      </c>
      <c r="J73" s="81" t="n">
        <v>8</v>
      </c>
      <c r="K73" s="80" t="n">
        <v>1</v>
      </c>
      <c r="L73" s="82" t="n">
        <v>1</v>
      </c>
      <c r="M73" s="83" t="n">
        <v>1</v>
      </c>
      <c r="N73" s="82" t="n">
        <v>1</v>
      </c>
      <c r="O73" s="39" t="inlineStr">
        <is>
          <t>Layer consolidation: 1250 cum per 8-hr shift (0.008 machine-day per 10 cum).</t>
        </is>
      </c>
    </row>
    <row r="74" ht="24" customHeight="1">
      <c r="A74" s="16" t="inlineStr">
        <is>
          <t>Deduct not rolling embankment (10 cum)</t>
        </is>
      </c>
      <c r="B74" s="76" t="inlineStr">
        <is>
          <t>Omission of 8-10t power rolling</t>
        </is>
      </c>
      <c r="C74" s="21" t="inlineStr">
        <is>
          <t>0011</t>
        </is>
      </c>
      <c r="D74" s="16" t="inlineStr">
        <is>
          <t>Road Roller 8-10t Diesel Power (incl Fuel &amp; Crew)</t>
        </is>
      </c>
      <c r="E74" s="77" t="n">
        <v>10</v>
      </c>
      <c r="F74" s="50" t="inlineStr">
        <is>
          <t>cum</t>
        </is>
      </c>
      <c r="G74" s="78" t="n">
        <v>-1</v>
      </c>
      <c r="H74" s="79" t="n">
        <v>0.064</v>
      </c>
      <c r="I74" s="80" t="n">
        <v>1</v>
      </c>
      <c r="J74" s="81" t="n">
        <v>8</v>
      </c>
      <c r="K74" s="80" t="n">
        <v>1</v>
      </c>
      <c r="L74" s="82" t="n">
        <v>1</v>
      </c>
      <c r="M74" s="83" t="n">
        <v>1</v>
      </c>
      <c r="N74" s="82" t="n">
        <v>1</v>
      </c>
      <c r="O74" s="39" t="inlineStr">
        <is>
          <t>Reverses the 8-10t road roller compaction allowance where embankment rolling is omitted: -0.008 roller-day.</t>
        </is>
      </c>
    </row>
    <row r="75" ht="24" customHeight="1">
      <c r="A75" s="16" t="inlineStr">
        <is>
          <t>Deduct not watering embankment (10 cum)</t>
        </is>
      </c>
      <c r="B75" s="76" t="inlineStr">
        <is>
          <t>Omission of OMC compaction watering</t>
        </is>
      </c>
      <c r="C75" s="21" t="inlineStr">
        <is>
          <t>0101</t>
        </is>
      </c>
      <c r="D75" s="16" t="inlineStr">
        <is>
          <t>Bhishti (Compaction Layer Watering to OMC)</t>
        </is>
      </c>
      <c r="E75" s="77" t="n">
        <v>10</v>
      </c>
      <c r="F75" s="50" t="inlineStr">
        <is>
          <t>cum</t>
        </is>
      </c>
      <c r="G75" s="78" t="n">
        <v>-1</v>
      </c>
      <c r="H75" s="79" t="n">
        <v>3.2</v>
      </c>
      <c r="I75" s="80" t="n">
        <v>1</v>
      </c>
      <c r="J75" s="81" t="n">
        <v>8</v>
      </c>
      <c r="K75" s="80" t="n">
        <v>1</v>
      </c>
      <c r="L75" s="82" t="n">
        <v>1</v>
      </c>
      <c r="M75" s="83" t="n">
        <v>1</v>
      </c>
      <c r="N75" s="82" t="n">
        <v>1</v>
      </c>
      <c r="O75" s="39" t="inlineStr">
        <is>
          <t>Reverses the OMC compaction watering allowance where watering is omitted: -0.40 bhishti-day.</t>
        </is>
      </c>
    </row>
    <row r="76" ht="24" customHeight="1">
      <c r="A76" s="16" t="inlineStr">
        <is>
          <t>Excavator 0.9 cum bucket trenching (10 cum)</t>
        </is>
      </c>
      <c r="B76" s="76" t="inlineStr">
        <is>
          <t>Mechanical excavation 0.9 cum bucket</t>
        </is>
      </c>
      <c r="C76" s="21" t="inlineStr">
        <is>
          <t>0034</t>
        </is>
      </c>
      <c r="D76" s="16" t="inlineStr">
        <is>
          <t>Hydraulic Excavator 0.9 cum Shovel (incl Fuel &amp; Crew)</t>
        </is>
      </c>
      <c r="E76" s="77" t="n">
        <v>10</v>
      </c>
      <c r="F76" s="50" t="inlineStr">
        <is>
          <t>cum</t>
        </is>
      </c>
      <c r="G76" s="78" t="n">
        <v>1</v>
      </c>
      <c r="H76" s="79" t="n">
        <v>0.328</v>
      </c>
      <c r="I76" s="80" t="n">
        <v>1</v>
      </c>
      <c r="J76" s="81" t="n">
        <v>8</v>
      </c>
      <c r="K76" s="80" t="n">
        <v>1</v>
      </c>
      <c r="L76" s="82" t="n">
        <v>1</v>
      </c>
      <c r="M76" s="83" t="n">
        <v>1</v>
      </c>
      <c r="N76" s="82" t="n">
        <v>1</v>
      </c>
      <c r="O76" s="39" t="inlineStr">
        <is>
          <t>Hydraulic excavator (0.9 cum bucket) at 25-30s cycle, 60% job efficiency = 30.49 cum/hr. Digs 10 cum in 19.68 min (0.041 shift-day).</t>
        </is>
      </c>
    </row>
    <row r="77" ht="24" customHeight="1">
      <c r="A77" s="16" t="inlineStr">
        <is>
          <t>Excavator 0.9 cum bucket trenching (10 cum)</t>
        </is>
      </c>
      <c r="B77" s="76" t="inlineStr">
        <is>
          <t>Manual trench bottom &amp; corner trimming</t>
        </is>
      </c>
      <c r="C77" s="21" t="inlineStr">
        <is>
          <t>0114</t>
        </is>
      </c>
      <c r="D77" s="16" t="inlineStr">
        <is>
          <t>Beldar (Semi-Skilled / Operational Earthwork)</t>
        </is>
      </c>
      <c r="E77" s="77" t="n">
        <v>10</v>
      </c>
      <c r="F77" s="50" t="inlineStr">
        <is>
          <t>cum</t>
        </is>
      </c>
      <c r="G77" s="78" t="n">
        <v>1</v>
      </c>
      <c r="H77" s="79" t="n">
        <v>0.5600000000000001</v>
      </c>
      <c r="I77" s="80" t="n">
        <v>1</v>
      </c>
      <c r="J77" s="81" t="n">
        <v>8</v>
      </c>
      <c r="K77" s="80" t="n">
        <v>1</v>
      </c>
      <c r="L77" s="82" t="n">
        <v>1</v>
      </c>
      <c r="M77" s="83" t="n">
        <v>1</v>
      </c>
      <c r="N77" s="82" t="n">
        <v>1</v>
      </c>
      <c r="O77" s="39" t="inlineStr">
        <is>
          <t>Manual leveling and trimming of trench bottom and squaring corners where machine bucket cannot cleanly reach (33.6 mins).</t>
        </is>
      </c>
    </row>
    <row r="78" ht="24" customHeight="1">
      <c r="A78" s="16" t="inlineStr">
        <is>
          <t>Excavator 0.9 cum bucket trenching (10 cum)</t>
        </is>
      </c>
      <c r="B78" s="76" t="inlineStr">
        <is>
          <t>Corner cleanup &amp; shoveling to bucket</t>
        </is>
      </c>
      <c r="C78" s="21" t="inlineStr">
        <is>
          <t>0115</t>
        </is>
      </c>
      <c r="D78" s="16" t="inlineStr">
        <is>
          <t>Coolie (Unskilled / Haulage &amp; Spoil Handling)</t>
        </is>
      </c>
      <c r="E78" s="77" t="n">
        <v>10</v>
      </c>
      <c r="F78" s="50" t="inlineStr">
        <is>
          <t>cum</t>
        </is>
      </c>
      <c r="G78" s="78" t="n">
        <v>1</v>
      </c>
      <c r="H78" s="79" t="n">
        <v>0.5600000000000001</v>
      </c>
      <c r="I78" s="80" t="n">
        <v>1</v>
      </c>
      <c r="J78" s="81" t="n">
        <v>8</v>
      </c>
      <c r="K78" s="80" t="n">
        <v>1</v>
      </c>
      <c r="L78" s="82" t="n">
        <v>1</v>
      </c>
      <c r="M78" s="83" t="n">
        <v>1</v>
      </c>
      <c r="N78" s="82" t="n">
        <v>1</v>
      </c>
      <c r="O78" s="39" t="inlineStr">
        <is>
          <t>Shoveling corner spillage and trims back into excavator bucket reach radius (33.6 mins).</t>
        </is>
      </c>
    </row>
    <row r="79" ht="24" customHeight="1">
      <c r="A79" s="16" t="inlineStr">
        <is>
          <t>Foundation trench excavation soil (10 cum)</t>
        </is>
      </c>
      <c r="B79" s="76" t="inlineStr">
        <is>
          <t>Manual pickaxe digging &amp; trench bottoming</t>
        </is>
      </c>
      <c r="C79" s="21" t="inlineStr">
        <is>
          <t>0114</t>
        </is>
      </c>
      <c r="D79" s="16" t="inlineStr">
        <is>
          <t>Beldar (Semi-Skilled / Operational Earthwork)</t>
        </is>
      </c>
      <c r="E79" s="77" t="n">
        <v>10</v>
      </c>
      <c r="F79" s="50" t="inlineStr">
        <is>
          <t>cum</t>
        </is>
      </c>
      <c r="G79" s="78" t="n">
        <v>2</v>
      </c>
      <c r="H79" s="79" t="n">
        <v>7.6</v>
      </c>
      <c r="I79" s="80" t="n">
        <v>1</v>
      </c>
      <c r="J79" s="81" t="n">
        <v>8</v>
      </c>
      <c r="K79" s="80" t="n">
        <v>1</v>
      </c>
      <c r="L79" s="82" t="n">
        <v>1</v>
      </c>
      <c r="M79" s="83" t="n">
        <v>1</v>
      </c>
      <c r="N79" s="82" t="n">
        <v>1</v>
      </c>
      <c r="O79" s="39" t="inlineStr">
        <is>
          <t>Manual pickaxe and phowrah digging in foundation trenches. 1 Beldar loosens 5.263 cum per 8-hr shift (0.658 cum/hr).</t>
        </is>
      </c>
    </row>
    <row r="80" ht="24" customHeight="1">
      <c r="A80" s="16" t="inlineStr">
        <is>
          <t>Foundation trench excavation soil (10 cum)</t>
        </is>
      </c>
      <c r="B80" s="76" t="inlineStr">
        <is>
          <t>Shoveling &amp; lifting 1.5m clear of edge</t>
        </is>
      </c>
      <c r="C80" s="21" t="inlineStr">
        <is>
          <t>0115</t>
        </is>
      </c>
      <c r="D80" s="16" t="inlineStr">
        <is>
          <t>Coolie (Unskilled / Haulage &amp; Spoil Handling)</t>
        </is>
      </c>
      <c r="E80" s="77" t="n">
        <v>10</v>
      </c>
      <c r="F80" s="50" t="inlineStr">
        <is>
          <t>cum</t>
        </is>
      </c>
      <c r="G80" s="78" t="n">
        <v>2</v>
      </c>
      <c r="H80" s="79" t="n">
        <v>5.6</v>
      </c>
      <c r="I80" s="80" t="n">
        <v>1</v>
      </c>
      <c r="J80" s="81" t="n">
        <v>8</v>
      </c>
      <c r="K80" s="80" t="n">
        <v>1</v>
      </c>
      <c r="L80" s="82" t="n">
        <v>1</v>
      </c>
      <c r="M80" s="83" t="n">
        <v>1</v>
      </c>
      <c r="N80" s="82" t="n">
        <v>1</v>
      </c>
      <c r="O80" s="39" t="inlineStr">
        <is>
          <t>Shoveling loosened soil into pans, lifting out of trench up to 1.5 m lift, depositing 1 m clear of trench edge.</t>
        </is>
      </c>
    </row>
    <row r="81" ht="24" customHeight="1">
      <c r="A81" s="16" t="inlineStr">
        <is>
          <t>Foundation trench excavation soil (10 cum)</t>
        </is>
      </c>
      <c r="B81" s="76" t="inlineStr">
        <is>
          <t>Alignment, lines, levels &amp; supervision</t>
        </is>
      </c>
      <c r="C81" s="21" t="inlineStr">
        <is>
          <t>0128</t>
        </is>
      </c>
      <c r="D81" s="16" t="inlineStr">
        <is>
          <t>Mate (Crew Supervisor &amp; Alignment Checker)</t>
        </is>
      </c>
      <c r="E81" s="77" t="n">
        <v>10</v>
      </c>
      <c r="F81" s="50" t="inlineStr">
        <is>
          <t>cum</t>
        </is>
      </c>
      <c r="G81" s="78" t="n">
        <v>1</v>
      </c>
      <c r="H81" s="79" t="n">
        <v>1.28</v>
      </c>
      <c r="I81" s="80" t="n">
        <v>1</v>
      </c>
      <c r="J81" s="81" t="n">
        <v>8</v>
      </c>
      <c r="K81" s="80" t="n">
        <v>1</v>
      </c>
      <c r="L81" s="82" t="n">
        <v>1</v>
      </c>
      <c r="M81" s="83" t="n">
        <v>1</v>
      </c>
      <c r="N81" s="82" t="n">
        <v>1</v>
      </c>
      <c r="O81" s="39" t="inlineStr">
        <is>
          <t>Direct gang supervision, line alignment, levels and depth control (~5% of direct labour).</t>
        </is>
      </c>
    </row>
    <row r="82" ht="24" customHeight="1">
      <c r="A82" s="16" t="inlineStr">
        <is>
          <t>Foundation trench excavation soil (10 cum)</t>
        </is>
      </c>
      <c r="B82" s="76" t="inlineStr">
        <is>
          <t>Trench dampening &amp; dust suppression</t>
        </is>
      </c>
      <c r="C82" s="21" t="inlineStr">
        <is>
          <t>0101</t>
        </is>
      </c>
      <c r="D82" s="16" t="inlineStr">
        <is>
          <t>Bhishti (Compaction Layer Watering to OMC)</t>
        </is>
      </c>
      <c r="E82" s="77" t="n">
        <v>10</v>
      </c>
      <c r="F82" s="50" t="inlineStr">
        <is>
          <t>cum</t>
        </is>
      </c>
      <c r="G82" s="78" t="n">
        <v>1</v>
      </c>
      <c r="H82" s="79" t="n">
        <v>0.4</v>
      </c>
      <c r="I82" s="80" t="n">
        <v>1</v>
      </c>
      <c r="J82" s="81" t="n">
        <v>8</v>
      </c>
      <c r="K82" s="80" t="n">
        <v>1</v>
      </c>
      <c r="L82" s="82" t="n">
        <v>1</v>
      </c>
      <c r="M82" s="83" t="n">
        <v>1</v>
      </c>
      <c r="N82" s="82" t="n">
        <v>1</v>
      </c>
      <c r="O82" s="39" t="inlineStr">
        <is>
          <t>Dampening trench bottom to prevent rapid suction of concrete water during footing pour (24 min active work).</t>
        </is>
      </c>
    </row>
    <row r="83" ht="24" customHeight="1">
      <c r="A83" s="16" t="inlineStr">
        <is>
          <t>Backfilling trenches/plinth in layers (10 cum)</t>
        </is>
      </c>
      <c r="B83" s="76" t="inlineStr">
        <is>
          <t>Basket haulage from heaps within 50m</t>
        </is>
      </c>
      <c r="C83" s="21" t="inlineStr">
        <is>
          <t>0115</t>
        </is>
      </c>
      <c r="D83" s="16" t="inlineStr">
        <is>
          <t>Coolie (Unskilled / Haulage &amp; Spoil Handling)</t>
        </is>
      </c>
      <c r="E83" s="77" t="n">
        <v>10</v>
      </c>
      <c r="F83" s="50" t="inlineStr">
        <is>
          <t>cum</t>
        </is>
      </c>
      <c r="G83" s="78" t="n">
        <v>2</v>
      </c>
      <c r="H83" s="79" t="n">
        <v>6.8</v>
      </c>
      <c r="I83" s="80" t="n">
        <v>1</v>
      </c>
      <c r="J83" s="81" t="n">
        <v>8</v>
      </c>
      <c r="K83" s="80" t="n">
        <v>1</v>
      </c>
      <c r="L83" s="82" t="n">
        <v>1</v>
      </c>
      <c r="M83" s="83" t="n">
        <v>1</v>
      </c>
      <c r="N83" s="82" t="n">
        <v>1</v>
      </c>
      <c r="O83" s="39" t="inlineStr">
        <is>
          <t>Shoveling available excavated earth from heaps within 50 m lead, basket carrying and tipping into trenches/plinth.</t>
        </is>
      </c>
    </row>
    <row r="84" ht="24" customHeight="1">
      <c r="A84" s="16" t="inlineStr">
        <is>
          <t>Backfilling trenches/plinth in layers (10 cum)</t>
        </is>
      </c>
      <c r="B84" s="76" t="inlineStr">
        <is>
          <t>Spreading in 20cm layers &amp; durmat ramming</t>
        </is>
      </c>
      <c r="C84" s="21" t="inlineStr">
        <is>
          <t>0114</t>
        </is>
      </c>
      <c r="D84" s="16" t="inlineStr">
        <is>
          <t>Beldar (Semi-Skilled / Operational Earthwork)</t>
        </is>
      </c>
      <c r="E84" s="77" t="n">
        <v>10</v>
      </c>
      <c r="F84" s="50" t="inlineStr">
        <is>
          <t>cum</t>
        </is>
      </c>
      <c r="G84" s="78" t="n">
        <v>1</v>
      </c>
      <c r="H84" s="79" t="n">
        <v>6.4</v>
      </c>
      <c r="I84" s="80" t="n">
        <v>1</v>
      </c>
      <c r="J84" s="81" t="n">
        <v>8</v>
      </c>
      <c r="K84" s="80" t="n">
        <v>1</v>
      </c>
      <c r="L84" s="82" t="n">
        <v>1</v>
      </c>
      <c r="M84" s="83" t="n">
        <v>1</v>
      </c>
      <c r="N84" s="82" t="n">
        <v>1</v>
      </c>
      <c r="O84" s="39" t="inlineStr">
        <is>
          <t>Spreading loose earth in layers not exceeding 20 cm, thorough consolidation with iron/wooden rammers (durmats).</t>
        </is>
      </c>
    </row>
    <row r="85" ht="24" customHeight="1">
      <c r="A85" s="16" t="inlineStr">
        <is>
          <t>Backfilling trenches/plinth in layers (10 cum)</t>
        </is>
      </c>
      <c r="B85" s="76" t="inlineStr">
        <is>
          <t>Consolidation layer watering</t>
        </is>
      </c>
      <c r="C85" s="21" t="inlineStr">
        <is>
          <t>0101</t>
        </is>
      </c>
      <c r="D85" s="16" t="inlineStr">
        <is>
          <t>Bhishti (Compaction Layer Watering to OMC)</t>
        </is>
      </c>
      <c r="E85" s="77" t="n">
        <v>10</v>
      </c>
      <c r="F85" s="50" t="inlineStr">
        <is>
          <t>cum</t>
        </is>
      </c>
      <c r="G85" s="78" t="n">
        <v>1</v>
      </c>
      <c r="H85" s="79" t="n">
        <v>1.6</v>
      </c>
      <c r="I85" s="80" t="n">
        <v>1</v>
      </c>
      <c r="J85" s="81" t="n">
        <v>8</v>
      </c>
      <c r="K85" s="80" t="n">
        <v>1</v>
      </c>
      <c r="L85" s="82" t="n">
        <v>1</v>
      </c>
      <c r="M85" s="83" t="n">
        <v>1</v>
      </c>
      <c r="N85" s="82" t="n">
        <v>1</v>
      </c>
      <c r="O85" s="39" t="inlineStr">
        <is>
          <t>Watering each layer during ramming to attain optimum density (50 cum conditioned per 8-hr shift).</t>
        </is>
      </c>
    </row>
    <row r="86" ht="24" customHeight="1">
      <c r="A86" s="16" t="inlineStr">
        <is>
          <t>Surface dressing &lt;= 15cm deep (100 sqm)</t>
        </is>
      </c>
      <c r="B86" s="76" t="inlineStr">
        <is>
          <t>Cutting humps &amp; filling hollows &lt;= 15cm</t>
        </is>
      </c>
      <c r="C86" s="21" t="inlineStr">
        <is>
          <t>0114</t>
        </is>
      </c>
      <c r="D86" s="16" t="inlineStr">
        <is>
          <t>Beldar (Semi-Skilled / Operational Earthwork)</t>
        </is>
      </c>
      <c r="E86" s="77" t="n">
        <v>100</v>
      </c>
      <c r="F86" s="50" t="inlineStr">
        <is>
          <t>sqm</t>
        </is>
      </c>
      <c r="G86" s="78" t="n">
        <v>1</v>
      </c>
      <c r="H86" s="79" t="n">
        <v>7.2</v>
      </c>
      <c r="I86" s="80" t="n">
        <v>1</v>
      </c>
      <c r="J86" s="81" t="n">
        <v>8</v>
      </c>
      <c r="K86" s="80" t="n">
        <v>1</v>
      </c>
      <c r="L86" s="82" t="n">
        <v>1</v>
      </c>
      <c r="M86" s="83" t="n">
        <v>1</v>
      </c>
      <c r="N86" s="82" t="n">
        <v>1</v>
      </c>
      <c r="O86" s="39" t="inlineStr">
        <is>
          <t>Cutting high humps and filling low depressions not exceeding 15 cm depth to achieve uniform plane ground (111.11 sqm/day).</t>
        </is>
      </c>
    </row>
    <row r="87" ht="24" customHeight="1">
      <c r="A87" s="16" t="inlineStr">
        <is>
          <t>Surface dressing &lt;= 15cm deep (100 sqm)</t>
        </is>
      </c>
      <c r="B87" s="76" t="inlineStr">
        <is>
          <t>Collecting debris &amp; disposal up to 50m</t>
        </is>
      </c>
      <c r="C87" s="21" t="inlineStr">
        <is>
          <t>0115</t>
        </is>
      </c>
      <c r="D87" s="16" t="inlineStr">
        <is>
          <t>Coolie (Unskilled / Haulage &amp; Spoil Handling)</t>
        </is>
      </c>
      <c r="E87" s="77" t="n">
        <v>100</v>
      </c>
      <c r="F87" s="50" t="inlineStr">
        <is>
          <t>sqm</t>
        </is>
      </c>
      <c r="G87" s="78" t="n">
        <v>1</v>
      </c>
      <c r="H87" s="79" t="n">
        <v>5.6</v>
      </c>
      <c r="I87" s="80" t="n">
        <v>1</v>
      </c>
      <c r="J87" s="81" t="n">
        <v>8</v>
      </c>
      <c r="K87" s="80" t="n">
        <v>1</v>
      </c>
      <c r="L87" s="82" t="n">
        <v>1</v>
      </c>
      <c r="M87" s="83" t="n">
        <v>1</v>
      </c>
      <c r="N87" s="82" t="n">
        <v>1</v>
      </c>
      <c r="O87" s="39" t="inlineStr">
        <is>
          <t>Collecting uprooted weeds, grass roots and rubbish, disposing outside perimeter up to 50 m lead (142.86 sqm/day).</t>
        </is>
      </c>
    </row>
    <row r="88" ht="24" customHeight="1">
      <c r="A88" s="16" t="inlineStr">
        <is>
          <t>Clearing jungle &amp; rank vegetation (100 sqm)</t>
        </is>
      </c>
      <c r="B88" s="76" t="inlineStr">
        <is>
          <t>Slashing brush &amp; uprooting saplings &lt;=30cm</t>
        </is>
      </c>
      <c r="C88" s="21" t="inlineStr">
        <is>
          <t>0114</t>
        </is>
      </c>
      <c r="D88" s="16" t="inlineStr">
        <is>
          <t>Beldar (Semi-Skilled / Operational Earthwork)</t>
        </is>
      </c>
      <c r="E88" s="77" t="n">
        <v>100</v>
      </c>
      <c r="F88" s="50" t="inlineStr">
        <is>
          <t>sqm</t>
        </is>
      </c>
      <c r="G88" s="78" t="n">
        <v>1</v>
      </c>
      <c r="H88" s="79" t="n">
        <v>6.4</v>
      </c>
      <c r="I88" s="80" t="n">
        <v>1</v>
      </c>
      <c r="J88" s="81" t="n">
        <v>8</v>
      </c>
      <c r="K88" s="80" t="n">
        <v>1</v>
      </c>
      <c r="L88" s="82" t="n">
        <v>1</v>
      </c>
      <c r="M88" s="83" t="n">
        <v>1</v>
      </c>
      <c r="N88" s="82" t="n">
        <v>1</v>
      </c>
      <c r="O88" s="39" t="inlineStr">
        <is>
          <t>Slashing rank vegetation, clearing brushwood and uprooting small saplings up to 30 cm girth at 1 m height (125 sqm/day).</t>
        </is>
      </c>
    </row>
    <row r="89" ht="24" customHeight="1">
      <c r="A89" s="16" t="inlineStr">
        <is>
          <t>Clearing jungle &amp; rank vegetation (100 sqm)</t>
        </is>
      </c>
      <c r="B89" s="76" t="inlineStr">
        <is>
          <t>Stacking &amp; disposal outside 50m periphery</t>
        </is>
      </c>
      <c r="C89" s="21" t="inlineStr">
        <is>
          <t>0115</t>
        </is>
      </c>
      <c r="D89" s="16" t="inlineStr">
        <is>
          <t>Coolie (Unskilled / Haulage &amp; Spoil Handling)</t>
        </is>
      </c>
      <c r="E89" s="77" t="n">
        <v>100</v>
      </c>
      <c r="F89" s="50" t="inlineStr">
        <is>
          <t>sqm</t>
        </is>
      </c>
      <c r="G89" s="78" t="n">
        <v>1</v>
      </c>
      <c r="H89" s="79" t="n">
        <v>1.6</v>
      </c>
      <c r="I89" s="80" t="n">
        <v>1</v>
      </c>
      <c r="J89" s="81" t="n">
        <v>8</v>
      </c>
      <c r="K89" s="80" t="n">
        <v>1</v>
      </c>
      <c r="L89" s="82" t="n">
        <v>1</v>
      </c>
      <c r="M89" s="83" t="n">
        <v>1</v>
      </c>
      <c r="N89" s="82" t="n">
        <v>1</v>
      </c>
      <c r="O89" s="39" t="inlineStr">
        <is>
          <t>Stacking cut brushwood and carrying all unserviceable debris outside 50 m perimeter (500 sqm/day).</t>
        </is>
      </c>
    </row>
    <row r="90" ht="24" customHeight="1">
      <c r="A90" s="12" t="inlineStr">
        <is>
          <t>5. RUNNING CUSTOM NON-DSR ITEMS LIBRARY FOR EARTH WORK</t>
        </is>
      </c>
    </row>
    <row r="91" ht="20" customHeight="1">
      <c r="A91" s="75" t="inlineStr">
        <is>
          <t>Log custom non-DSR earthwork rate analyses below. Results generated above can be archived here for tender schedules.</t>
        </is>
      </c>
    </row>
    <row r="92" ht="24" customHeight="1">
      <c r="A92" s="13" t="inlineStr">
        <is>
          <t>Custom Code</t>
        </is>
      </c>
      <c r="B92" s="13" t="inlineStr">
        <is>
          <t>Item Nomenclature / Scope</t>
        </is>
      </c>
      <c r="C92" s="13" t="inlineStr">
        <is>
          <t>Unit</t>
        </is>
      </c>
      <c r="D92" s="13" t="inlineStr">
        <is>
          <t>Batch</t>
        </is>
      </c>
      <c r="E92" s="13" t="inlineStr">
        <is>
          <t>Mode</t>
        </is>
      </c>
      <c r="F92" s="13" t="inlineStr">
        <is>
          <t>CPOH Base</t>
        </is>
      </c>
      <c r="G92" s="13" t="inlineStr">
        <is>
          <t>Direct Cost W (₹)</t>
        </is>
      </c>
      <c r="H92" s="13" t="inlineStr">
        <is>
          <t>Unit Rate (₹)</t>
        </is>
      </c>
      <c r="I92" s="13" t="inlineStr">
        <is>
          <t>Say Rate (₹)</t>
        </is>
      </c>
      <c r="J92" s="13" t="inlineStr">
        <is>
          <t>Status</t>
        </is>
      </c>
      <c r="K92" s="13" t="inlineStr">
        <is>
          <t>Technical Basis &amp; Remarks</t>
        </is>
      </c>
      <c r="L92" s="14" t="n"/>
      <c r="M92" s="14" t="n"/>
      <c r="N92" s="14" t="n"/>
      <c r="O92" s="15" t="n"/>
    </row>
    <row r="93" ht="20" customHeight="1">
      <c r="A93" s="50" t="inlineStr">
        <is>
          <t>C-02.01</t>
        </is>
      </c>
      <c r="B93" s="76" t="inlineStr">
        <is>
          <t>Earth work surface excavation in soil ≤30cm depth (DAR baseline)</t>
        </is>
      </c>
      <c r="C93" s="50" t="inlineStr">
        <is>
          <t>sqm</t>
        </is>
      </c>
      <c r="D93" s="52" t="n">
        <v>100</v>
      </c>
      <c r="E93" s="50" t="inlineStr">
        <is>
          <t>DIRECT</t>
        </is>
      </c>
      <c r="F93" s="50" t="inlineStr">
        <is>
          <t>W</t>
        </is>
      </c>
      <c r="G93" s="51" t="n">
        <v>6919.2</v>
      </c>
      <c r="H93" s="51" t="n">
        <v>92.55</v>
      </c>
      <c r="I93" s="84" t="n">
        <v>92.55</v>
      </c>
      <c r="J93" s="50" t="inlineStr">
        <is>
          <t>COMPLETE</t>
        </is>
      </c>
      <c r="K93" s="39" t="inlineStr">
        <is>
          <t>Standard DAR surface excavation benchmark</t>
        </is>
      </c>
      <c r="L93" s="92" t="n"/>
      <c r="M93" s="92" t="n"/>
      <c r="N93" s="92" t="n"/>
      <c r="O93" s="93" t="n"/>
    </row>
    <row r="94" ht="20" customHeight="1">
      <c r="A94" s="50" t="inlineStr">
        <is>
          <t>C-02.02</t>
        </is>
      </c>
      <c r="B94" s="76" t="inlineStr">
        <is>
          <t>Earth work rough excavation, banking, watering &amp; rolling (DAR baseline)</t>
        </is>
      </c>
      <c r="C94" s="50" t="inlineStr">
        <is>
          <t>cum</t>
        </is>
      </c>
      <c r="D94" s="52" t="n">
        <v>10</v>
      </c>
      <c r="E94" s="50" t="inlineStr">
        <is>
          <t>DIRECT</t>
        </is>
      </c>
      <c r="F94" s="50" t="inlineStr">
        <is>
          <t>W</t>
        </is>
      </c>
      <c r="G94" s="51" t="n">
        <v>5581.72</v>
      </c>
      <c r="H94" s="51" t="n">
        <v>746.8</v>
      </c>
      <c r="I94" s="84" t="n">
        <v>746.8</v>
      </c>
      <c r="J94" s="50" t="inlineStr">
        <is>
          <t>COMPLETE</t>
        </is>
      </c>
      <c r="K94" s="39" t="inlineStr">
        <is>
          <t>Standard DAR embankment benchmark</t>
        </is>
      </c>
      <c r="L94" s="92" t="n"/>
      <c r="M94" s="92" t="n"/>
      <c r="N94" s="92" t="n"/>
      <c r="O94" s="93" t="n"/>
    </row>
    <row r="95" ht="20" customHeight="1">
      <c r="A95" s="50" t="inlineStr">
        <is>
          <t>C-02.03</t>
        </is>
      </c>
      <c r="B95" s="76" t="inlineStr">
        <is>
          <t>Hydraulic excavator 0.9 cum area excavation (DAR baseline)</t>
        </is>
      </c>
      <c r="C95" s="50" t="inlineStr">
        <is>
          <t>cum</t>
        </is>
      </c>
      <c r="D95" s="52" t="n">
        <v>10</v>
      </c>
      <c r="E95" s="50" t="inlineStr">
        <is>
          <t>DIRECT</t>
        </is>
      </c>
      <c r="F95" s="50" t="inlineStr">
        <is>
          <t>W</t>
        </is>
      </c>
      <c r="G95" s="51" t="n">
        <v>1358</v>
      </c>
      <c r="H95" s="51" t="n">
        <v>181.85</v>
      </c>
      <c r="I95" s="84" t="n">
        <v>181.85</v>
      </c>
      <c r="J95" s="50" t="inlineStr">
        <is>
          <t>COMPLETE</t>
        </is>
      </c>
      <c r="K95" s="39" t="inlineStr">
        <is>
          <t>Standard DAR excavator benchmark</t>
        </is>
      </c>
      <c r="L95" s="92" t="n"/>
      <c r="M95" s="92" t="n"/>
      <c r="N95" s="92" t="n"/>
      <c r="O95" s="93" t="n"/>
    </row>
    <row r="96" ht="20" customHeight="1">
      <c r="A96" s="50" t="inlineStr">
        <is>
          <t>C-02.04</t>
        </is>
      </c>
      <c r="B96" s="76" t="inlineStr">
        <is>
          <t>(Available for custom earthwork specification)</t>
        </is>
      </c>
      <c r="C96" s="50" t="inlineStr">
        <is>
          <t>cum</t>
        </is>
      </c>
      <c r="D96" s="52" t="n">
        <v>10</v>
      </c>
      <c r="E96" s="50" t="inlineStr">
        <is>
          <t>DIRECT</t>
        </is>
      </c>
      <c r="F96" s="50" t="inlineStr">
        <is>
          <t>W</t>
        </is>
      </c>
      <c r="G96" s="51" t="n"/>
      <c r="H96" s="51" t="n"/>
      <c r="I96" s="84" t="n"/>
      <c r="J96" s="50" t="inlineStr">
        <is>
          <t>DRAFT</t>
        </is>
      </c>
      <c r="K96" s="39" t="inlineStr">
        <is>
          <t>Custom item slot</t>
        </is>
      </c>
      <c r="L96" s="92" t="n"/>
      <c r="M96" s="92" t="n"/>
      <c r="N96" s="92" t="n"/>
      <c r="O96" s="93" t="n"/>
    </row>
    <row r="97" ht="20" customHeight="1">
      <c r="A97" s="50" t="inlineStr">
        <is>
          <t>C-02.05</t>
        </is>
      </c>
      <c r="B97" s="76" t="inlineStr">
        <is>
          <t>(Available for custom earthwork specification)</t>
        </is>
      </c>
      <c r="C97" s="50" t="inlineStr">
        <is>
          <t>cum</t>
        </is>
      </c>
      <c r="D97" s="52" t="n">
        <v>10</v>
      </c>
      <c r="E97" s="50" t="inlineStr">
        <is>
          <t>DIRECT</t>
        </is>
      </c>
      <c r="F97" s="50" t="inlineStr">
        <is>
          <t>W</t>
        </is>
      </c>
      <c r="G97" s="51" t="n"/>
      <c r="H97" s="51" t="n"/>
      <c r="I97" s="84" t="n"/>
      <c r="J97" s="50" t="inlineStr">
        <is>
          <t>DRAFT</t>
        </is>
      </c>
      <c r="K97" s="39" t="inlineStr">
        <is>
          <t>Custom item slot</t>
        </is>
      </c>
      <c r="L97" s="92" t="n"/>
      <c r="M97" s="92" t="n"/>
      <c r="N97" s="92" t="n"/>
      <c r="O97" s="93" t="n"/>
    </row>
    <row r="98" ht="20" customHeight="1">
      <c r="A98" s="50" t="inlineStr">
        <is>
          <t>C-02.06</t>
        </is>
      </c>
      <c r="B98" s="76" t="inlineStr">
        <is>
          <t>(Available for custom earthwork specification)</t>
        </is>
      </c>
      <c r="C98" s="50" t="inlineStr">
        <is>
          <t>sqm</t>
        </is>
      </c>
      <c r="D98" s="52" t="n">
        <v>100</v>
      </c>
      <c r="E98" s="50" t="inlineStr">
        <is>
          <t>DIRECT</t>
        </is>
      </c>
      <c r="F98" s="50" t="inlineStr">
        <is>
          <t>W</t>
        </is>
      </c>
      <c r="G98" s="51" t="n"/>
      <c r="H98" s="51" t="n"/>
      <c r="I98" s="84" t="n"/>
      <c r="J98" s="50" t="inlineStr">
        <is>
          <t>DRAFT</t>
        </is>
      </c>
      <c r="K98" s="39" t="inlineStr">
        <is>
          <t>Custom item slot</t>
        </is>
      </c>
      <c r="L98" s="92" t="n"/>
      <c r="M98" s="92" t="n"/>
      <c r="N98" s="92" t="n"/>
      <c r="O98" s="93" t="n"/>
    </row>
    <row r="99" ht="20" customHeight="1">
      <c r="A99" s="50" t="inlineStr">
        <is>
          <t>C-02.07</t>
        </is>
      </c>
      <c r="B99" s="76" t="inlineStr">
        <is>
          <t>(Available for custom earthwork specification)</t>
        </is>
      </c>
      <c r="C99" s="50" t="inlineStr">
        <is>
          <t>cum</t>
        </is>
      </c>
      <c r="D99" s="52" t="n">
        <v>10</v>
      </c>
      <c r="E99" s="50" t="inlineStr">
        <is>
          <t>DIRECT</t>
        </is>
      </c>
      <c r="F99" s="50" t="inlineStr">
        <is>
          <t>W</t>
        </is>
      </c>
      <c r="G99" s="51" t="n"/>
      <c r="H99" s="51" t="n"/>
      <c r="I99" s="84" t="n"/>
      <c r="J99" s="50" t="inlineStr">
        <is>
          <t>DRAFT</t>
        </is>
      </c>
      <c r="K99" s="39" t="inlineStr">
        <is>
          <t>Custom item slot</t>
        </is>
      </c>
      <c r="L99" s="92" t="n"/>
      <c r="M99" s="92" t="n"/>
      <c r="N99" s="92" t="n"/>
      <c r="O99" s="93" t="n"/>
    </row>
    <row r="100" ht="20" customHeight="1">
      <c r="A100" s="50" t="inlineStr">
        <is>
          <t>C-02.08</t>
        </is>
      </c>
      <c r="B100" s="76" t="inlineStr">
        <is>
          <t>(Available for custom earthwork specification)</t>
        </is>
      </c>
      <c r="C100" s="50" t="inlineStr">
        <is>
          <t>m</t>
        </is>
      </c>
      <c r="D100" s="52" t="n">
        <v>100</v>
      </c>
      <c r="E100" s="50" t="inlineStr">
        <is>
          <t>DIRECT</t>
        </is>
      </c>
      <c r="F100" s="50" t="inlineStr">
        <is>
          <t>W</t>
        </is>
      </c>
      <c r="G100" s="51" t="n"/>
      <c r="H100" s="51" t="n"/>
      <c r="I100" s="84" t="n"/>
      <c r="J100" s="50" t="inlineStr">
        <is>
          <t>DRAFT</t>
        </is>
      </c>
      <c r="K100" s="39" t="inlineStr">
        <is>
          <t>Custom item slot</t>
        </is>
      </c>
      <c r="L100" s="92" t="n"/>
      <c r="M100" s="92" t="n"/>
      <c r="N100" s="92" t="n"/>
      <c r="O100" s="93" t="n"/>
    </row>
    <row r="102" ht="24" customHeight="1">
      <c r="A102" s="12" t="inlineStr">
        <is>
          <t>TABLE 5E — GROUND-TRUTH RESOURCE NORMS &amp; ACTIVITY SPECIFICATION CATALOG (178 Verified Records)</t>
        </is>
      </c>
    </row>
    <row r="103" ht="24" customHeight="1">
      <c r="A103" s="75" t="inlineStr">
        <is>
          <t>Ground-truth reference norms transcribed from official CPWD DAR 2019 Volume 1 (Sub-Head 02: Earth Work, PDF pages 88-140). Organized into 15 high-value engineering columns. Cost Contribution (%) identifies equipment- vs. labor-heavy activities. All rate analysis builds directly from this database.</t>
        </is>
      </c>
    </row>
    <row r="104" ht="24" customHeight="1">
      <c r="A104" s="13" t="inlineStr">
        <is>
          <t>Primary Work Scope</t>
        </is>
      </c>
      <c r="B104" s="13" t="inlineStr">
        <is>
          <t>Ground Strata / Material</t>
        </is>
      </c>
      <c r="C104" s="13" t="inlineStr">
        <is>
          <t>Execution Method &amp; Depth Condition</t>
        </is>
      </c>
      <c r="D104" s="13" t="inlineStr">
        <is>
          <t>Operation / Task Specification</t>
        </is>
      </c>
      <c r="E104" s="13" t="inlineStr">
        <is>
          <t>Standard Batch Output</t>
        </is>
      </c>
      <c r="F104" s="13" t="inlineStr">
        <is>
          <t>Resource Category</t>
        </is>
      </c>
      <c r="G104" s="13" t="inlineStr">
        <is>
          <t>Resource Code</t>
        </is>
      </c>
      <c r="H104" s="13" t="inlineStr">
        <is>
          <t>Resource Description &amp; Role</t>
        </is>
      </c>
      <c r="I104" s="13" t="inlineStr">
        <is>
          <t>Norm Input Qty</t>
        </is>
      </c>
      <c r="J104" s="13" t="inlineStr">
        <is>
          <t>Resource Unit</t>
        </is>
      </c>
      <c r="K104" s="13" t="inlineStr">
        <is>
          <t>Unit Rate (₹)</t>
        </is>
      </c>
      <c r="L104" s="13" t="inlineStr">
        <is>
          <t>Line Amount (₹)</t>
        </is>
      </c>
      <c r="M104" s="13" t="inlineStr">
        <is>
          <t>Cost Share %</t>
        </is>
      </c>
      <c r="N104" s="13" t="inlineStr">
        <is>
          <t>Productivity &amp; Daily Output Norm</t>
        </is>
      </c>
      <c r="O104" s="13" t="inlineStr">
        <is>
          <t>Engineering First-Principles &amp; CPWD 8-Hour Shift Logic</t>
        </is>
      </c>
      <c r="AA104" s="85" t="inlineStr">
        <is>
          <t>Master Activity Full Key</t>
        </is>
      </c>
      <c r="AB104" s="85" t="inlineStr">
        <is>
          <t>Master Fallback Key</t>
        </is>
      </c>
      <c r="AC104" s="85" t="inlineStr">
        <is>
          <t>Batch Qty</t>
        </is>
      </c>
      <c r="AD104" s="85" t="inlineStr">
        <is>
          <t>Batch Unit</t>
        </is>
      </c>
      <c r="AE104" s="85" t="inlineStr">
        <is>
          <t>Published Say Rate (₹)</t>
        </is>
      </c>
      <c r="AF104" s="85" t="inlineStr">
        <is>
          <t>Official Nomenclature</t>
        </is>
      </c>
      <c r="AG104" s="85" t="inlineStr">
        <is>
          <t>Loosening Lever</t>
        </is>
      </c>
      <c r="AH104" s="85" t="inlineStr">
        <is>
          <t>Handling Lever</t>
        </is>
      </c>
      <c r="AI104" s="85" t="inlineStr">
        <is>
          <t>Spreading Lever</t>
        </is>
      </c>
      <c r="AJ104" s="85" t="inlineStr">
        <is>
          <t>Watering Lever</t>
        </is>
      </c>
      <c r="AK104" s="85" t="inlineStr">
        <is>
          <t>Compaction Lever</t>
        </is>
      </c>
      <c r="AL104" s="85" t="inlineStr">
        <is>
          <t>Task / Operation Specification Options (D9 Dropdown Source)</t>
        </is>
      </c>
    </row>
    <row r="105" ht="22" customHeight="1">
      <c r="A105" s="16" t="inlineStr">
        <is>
          <t>Surface Excavation (≤30 cm)</t>
        </is>
      </c>
      <c r="B105" s="76" t="inlineStr">
        <is>
          <t>All kinds of soil</t>
        </is>
      </c>
      <c r="C105" s="76" t="inlineStr">
        <is>
          <t>Manual labor (depth ≤1.5m)</t>
        </is>
      </c>
      <c r="D105" s="76" t="inlineStr">
        <is>
          <t>General surface cut (≤30 cm deep)</t>
        </is>
      </c>
      <c r="E105" s="28" t="inlineStr">
        <is>
          <t>100 sqm</t>
        </is>
      </c>
      <c r="F105" s="32" t="inlineStr">
        <is>
          <t>Labour (Semi-Skilled / Operational)</t>
        </is>
      </c>
      <c r="G105" s="21" t="inlineStr">
        <is>
          <t>0114</t>
        </is>
      </c>
      <c r="H105" s="76" t="inlineStr">
        <is>
          <t>Beldar</t>
        </is>
      </c>
      <c r="I105" s="86" t="n">
        <v>6.8</v>
      </c>
      <c r="J105" s="50" t="inlineStr">
        <is>
          <t>day</t>
        </is>
      </c>
      <c r="K105" s="51" t="n">
        <v>558</v>
      </c>
      <c r="L105" s="84" t="n">
        <v>3794.4</v>
      </c>
      <c r="M105" s="52" t="n">
        <v>54.8</v>
      </c>
      <c r="N105" s="87" t="n">
        <v>14.70588235294118</v>
      </c>
      <c r="O105" s="39" t="inlineStr">
        <is>
          <t>4 men × 13.60 h = 54.40 man-hrs ÷ 8 = 6.80 bd. Pickaxe crust loosening: 14.71 sqm/8-hr day (0.544 hr/sqm, 32.6 min/sqm pace).</t>
        </is>
      </c>
      <c r="P105" t="inlineStr">
        <is>
          <t>Surface Excavation (≤30 cm)|All kinds of soil|Manual labor (depth ≤1.5m)|General surface cut (≤30 cm deep)|1</t>
        </is>
      </c>
      <c r="Q105" t="n">
        <v>1</v>
      </c>
      <c r="R105" t="n">
        <v>100</v>
      </c>
      <c r="S105" t="inlineStr">
        <is>
          <t>sqm</t>
        </is>
      </c>
      <c r="T105" t="n">
        <v>92.55</v>
      </c>
      <c r="U105" t="inlineStr">
        <is>
          <t>Manual Pickaxe / Beldar</t>
        </is>
      </c>
      <c r="V105" t="inlineStr">
        <is>
          <t>Manual Basket (≤50m lead, ≤1.5m lift)</t>
        </is>
      </c>
      <c r="W105" t="inlineStr">
        <is>
          <t>Dressing &amp; grading surface</t>
        </is>
      </c>
      <c r="X105" t="inlineStr">
        <is>
          <t>None</t>
        </is>
      </c>
      <c r="Y105" t="inlineStr">
        <is>
          <t>None</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88" t="inlineStr">
        <is>
          <t>Banking &amp; rolling only (excavation excluded)</t>
        </is>
      </c>
    </row>
    <row r="106" ht="22" customHeight="1">
      <c r="A106" s="16" t="inlineStr">
        <is>
          <t>Surface Excavation (≤30 cm)</t>
        </is>
      </c>
      <c r="B106" s="76" t="inlineStr">
        <is>
          <t>All kinds of soil</t>
        </is>
      </c>
      <c r="C106" s="76" t="inlineStr">
        <is>
          <t>Manual labor (depth ≤1.5m)</t>
        </is>
      </c>
      <c r="D106" s="76" t="inlineStr">
        <is>
          <t>General surface cut (≤30 cm deep)</t>
        </is>
      </c>
      <c r="E106" s="28" t="inlineStr">
        <is>
          <t>100 sqm</t>
        </is>
      </c>
      <c r="F106" s="32" t="inlineStr">
        <is>
          <t>Labour (Unskilled / Haulage)</t>
        </is>
      </c>
      <c r="G106" s="21" t="inlineStr">
        <is>
          <t>0115</t>
        </is>
      </c>
      <c r="H106" s="76" t="inlineStr">
        <is>
          <t>Coolie</t>
        </is>
      </c>
      <c r="I106" s="86" t="n">
        <v>5.6</v>
      </c>
      <c r="J106" s="50" t="inlineStr">
        <is>
          <t>day</t>
        </is>
      </c>
      <c r="K106" s="51" t="n">
        <v>558</v>
      </c>
      <c r="L106" s="84" t="n">
        <v>3124.8</v>
      </c>
      <c r="M106" s="52" t="n">
        <v>45.2</v>
      </c>
      <c r="N106" s="87" t="n">
        <v>17.85714285714286</v>
      </c>
      <c r="O106" s="39" t="inlineStr">
        <is>
          <t>4 men × 11.20 h = 44.80 man-hrs ÷ 8 = 5.60 cd. Basket haulage &amp; 50m disposal: 17.86 sqm/8-hr day (0.448 hr/sqm, 26.9 min/sqm pace).</t>
        </is>
      </c>
      <c r="P106" t="inlineStr">
        <is>
          <t>Surface Excavation (≤30 cm)|All kinds of soil|Manual labor (depth ≤1.5m)|General surface cut (≤30 cm deep)|2</t>
        </is>
      </c>
      <c r="Q106" t="n">
        <v>2</v>
      </c>
      <c r="R106" t="n">
        <v>100</v>
      </c>
      <c r="S106" t="inlineStr">
        <is>
          <t>sqm</t>
        </is>
      </c>
      <c r="T106" t="n">
        <v>92.55</v>
      </c>
      <c r="U106" t="inlineStr">
        <is>
          <t>Manual Pickaxe / Beldar</t>
        </is>
      </c>
      <c r="V106" t="inlineStr">
        <is>
          <t>Manual Basket (≤50m lead, ≤1.5m lift)</t>
        </is>
      </c>
      <c r="W106" t="inlineStr">
        <is>
          <t>Dressing &amp; grading surface</t>
        </is>
      </c>
      <c r="X106" t="inlineStr">
        <is>
          <t>None</t>
        </is>
      </c>
      <c r="Y106" t="inlineStr">
        <is>
          <t>None</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88" t="inlineStr">
        <is>
          <t>Clearing grass &amp; removal of rubbish</t>
        </is>
      </c>
    </row>
    <row r="107" ht="22" customHeight="1">
      <c r="A107" s="16" t="inlineStr">
        <is>
          <t>Embankment Banking &amp; Dressing</t>
        </is>
      </c>
      <c r="B107" s="76" t="inlineStr">
        <is>
          <t>All kinds of soil</t>
        </is>
      </c>
      <c r="C107" s="76" t="inlineStr">
        <is>
          <t>Manual labor (depth ≤1.5m)</t>
        </is>
      </c>
      <c r="D107" s="76" t="inlineStr">
        <is>
          <t>Full cycle: rough excavation + banking + roll</t>
        </is>
      </c>
      <c r="E107" s="28" t="inlineStr">
        <is>
          <t>10 cum</t>
        </is>
      </c>
      <c r="F107" s="32" t="inlineStr">
        <is>
          <t>Labour (Semi-Skilled / Operational)</t>
        </is>
      </c>
      <c r="G107" s="21" t="inlineStr">
        <is>
          <t>0114</t>
        </is>
      </c>
      <c r="H107" s="76" t="inlineStr">
        <is>
          <t>Beldar</t>
        </is>
      </c>
      <c r="I107" s="86" t="n">
        <v>5.9</v>
      </c>
      <c r="J107" s="50" t="inlineStr">
        <is>
          <t>day</t>
        </is>
      </c>
      <c r="K107" s="51" t="n">
        <v>558</v>
      </c>
      <c r="L107" s="84" t="n">
        <v>3292.2</v>
      </c>
      <c r="M107" s="52" t="n">
        <v>59</v>
      </c>
      <c r="N107" s="89" t="n">
        <v>1.694915254237288</v>
      </c>
      <c r="O107" s="39" t="inlineStr">
        <is>
          <t>4 men × 11.80 h = 47.20 man-hrs ÷ 8 = 5.90 bd. Digging (3.70 bd) + clod breaking &amp; slope dressing (2.20 bd) = 5.90 bd. Daily output: 1.695 cum/8-hr day.</t>
        </is>
      </c>
      <c r="P107" t="inlineStr">
        <is>
          <t>Embankment Banking &amp; Dressing|All kinds of soil|Manual labor (depth ≤1.5m)|Full cycle: rough excavation + banking + roll|1</t>
        </is>
      </c>
      <c r="Q107" t="n">
        <v>1</v>
      </c>
      <c r="R107" t="n">
        <v>10</v>
      </c>
      <c r="S107" t="inlineStr">
        <is>
          <t>cum</t>
        </is>
      </c>
      <c r="T107" t="n">
        <v>746.8</v>
      </c>
      <c r="U107" t="inlineStr">
        <is>
          <t>Rough excavation by Beldar</t>
        </is>
      </c>
      <c r="V107" t="inlineStr">
        <is>
          <t>Basket Coolie (50m lead / 1.5m lift)</t>
        </is>
      </c>
      <c r="W107" t="inlineStr">
        <is>
          <t>Spreading in 20cm layers &amp; breaking clods</t>
        </is>
      </c>
      <c r="X107" t="inlineStr">
        <is>
          <t>Watering to OMC by Bhishti</t>
        </is>
      </c>
      <c r="Y107" t="inlineStr">
        <is>
          <t>8-10t Power Roller (every 3rd &amp; top layer)</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88" t="inlineStr">
        <is>
          <t>Clearing jungle &amp; rank vegetation uprooting</t>
        </is>
      </c>
    </row>
    <row r="108" ht="22" customHeight="1">
      <c r="A108" s="16" t="inlineStr">
        <is>
          <t>Embankment Banking &amp; Dressing</t>
        </is>
      </c>
      <c r="B108" s="76" t="inlineStr">
        <is>
          <t>All kinds of soil</t>
        </is>
      </c>
      <c r="C108" s="76" t="inlineStr">
        <is>
          <t>Manual labor (depth ≤1.5m)</t>
        </is>
      </c>
      <c r="D108" s="76" t="inlineStr">
        <is>
          <t>Full cycle: rough excavation + banking + roll</t>
        </is>
      </c>
      <c r="E108" s="28" t="inlineStr">
        <is>
          <t>10 cum</t>
        </is>
      </c>
      <c r="F108" s="32" t="inlineStr">
        <is>
          <t>Labour (Unskilled / Haulage)</t>
        </is>
      </c>
      <c r="G108" s="21" t="inlineStr">
        <is>
          <t>0115</t>
        </is>
      </c>
      <c r="H108" s="76" t="inlineStr">
        <is>
          <t>Coolie</t>
        </is>
      </c>
      <c r="I108" s="86" t="n">
        <v>3.6</v>
      </c>
      <c r="J108" s="50" t="inlineStr">
        <is>
          <t>day</t>
        </is>
      </c>
      <c r="K108" s="51" t="n">
        <v>558</v>
      </c>
      <c r="L108" s="84" t="n">
        <v>2008.8</v>
      </c>
      <c r="M108" s="52" t="n">
        <v>36</v>
      </c>
      <c r="N108" s="89" t="n">
        <v>2.777777777777778</v>
      </c>
      <c r="O108" s="39" t="inlineStr">
        <is>
          <t>3 men × 9.60 h = 28.80 man-hrs ÷ 8 = 3.60 cd. 50m haulage &amp; 20cm layer spreading: 1 Coolie moves 2.778 cum/8-hr day (2.88 hr/cum).</t>
        </is>
      </c>
      <c r="P108" t="inlineStr">
        <is>
          <t>Embankment Banking &amp; Dressing|All kinds of soil|Manual labor (depth ≤1.5m)|Full cycle: rough excavation + banking + roll|2</t>
        </is>
      </c>
      <c r="Q108" t="n">
        <v>2</v>
      </c>
      <c r="R108" t="n">
        <v>10</v>
      </c>
      <c r="S108" t="inlineStr">
        <is>
          <t>cum</t>
        </is>
      </c>
      <c r="T108" t="n">
        <v>746.8</v>
      </c>
      <c r="U108" t="inlineStr">
        <is>
          <t>Rough excavation by Beldar</t>
        </is>
      </c>
      <c r="V108" t="inlineStr">
        <is>
          <t>Basket Coolie (50m lead / 1.5m lift)</t>
        </is>
      </c>
      <c r="W108" t="inlineStr">
        <is>
          <t>Spreading in 20cm layers &amp; breaking clods</t>
        </is>
      </c>
      <c r="X108" t="inlineStr">
        <is>
          <t>Watering to OMC by Bhishti</t>
        </is>
      </c>
      <c r="Y108" t="inlineStr">
        <is>
          <t>8-10t Power Roller (every 3rd &amp; top layer)</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88" t="inlineStr">
        <is>
          <t>Close timbering depth 1.5m-3.0m (90 sqm face)</t>
        </is>
      </c>
    </row>
    <row r="109" ht="22" customHeight="1">
      <c r="A109" s="16" t="inlineStr">
        <is>
          <t>Embankment Banking &amp; Dressing</t>
        </is>
      </c>
      <c r="B109" s="76" t="inlineStr">
        <is>
          <t>All kinds of soil</t>
        </is>
      </c>
      <c r="C109" s="76" t="inlineStr">
        <is>
          <t>Manual labor (depth ≤1.5m)</t>
        </is>
      </c>
      <c r="D109" s="76" t="inlineStr">
        <is>
          <t>Full cycle: rough excavation + banking + roll</t>
        </is>
      </c>
      <c r="E109" s="28" t="inlineStr">
        <is>
          <t>10 cum</t>
        </is>
      </c>
      <c r="F109" s="32" t="inlineStr">
        <is>
          <t>Labour (Operational / Bhishti)</t>
        </is>
      </c>
      <c r="G109" s="21" t="inlineStr">
        <is>
          <t>0101</t>
        </is>
      </c>
      <c r="H109" s="76" t="inlineStr">
        <is>
          <t>Bhisti</t>
        </is>
      </c>
      <c r="I109" s="86" t="n">
        <v>0.4</v>
      </c>
      <c r="J109" s="50" t="inlineStr">
        <is>
          <t>day</t>
        </is>
      </c>
      <c r="K109" s="51" t="n">
        <v>617</v>
      </c>
      <c r="L109" s="84" t="n">
        <v>246.8</v>
      </c>
      <c r="M109" s="52" t="n">
        <v>4.4</v>
      </c>
      <c r="N109" s="89" t="n">
        <v>25</v>
      </c>
      <c r="O109" s="39" t="inlineStr">
        <is>
          <t>1 man × 3.20 h = 3.20 man-hrs ÷ 8 = 0.40 bhisti-day. OMC compaction watering: 25 cum/8-hr day (0.32 hr/cum).</t>
        </is>
      </c>
      <c r="P109" t="inlineStr">
        <is>
          <t>Embankment Banking &amp; Dressing|All kinds of soil|Manual labor (depth ≤1.5m)|Full cycle: rough excavation + banking + roll|3</t>
        </is>
      </c>
      <c r="Q109" t="n">
        <v>3</v>
      </c>
      <c r="R109" t="n">
        <v>10</v>
      </c>
      <c r="S109" t="inlineStr">
        <is>
          <t>cum</t>
        </is>
      </c>
      <c r="T109" t="n">
        <v>746.8</v>
      </c>
      <c r="U109" t="inlineStr">
        <is>
          <t>Rough excavation by Beldar</t>
        </is>
      </c>
      <c r="V109" t="inlineStr">
        <is>
          <t>Basket Coolie (50m lead / 1.5m lift)</t>
        </is>
      </c>
      <c r="W109" t="inlineStr">
        <is>
          <t>Spreading in 20cm layers &amp; breaking clods</t>
        </is>
      </c>
      <c r="X109" t="inlineStr">
        <is>
          <t>Watering to OMC by Bhishti</t>
        </is>
      </c>
      <c r="Y109" t="inlineStr">
        <is>
          <t>8-10t Power Roller (every 3rd &amp; top layer)</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88" t="inlineStr">
        <is>
          <t>Close timbering depth 3.0m-4.5m (90 sqm face)</t>
        </is>
      </c>
    </row>
    <row r="110" ht="22" customHeight="1">
      <c r="A110" s="16" t="inlineStr">
        <is>
          <t>Embankment Banking &amp; Dressing</t>
        </is>
      </c>
      <c r="B110" s="76" t="inlineStr">
        <is>
          <t>All kinds of soil</t>
        </is>
      </c>
      <c r="C110" s="76" t="inlineStr">
        <is>
          <t>Manual labor (depth ≤1.5m)</t>
        </is>
      </c>
      <c r="D110" s="76" t="inlineStr">
        <is>
          <t>Full cycle: rough excavation + banking + roll</t>
        </is>
      </c>
      <c r="E110" s="28" t="inlineStr">
        <is>
          <t>10 cum</t>
        </is>
      </c>
      <c r="F110" s="32" t="inlineStr">
        <is>
          <t>Sundries &amp; Allowances</t>
        </is>
      </c>
      <c r="G110" s="21" t="inlineStr">
        <is>
          <t>0113</t>
        </is>
      </c>
      <c r="H110" s="76" t="inlineStr">
        <is>
          <t>Chowkidar</t>
        </is>
      </c>
      <c r="I110" s="86" t="n">
        <v>0.008</v>
      </c>
      <c r="J110" s="50" t="inlineStr">
        <is>
          <t>day</t>
        </is>
      </c>
      <c r="K110" s="51" t="n">
        <v>558</v>
      </c>
      <c r="L110" s="84" t="n">
        <v>4.46</v>
      </c>
      <c r="M110" s="52" t="n">
        <v>0.1</v>
      </c>
      <c r="N110" s="89" t="n">
        <v>1250</v>
      </c>
      <c r="O110" s="39" t="inlineStr">
        <is>
          <t>1 machine × 0.064 h (3.84 min) ÷ 8 = 0.008 roller-day. 6 passes at 2.5 km/h on 1.8m roll: 156.25 cum/hr (1250 cum/8-hr shift).</t>
        </is>
      </c>
      <c r="P110" t="inlineStr">
        <is>
          <t>Embankment Banking &amp; Dressing|All kinds of soil|Manual labor (depth ≤1.5m)|Full cycle: rough excavation + banking + roll|4</t>
        </is>
      </c>
      <c r="Q110" t="n">
        <v>4</v>
      </c>
      <c r="R110" t="n">
        <v>10</v>
      </c>
      <c r="S110" t="inlineStr">
        <is>
          <t>cum</t>
        </is>
      </c>
      <c r="T110" t="n">
        <v>746.8</v>
      </c>
      <c r="U110" t="inlineStr">
        <is>
          <t>Rough excavation by Beldar</t>
        </is>
      </c>
      <c r="V110" t="inlineStr">
        <is>
          <t>Basket Coolie (50m lead / 1.5m lift)</t>
        </is>
      </c>
      <c r="W110" t="inlineStr">
        <is>
          <t>Spreading in 20cm layers &amp; breaking clods</t>
        </is>
      </c>
      <c r="X110" t="inlineStr">
        <is>
          <t>Watering to OMC by Bhishti</t>
        </is>
      </c>
      <c r="Y110" t="inlineStr">
        <is>
          <t>8-10t Power Roller (every 3rd &amp; top layer)</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88" t="inlineStr">
        <is>
          <t>Close timbering depth ≤1.5m (90 sqm face)</t>
        </is>
      </c>
    </row>
    <row r="111" ht="22" customHeight="1">
      <c r="A111" s="16" t="inlineStr">
        <is>
          <t>Embankment Banking &amp; Dressing</t>
        </is>
      </c>
      <c r="B111" s="76" t="inlineStr">
        <is>
          <t>All kinds of soil</t>
        </is>
      </c>
      <c r="C111" s="76" t="inlineStr">
        <is>
          <t>Manual labor (depth ≤1.5m)</t>
        </is>
      </c>
      <c r="D111" s="76" t="inlineStr">
        <is>
          <t>Full cycle: rough excavation + banking + roll</t>
        </is>
      </c>
      <c r="E111" s="28" t="inlineStr">
        <is>
          <t>10 cum</t>
        </is>
      </c>
      <c r="F111" s="32" t="inlineStr">
        <is>
          <t>Plant &amp; Machinery</t>
        </is>
      </c>
      <c r="G111" s="21" t="inlineStr">
        <is>
          <t>0003</t>
        </is>
      </c>
      <c r="H111" s="76" t="inlineStr">
        <is>
          <t>Hire – Diesel Road Roller 8-10t</t>
        </is>
      </c>
      <c r="I111" s="86" t="n">
        <v>0.008</v>
      </c>
      <c r="J111" s="50" t="inlineStr">
        <is>
          <t>day</t>
        </is>
      </c>
      <c r="K111" s="51" t="n">
        <v>3000</v>
      </c>
      <c r="L111" s="84" t="n">
        <v>24</v>
      </c>
      <c r="M111" s="52" t="n">
        <v>0.4</v>
      </c>
      <c r="N111" s="89" t="n">
        <v>1250</v>
      </c>
      <c r="O111" s="39" t="inlineStr">
        <is>
          <t>1 machine × 0.064 h (3.84 min) ÷ 8 = 0.008 roller-day. 6 passes with 8-10t roller: 1250 cum/8-hr shift.</t>
        </is>
      </c>
      <c r="P111" t="inlineStr">
        <is>
          <t>Embankment Banking &amp; Dressing|All kinds of soil|Manual labor (depth ≤1.5m)|Full cycle: rough excavation + banking + roll|5</t>
        </is>
      </c>
      <c r="Q111" t="n">
        <v>5</v>
      </c>
      <c r="R111" t="n">
        <v>10</v>
      </c>
      <c r="S111" t="inlineStr">
        <is>
          <t>cum</t>
        </is>
      </c>
      <c r="T111" t="n">
        <v>746.8</v>
      </c>
      <c r="U111" t="inlineStr">
        <is>
          <t>Rough excavation by Beldar</t>
        </is>
      </c>
      <c r="V111" t="inlineStr">
        <is>
          <t>Basket Coolie (50m lead / 1.5m lift)</t>
        </is>
      </c>
      <c r="W111" t="inlineStr">
        <is>
          <t>Spreading in 20cm layers &amp; breaking clods</t>
        </is>
      </c>
      <c r="X111" t="inlineStr">
        <is>
          <t>Watering to OMC by Bhishti</t>
        </is>
      </c>
      <c r="Y111" t="inlineStr">
        <is>
          <t>8-10t Power Roller (every 3rd &amp; top layer)</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88" t="inlineStr">
        <is>
          <t>DEDUCT: Omission of 8-10t power rolling</t>
        </is>
      </c>
    </row>
    <row r="112" ht="22" customHeight="1">
      <c r="A112" s="16" t="inlineStr">
        <is>
          <t>Embankment Banking &amp; Dressing</t>
        </is>
      </c>
      <c r="B112" s="76" t="inlineStr">
        <is>
          <t>All kinds of soil</t>
        </is>
      </c>
      <c r="C112" s="76" t="inlineStr">
        <is>
          <t>Manual labor (depth ≤1.5m)</t>
        </is>
      </c>
      <c r="D112" s="76" t="inlineStr">
        <is>
          <t>Full cycle: rough excavation + banking + roll</t>
        </is>
      </c>
      <c r="E112" s="28" t="inlineStr">
        <is>
          <t>10 cum</t>
        </is>
      </c>
      <c r="F112" s="32" t="inlineStr">
        <is>
          <t>Sundries &amp; Allowances</t>
        </is>
      </c>
      <c r="G112" s="21" t="inlineStr">
        <is>
          <t>9999</t>
        </is>
      </c>
      <c r="H112" s="76" t="inlineStr">
        <is>
          <t>Sundries</t>
        </is>
      </c>
      <c r="I112" s="86" t="n">
        <v>2.73</v>
      </c>
      <c r="J112" s="50" t="inlineStr">
        <is>
          <t>L.S.</t>
        </is>
      </c>
      <c r="K112" s="51" t="n">
        <v>2</v>
      </c>
      <c r="L112" s="84" t="n">
        <v>5.46</v>
      </c>
      <c r="M112" s="52" t="n">
        <v>0.1</v>
      </c>
      <c r="N112" s="32" t="inlineStr"/>
      <c r="O112" s="39" t="inlineStr">
        <is>
          <t>Direct production cost W base allowance.</t>
        </is>
      </c>
      <c r="P112" t="inlineStr">
        <is>
          <t>Embankment Banking &amp; Dressing|All kinds of soil|Manual labor (depth ≤1.5m)|Full cycle: rough excavation + banking + roll|6</t>
        </is>
      </c>
      <c r="Q112" t="n">
        <v>6</v>
      </c>
      <c r="R112" t="n">
        <v>10</v>
      </c>
      <c r="S112" t="inlineStr">
        <is>
          <t>cum</t>
        </is>
      </c>
      <c r="T112" t="n">
        <v>746.8</v>
      </c>
      <c r="U112" t="inlineStr">
        <is>
          <t>Rough excavation by Beldar</t>
        </is>
      </c>
      <c r="V112" t="inlineStr">
        <is>
          <t>Basket Coolie (50m lead / 1.5m lift)</t>
        </is>
      </c>
      <c r="W112" t="inlineStr">
        <is>
          <t>Spreading in 20cm layers &amp; breaking clods</t>
        </is>
      </c>
      <c r="X112" t="inlineStr">
        <is>
          <t>Watering to OMC by Bhishti</t>
        </is>
      </c>
      <c r="Y112" t="inlineStr">
        <is>
          <t>8-10t Power Roller (every 3rd &amp; top layer)</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88" t="inlineStr">
        <is>
          <t>DEDUCT: Omission of OMC compaction watering</t>
        </is>
      </c>
    </row>
    <row r="113" ht="22" customHeight="1">
      <c r="A113" s="16" t="inlineStr">
        <is>
          <t>Embankment Banking &amp; Dressing</t>
        </is>
      </c>
      <c r="B113" s="76" t="inlineStr">
        <is>
          <t>All kinds of soil</t>
        </is>
      </c>
      <c r="C113" s="76" t="inlineStr">
        <is>
          <t>Manual labor (depth ≤1.5m)</t>
        </is>
      </c>
      <c r="D113" s="76" t="inlineStr">
        <is>
          <t>Banking &amp; rolling only (excavation excluded)</t>
        </is>
      </c>
      <c r="E113" s="28" t="inlineStr">
        <is>
          <t>10 cum</t>
        </is>
      </c>
      <c r="F113" s="32" t="inlineStr">
        <is>
          <t>Labour (Semi-Skilled / Operational)</t>
        </is>
      </c>
      <c r="G113" s="21" t="inlineStr">
        <is>
          <t>0114</t>
        </is>
      </c>
      <c r="H113" s="76" t="inlineStr">
        <is>
          <t>Beldar</t>
        </is>
      </c>
      <c r="I113" s="86" t="n">
        <v>2.2</v>
      </c>
      <c r="J113" s="50" t="inlineStr">
        <is>
          <t>day</t>
        </is>
      </c>
      <c r="K113" s="51" t="n">
        <v>558</v>
      </c>
      <c r="L113" s="84" t="n">
        <v>1227.6</v>
      </c>
      <c r="M113" s="52" t="n">
        <v>34.9</v>
      </c>
      <c r="N113" s="89" t="n">
        <v>4.545454545454545</v>
      </c>
      <c r="O113" s="39" t="inlineStr">
        <is>
          <t>2 men × 8.80 h = 17.60 man-hrs ÷ 8 = 2.20 bd. Clod breaking, layer placement &amp; section profiling: 4.545 cum/8-hr day. (Excavation digging 3.70 bd excluded: 5.90 - 3.70 = 2.20 bd).</t>
        </is>
      </c>
      <c r="P113" t="inlineStr">
        <is>
          <t>Embankment Banking &amp; Dressing|All kinds of soil|Manual labor (depth ≤1.5m)|Banking &amp; rolling only (excavation excluded)|1</t>
        </is>
      </c>
      <c r="Q113" t="n">
        <v>1</v>
      </c>
      <c r="R113" t="n">
        <v>10</v>
      </c>
      <c r="S113" t="inlineStr">
        <is>
          <t>cum</t>
        </is>
      </c>
      <c r="T113" t="n">
        <v>470.55</v>
      </c>
      <c r="U113" t="inlineStr">
        <is>
          <t>Earth already excavated (excluded)</t>
        </is>
      </c>
      <c r="V113" t="inlineStr">
        <is>
          <t>Basket Coolie lead 50m / lift 1.5m</t>
        </is>
      </c>
      <c r="W113" t="inlineStr">
        <is>
          <t>Spreading in 20cm layers &amp; breaking clods</t>
        </is>
      </c>
      <c r="X113" t="inlineStr">
        <is>
          <t>Watering to OMC by Bhishti</t>
        </is>
      </c>
      <c r="Y113" t="inlineStr">
        <is>
          <t>8-10t Power Roller (every 3rd &amp; top layer)</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88" t="inlineStr">
        <is>
          <t>Excavating post holes 0.1-0.5 cum in hard rock blast</t>
        </is>
      </c>
    </row>
    <row r="114" ht="22" customHeight="1">
      <c r="A114" s="16" t="inlineStr">
        <is>
          <t>Embankment Banking &amp; Dressing</t>
        </is>
      </c>
      <c r="B114" s="76" t="inlineStr">
        <is>
          <t>All kinds of soil</t>
        </is>
      </c>
      <c r="C114" s="76" t="inlineStr">
        <is>
          <t>Manual labor (depth ≤1.5m)</t>
        </is>
      </c>
      <c r="D114" s="76" t="inlineStr">
        <is>
          <t>Banking &amp; rolling only (excavation excluded)</t>
        </is>
      </c>
      <c r="E114" s="28" t="inlineStr">
        <is>
          <t>10 cum</t>
        </is>
      </c>
      <c r="F114" s="32" t="inlineStr">
        <is>
          <t>Labour (Unskilled / Haulage)</t>
        </is>
      </c>
      <c r="G114" s="21" t="inlineStr">
        <is>
          <t>0115</t>
        </is>
      </c>
      <c r="H114" s="76" t="inlineStr">
        <is>
          <t>Coolie</t>
        </is>
      </c>
      <c r="I114" s="86" t="n">
        <v>3.6</v>
      </c>
      <c r="J114" s="50" t="inlineStr">
        <is>
          <t>day</t>
        </is>
      </c>
      <c r="K114" s="51" t="n">
        <v>558</v>
      </c>
      <c r="L114" s="84" t="n">
        <v>2008.8</v>
      </c>
      <c r="M114" s="52" t="n">
        <v>57.1</v>
      </c>
      <c r="N114" s="89" t="n">
        <v>2.777777777777778</v>
      </c>
      <c r="O114" s="39" t="inlineStr">
        <is>
          <t>3 men × 9.60 h = 28.80 man-hrs ÷ 8 = 3.60 cd. Haulage &amp; 20cm layer spreading: 2.778 cum/8-hr day.</t>
        </is>
      </c>
      <c r="P114" t="inlineStr">
        <is>
          <t>Embankment Banking &amp; Dressing|All kinds of soil|Manual labor (depth ≤1.5m)|Banking &amp; rolling only (excavation excluded)|2</t>
        </is>
      </c>
      <c r="Q114" t="n">
        <v>2</v>
      </c>
      <c r="R114" t="n">
        <v>10</v>
      </c>
      <c r="S114" t="inlineStr">
        <is>
          <t>cum</t>
        </is>
      </c>
      <c r="T114" t="n">
        <v>470.55</v>
      </c>
      <c r="U114" t="inlineStr">
        <is>
          <t>Earth already excavated (excluded)</t>
        </is>
      </c>
      <c r="V114" t="inlineStr">
        <is>
          <t>Basket Coolie lead 50m / lift 1.5m</t>
        </is>
      </c>
      <c r="W114" t="inlineStr">
        <is>
          <t>Spreading in 20cm layers &amp; breaking clods</t>
        </is>
      </c>
      <c r="X114" t="inlineStr">
        <is>
          <t>Watering to OMC by Bhishti</t>
        </is>
      </c>
      <c r="Y114" t="inlineStr">
        <is>
          <t>8-10t Power Roller (every 3rd &amp; top layer)</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88" t="inlineStr">
        <is>
          <t>Excavating post holes 0.1-0.5 cum in hard rock chiseled</t>
        </is>
      </c>
    </row>
    <row r="115" ht="22" customHeight="1">
      <c r="A115" s="16" t="inlineStr">
        <is>
          <t>Embankment Banking &amp; Dressing</t>
        </is>
      </c>
      <c r="B115" s="76" t="inlineStr">
        <is>
          <t>All kinds of soil</t>
        </is>
      </c>
      <c r="C115" s="76" t="inlineStr">
        <is>
          <t>Manual labor (depth ≤1.5m)</t>
        </is>
      </c>
      <c r="D115" s="76" t="inlineStr">
        <is>
          <t>Banking &amp; rolling only (excavation excluded)</t>
        </is>
      </c>
      <c r="E115" s="28" t="inlineStr">
        <is>
          <t>10 cum</t>
        </is>
      </c>
      <c r="F115" s="32" t="inlineStr">
        <is>
          <t>Labour (Operational / Bhishti)</t>
        </is>
      </c>
      <c r="G115" s="21" t="inlineStr">
        <is>
          <t>0101</t>
        </is>
      </c>
      <c r="H115" s="76" t="inlineStr">
        <is>
          <t>Bhisti</t>
        </is>
      </c>
      <c r="I115" s="86" t="n">
        <v>0.4</v>
      </c>
      <c r="J115" s="50" t="inlineStr">
        <is>
          <t>day</t>
        </is>
      </c>
      <c r="K115" s="51" t="n">
        <v>617</v>
      </c>
      <c r="L115" s="84" t="n">
        <v>246.8</v>
      </c>
      <c r="M115" s="52" t="n">
        <v>7</v>
      </c>
      <c r="N115" s="89" t="n">
        <v>25</v>
      </c>
      <c r="O115" s="39" t="inlineStr">
        <is>
          <t>1 man × 3.20 h = 3.20 man-hrs ÷ 8 = 0.40 bhisti-day. Compaction watering: 25 cum/8-hr day.</t>
        </is>
      </c>
      <c r="P115" t="inlineStr">
        <is>
          <t>Embankment Banking &amp; Dressing|All kinds of soil|Manual labor (depth ≤1.5m)|Banking &amp; rolling only (excavation excluded)|3</t>
        </is>
      </c>
      <c r="Q115" t="n">
        <v>3</v>
      </c>
      <c r="R115" t="n">
        <v>10</v>
      </c>
      <c r="S115" t="inlineStr">
        <is>
          <t>cum</t>
        </is>
      </c>
      <c r="T115" t="n">
        <v>470.55</v>
      </c>
      <c r="U115" t="inlineStr">
        <is>
          <t>Earth already excavated (excluded)</t>
        </is>
      </c>
      <c r="V115" t="inlineStr">
        <is>
          <t>Basket Coolie lead 50m / lift 1.5m</t>
        </is>
      </c>
      <c r="W115" t="inlineStr">
        <is>
          <t>Spreading in 20cm layers &amp; breaking clods</t>
        </is>
      </c>
      <c r="X115" t="inlineStr">
        <is>
          <t>Watering to OMC by Bhishti</t>
        </is>
      </c>
      <c r="Y115" t="inlineStr">
        <is>
          <t>8-10t Power Roller (every 3rd &amp; top layer)</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88" t="inlineStr">
        <is>
          <t>Excavating post holes 0.1-0.5 cum in ord rock</t>
        </is>
      </c>
    </row>
    <row r="116" ht="22" customHeight="1">
      <c r="A116" s="16" t="inlineStr">
        <is>
          <t>Embankment Banking &amp; Dressing</t>
        </is>
      </c>
      <c r="B116" s="76" t="inlineStr">
        <is>
          <t>All kinds of soil</t>
        </is>
      </c>
      <c r="C116" s="76" t="inlineStr">
        <is>
          <t>Manual labor (depth ≤1.5m)</t>
        </is>
      </c>
      <c r="D116" s="76" t="inlineStr">
        <is>
          <t>Banking &amp; rolling only (excavation excluded)</t>
        </is>
      </c>
      <c r="E116" s="28" t="inlineStr">
        <is>
          <t>10 cum</t>
        </is>
      </c>
      <c r="F116" s="32" t="inlineStr">
        <is>
          <t>Sundries &amp; Allowances</t>
        </is>
      </c>
      <c r="G116" s="21" t="inlineStr">
        <is>
          <t>0113</t>
        </is>
      </c>
      <c r="H116" s="76" t="inlineStr">
        <is>
          <t>Chowkidar</t>
        </is>
      </c>
      <c r="I116" s="86" t="n">
        <v>0.008</v>
      </c>
      <c r="J116" s="50" t="inlineStr">
        <is>
          <t>day</t>
        </is>
      </c>
      <c r="K116" s="51" t="n">
        <v>558</v>
      </c>
      <c r="L116" s="84" t="n">
        <v>4.46</v>
      </c>
      <c r="M116" s="52" t="n">
        <v>0.1</v>
      </c>
      <c r="N116" s="89" t="n">
        <v>1250</v>
      </c>
      <c r="O116" s="39" t="inlineStr">
        <is>
          <t>1 machine × 0.064 h ÷ 8 = 0.008 roller-day. 6 passes of 8-10t roller: 1250 cum/8-hr shift.</t>
        </is>
      </c>
      <c r="P116" t="inlineStr">
        <is>
          <t>Embankment Banking &amp; Dressing|All kinds of soil|Manual labor (depth ≤1.5m)|Banking &amp; rolling only (excavation excluded)|4</t>
        </is>
      </c>
      <c r="Q116" t="n">
        <v>4</v>
      </c>
      <c r="R116" t="n">
        <v>10</v>
      </c>
      <c r="S116" t="inlineStr">
        <is>
          <t>cum</t>
        </is>
      </c>
      <c r="T116" t="n">
        <v>470.55</v>
      </c>
      <c r="U116" t="inlineStr">
        <is>
          <t>Earth already excavated (excluded)</t>
        </is>
      </c>
      <c r="V116" t="inlineStr">
        <is>
          <t>Basket Coolie lead 50m / lift 1.5m</t>
        </is>
      </c>
      <c r="W116" t="inlineStr">
        <is>
          <t>Spreading in 20cm layers &amp; breaking clods</t>
        </is>
      </c>
      <c r="X116" t="inlineStr">
        <is>
          <t>Watering to OMC by Bhishti</t>
        </is>
      </c>
      <c r="Y116" t="inlineStr">
        <is>
          <t>8-10t Power Roller (every 3rd &amp; top layer)</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88" t="inlineStr">
        <is>
          <t>Excavating post holes 0.1-0.5 cum in soil</t>
        </is>
      </c>
    </row>
    <row r="117" ht="22" customHeight="1">
      <c r="A117" s="16" t="inlineStr">
        <is>
          <t>Embankment Banking &amp; Dressing</t>
        </is>
      </c>
      <c r="B117" s="76" t="inlineStr">
        <is>
          <t>All kinds of soil</t>
        </is>
      </c>
      <c r="C117" s="76" t="inlineStr">
        <is>
          <t>Manual labor (depth ≤1.5m)</t>
        </is>
      </c>
      <c r="D117" s="76" t="inlineStr">
        <is>
          <t>Banking &amp; rolling only (excavation excluded)</t>
        </is>
      </c>
      <c r="E117" s="28" t="inlineStr">
        <is>
          <t>10 cum</t>
        </is>
      </c>
      <c r="F117" s="32" t="inlineStr">
        <is>
          <t>Plant &amp; Machinery</t>
        </is>
      </c>
      <c r="G117" s="21" t="inlineStr">
        <is>
          <t>0003</t>
        </is>
      </c>
      <c r="H117" s="76" t="inlineStr">
        <is>
          <t>Hire – Diesel Road Roller 8-10t</t>
        </is>
      </c>
      <c r="I117" s="86" t="n">
        <v>0.008</v>
      </c>
      <c r="J117" s="50" t="inlineStr">
        <is>
          <t>day</t>
        </is>
      </c>
      <c r="K117" s="51" t="n">
        <v>3000</v>
      </c>
      <c r="L117" s="84" t="n">
        <v>24</v>
      </c>
      <c r="M117" s="52" t="n">
        <v>0.7</v>
      </c>
      <c r="N117" s="89" t="n">
        <v>1250</v>
      </c>
      <c r="O117" s="39" t="inlineStr"/>
      <c r="P117" t="inlineStr">
        <is>
          <t>Embankment Banking &amp; Dressing|All kinds of soil|Manual labor (depth ≤1.5m)|Banking &amp; rolling only (excavation excluded)|5</t>
        </is>
      </c>
      <c r="Q117" t="n">
        <v>5</v>
      </c>
      <c r="R117" t="n">
        <v>10</v>
      </c>
      <c r="S117" t="inlineStr">
        <is>
          <t>cum</t>
        </is>
      </c>
      <c r="T117" t="n">
        <v>470.55</v>
      </c>
      <c r="U117" t="inlineStr">
        <is>
          <t>Earth already excavated (excluded)</t>
        </is>
      </c>
      <c r="V117" t="inlineStr">
        <is>
          <t>Basket Coolie lead 50m / lift 1.5m</t>
        </is>
      </c>
      <c r="W117" t="inlineStr">
        <is>
          <t>Spreading in 20cm layers &amp; breaking clods</t>
        </is>
      </c>
      <c r="X117" t="inlineStr">
        <is>
          <t>Watering to OMC by Bhishti</t>
        </is>
      </c>
      <c r="Y117" t="inlineStr">
        <is>
          <t>8-10t Power Roller (every 3rd &amp; top layer)</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88" t="inlineStr">
        <is>
          <t>Extra for foul position (+25%)</t>
        </is>
      </c>
    </row>
    <row r="118" ht="22" customHeight="1">
      <c r="A118" s="16" t="inlineStr">
        <is>
          <t>Embankment Banking &amp; Dressing</t>
        </is>
      </c>
      <c r="B118" s="76" t="inlineStr">
        <is>
          <t>All kinds of soil</t>
        </is>
      </c>
      <c r="C118" s="76" t="inlineStr">
        <is>
          <t>Manual labor (depth ≤1.5m)</t>
        </is>
      </c>
      <c r="D118" s="76" t="inlineStr">
        <is>
          <t>Banking &amp; rolling only (excavation excluded)</t>
        </is>
      </c>
      <c r="E118" s="28" t="inlineStr">
        <is>
          <t>10 cum</t>
        </is>
      </c>
      <c r="F118" s="32" t="inlineStr">
        <is>
          <t>Sundries &amp; Allowances</t>
        </is>
      </c>
      <c r="G118" s="21" t="inlineStr">
        <is>
          <t>9999</t>
        </is>
      </c>
      <c r="H118" s="76" t="inlineStr">
        <is>
          <t>Sundries</t>
        </is>
      </c>
      <c r="I118" s="86" t="n">
        <v>2.73</v>
      </c>
      <c r="J118" s="50" t="inlineStr">
        <is>
          <t>L.S.</t>
        </is>
      </c>
      <c r="K118" s="51" t="n">
        <v>2</v>
      </c>
      <c r="L118" s="84" t="n">
        <v>5.46</v>
      </c>
      <c r="M118" s="52" t="n">
        <v>0.2</v>
      </c>
      <c r="N118" s="32" t="inlineStr"/>
      <c r="O118" s="39" t="inlineStr"/>
      <c r="P118" t="inlineStr">
        <is>
          <t>Embankment Banking &amp; Dressing|All kinds of soil|Manual labor (depth ≤1.5m)|Banking &amp; rolling only (excavation excluded)|6</t>
        </is>
      </c>
      <c r="Q118" t="n">
        <v>6</v>
      </c>
      <c r="R118" t="n">
        <v>10</v>
      </c>
      <c r="S118" t="inlineStr">
        <is>
          <t>cum</t>
        </is>
      </c>
      <c r="T118" t="n">
        <v>470.55</v>
      </c>
      <c r="U118" t="inlineStr">
        <is>
          <t>Earth already excavated (excluded)</t>
        </is>
      </c>
      <c r="V118" t="inlineStr">
        <is>
          <t>Basket Coolie lead 50m / lift 1.5m</t>
        </is>
      </c>
      <c r="W118" t="inlineStr">
        <is>
          <t>Spreading in 20cm layers &amp; breaking clods</t>
        </is>
      </c>
      <c r="X118" t="inlineStr">
        <is>
          <t>Watering to OMC by Bhishti</t>
        </is>
      </c>
      <c r="Y118" t="inlineStr">
        <is>
          <t>8-10t Power Roller (every 3rd &amp; top layer)</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88" t="inlineStr">
        <is>
          <t>Extra for pipe trench depth 1.5m to 3.0m</t>
        </is>
      </c>
    </row>
    <row r="119" ht="22" customHeight="1">
      <c r="A119" s="16" t="inlineStr">
        <is>
          <t>Embankment Banking &amp; Dressing</t>
        </is>
      </c>
      <c r="B119" s="76" t="inlineStr">
        <is>
          <t>All kinds of soil</t>
        </is>
      </c>
      <c r="C119" s="76" t="inlineStr">
        <is>
          <t>Manual labor (depth ≤1.5m)</t>
        </is>
      </c>
      <c r="D119" s="76" t="inlineStr">
        <is>
          <t>DEDUCT: Omission of 8-10t power rolling</t>
        </is>
      </c>
      <c r="E119" s="28" t="inlineStr">
        <is>
          <t>10 cum</t>
        </is>
      </c>
      <c r="F119" s="32" t="inlineStr">
        <is>
          <t>Sundries &amp; Allowances</t>
        </is>
      </c>
      <c r="G119" s="21" t="inlineStr">
        <is>
          <t>0113</t>
        </is>
      </c>
      <c r="H119" s="76" t="inlineStr">
        <is>
          <t>Chowkidar</t>
        </is>
      </c>
      <c r="I119" s="86" t="n">
        <v>0.008</v>
      </c>
      <c r="J119" s="50" t="inlineStr">
        <is>
          <t>day</t>
        </is>
      </c>
      <c r="K119" s="51" t="n">
        <v>558</v>
      </c>
      <c r="L119" s="84" t="n">
        <v>4.46</v>
      </c>
      <c r="M119" s="52" t="n">
        <v>13.9</v>
      </c>
      <c r="N119" s="89" t="n">
        <v>1250</v>
      </c>
      <c r="O119" s="39" t="inlineStr">
        <is>
          <t>Reverses 8-10t road roller compaction allowance where embankment rolling is omitted: -0.008 roller-day.</t>
        </is>
      </c>
      <c r="P119" t="inlineStr">
        <is>
          <t>Embankment Banking &amp; Dressing|All kinds of soil|Manual labor (depth ≤1.5m)|DEDUCT: Omission of 8-10t power rolling|1</t>
        </is>
      </c>
      <c r="Q119" t="n">
        <v>1</v>
      </c>
      <c r="R119" t="n">
        <v>10</v>
      </c>
      <c r="S119" t="inlineStr">
        <is>
          <t>cum</t>
        </is>
      </c>
      <c r="T119" t="n">
        <v>-4.3</v>
      </c>
      <c r="U119" t="inlineStr">
        <is>
          <t>None</t>
        </is>
      </c>
      <c r="V119" t="inlineStr">
        <is>
          <t>None</t>
        </is>
      </c>
      <c r="W119" t="inlineStr">
        <is>
          <t>None</t>
        </is>
      </c>
      <c r="X119" t="inlineStr">
        <is>
          <t>None</t>
        </is>
      </c>
      <c r="Y119" t="inlineStr">
        <is>
          <t>CREDIT: Deduct 8-10t roller cost</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88" t="inlineStr">
        <is>
          <t>Extra for pipe trench depth 3.0m to 4.5m</t>
        </is>
      </c>
    </row>
    <row r="120" ht="22" customHeight="1">
      <c r="A120" s="16" t="inlineStr">
        <is>
          <t>Embankment Banking &amp; Dressing</t>
        </is>
      </c>
      <c r="B120" s="76" t="inlineStr">
        <is>
          <t>All kinds of soil</t>
        </is>
      </c>
      <c r="C120" s="76" t="inlineStr">
        <is>
          <t>Manual labor (depth ≤1.5m)</t>
        </is>
      </c>
      <c r="D120" s="76" t="inlineStr">
        <is>
          <t>DEDUCT: Omission of 8-10t power rolling</t>
        </is>
      </c>
      <c r="E120" s="28" t="inlineStr">
        <is>
          <t>10 cum</t>
        </is>
      </c>
      <c r="F120" s="32" t="inlineStr">
        <is>
          <t>Plant &amp; Machinery</t>
        </is>
      </c>
      <c r="G120" s="21" t="inlineStr">
        <is>
          <t>0003</t>
        </is>
      </c>
      <c r="H120" s="76" t="inlineStr">
        <is>
          <t>Hire – Diesel Road Roller 8-10t</t>
        </is>
      </c>
      <c r="I120" s="86" t="n">
        <v>0.008</v>
      </c>
      <c r="J120" s="50" t="inlineStr">
        <is>
          <t>day</t>
        </is>
      </c>
      <c r="K120" s="51" t="n">
        <v>3000</v>
      </c>
      <c r="L120" s="84" t="n">
        <v>24</v>
      </c>
      <c r="M120" s="52" t="n">
        <v>74.8</v>
      </c>
      <c r="N120" s="89" t="n">
        <v>1250</v>
      </c>
      <c r="O120" s="39" t="inlineStr"/>
      <c r="P120" t="inlineStr">
        <is>
          <t>Embankment Banking &amp; Dressing|All kinds of soil|Manual labor (depth ≤1.5m)|DEDUCT: Omission of 8-10t power rolling|2</t>
        </is>
      </c>
      <c r="Q120" t="n">
        <v>2</v>
      </c>
      <c r="R120" t="n">
        <v>10</v>
      </c>
      <c r="S120" t="inlineStr">
        <is>
          <t>cum</t>
        </is>
      </c>
      <c r="T120" t="n">
        <v>-4.3</v>
      </c>
      <c r="U120" t="inlineStr">
        <is>
          <t>None</t>
        </is>
      </c>
      <c r="V120" t="inlineStr">
        <is>
          <t>None</t>
        </is>
      </c>
      <c r="W120" t="inlineStr">
        <is>
          <t>None</t>
        </is>
      </c>
      <c r="X120" t="inlineStr">
        <is>
          <t>None</t>
        </is>
      </c>
      <c r="Y120" t="inlineStr">
        <is>
          <t>CREDIT: Deduct 8-10t roller cost</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88" t="inlineStr">
        <is>
          <t>Extra for wet/water position (+20%)</t>
        </is>
      </c>
    </row>
    <row r="121" ht="22" customHeight="1">
      <c r="A121" s="16" t="inlineStr">
        <is>
          <t>Embankment Banking &amp; Dressing</t>
        </is>
      </c>
      <c r="B121" s="76" t="inlineStr">
        <is>
          <t>All kinds of soil</t>
        </is>
      </c>
      <c r="C121" s="76" t="inlineStr">
        <is>
          <t>Manual labor (depth ≤1.5m)</t>
        </is>
      </c>
      <c r="D121" s="76" t="inlineStr">
        <is>
          <t>DEDUCT: Omission of 8-10t power rolling</t>
        </is>
      </c>
      <c r="E121" s="28" t="inlineStr">
        <is>
          <t>10 cum</t>
        </is>
      </c>
      <c r="F121" s="32" t="inlineStr">
        <is>
          <t>Sundries &amp; Allowances</t>
        </is>
      </c>
      <c r="G121" s="21" t="inlineStr">
        <is>
          <t>9999</t>
        </is>
      </c>
      <c r="H121" s="76" t="inlineStr">
        <is>
          <t>Sundries</t>
        </is>
      </c>
      <c r="I121" s="86" t="n">
        <v>1.82</v>
      </c>
      <c r="J121" s="50" t="inlineStr">
        <is>
          <t>L.S.</t>
        </is>
      </c>
      <c r="K121" s="51" t="n">
        <v>2</v>
      </c>
      <c r="L121" s="84" t="n">
        <v>3.64</v>
      </c>
      <c r="M121" s="52" t="n">
        <v>11.3</v>
      </c>
      <c r="N121" s="32" t="inlineStr"/>
      <c r="O121" s="39" t="inlineStr"/>
      <c r="P121" t="inlineStr">
        <is>
          <t>Embankment Banking &amp; Dressing|All kinds of soil|Manual labor (depth ≤1.5m)|DEDUCT: Omission of 8-10t power rolling|3</t>
        </is>
      </c>
      <c r="Q121" t="n">
        <v>3</v>
      </c>
      <c r="R121" t="n">
        <v>10</v>
      </c>
      <c r="S121" t="inlineStr">
        <is>
          <t>cum</t>
        </is>
      </c>
      <c r="T121" t="n">
        <v>-4.3</v>
      </c>
      <c r="U121" t="inlineStr">
        <is>
          <t>None</t>
        </is>
      </c>
      <c r="V121" t="inlineStr">
        <is>
          <t>None</t>
        </is>
      </c>
      <c r="W121" t="inlineStr">
        <is>
          <t>None</t>
        </is>
      </c>
      <c r="X121" t="inlineStr">
        <is>
          <t>None</t>
        </is>
      </c>
      <c r="Y121" t="inlineStr">
        <is>
          <t>CREDIT: Deduct 8-10t roller cost</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88" t="inlineStr">
        <is>
          <t>Extra lift for every additional 1.5m</t>
        </is>
      </c>
    </row>
    <row r="122" ht="22" customHeight="1">
      <c r="A122" s="16" t="inlineStr">
        <is>
          <t>Embankment Banking &amp; Dressing</t>
        </is>
      </c>
      <c r="B122" s="76" t="inlineStr">
        <is>
          <t>All kinds of soil</t>
        </is>
      </c>
      <c r="C122" s="76" t="inlineStr">
        <is>
          <t>Manual labor (depth ≤1.5m)</t>
        </is>
      </c>
      <c r="D122" s="76" t="inlineStr">
        <is>
          <t>DEDUCT: Omission of OMC compaction watering</t>
        </is>
      </c>
      <c r="E122" s="28" t="inlineStr">
        <is>
          <t>10 cum</t>
        </is>
      </c>
      <c r="F122" s="32" t="inlineStr">
        <is>
          <t>Labour (Operational / Bhishti)</t>
        </is>
      </c>
      <c r="G122" s="21" t="inlineStr">
        <is>
          <t>0101</t>
        </is>
      </c>
      <c r="H122" s="76" t="inlineStr">
        <is>
          <t>Bhisti</t>
        </is>
      </c>
      <c r="I122" s="86" t="n">
        <v>0.4</v>
      </c>
      <c r="J122" s="50" t="inlineStr">
        <is>
          <t>day</t>
        </is>
      </c>
      <c r="K122" s="51" t="n">
        <v>617</v>
      </c>
      <c r="L122" s="84" t="n">
        <v>246.8</v>
      </c>
      <c r="M122" s="52" t="n">
        <v>100</v>
      </c>
      <c r="N122" s="89" t="n">
        <v>25</v>
      </c>
      <c r="O122" s="39" t="inlineStr">
        <is>
          <t>Reverses OMC compaction watering allowance where watering is omitted: -0.40 bhisti-day.</t>
        </is>
      </c>
      <c r="P122" t="inlineStr">
        <is>
          <t>Embankment Banking &amp; Dressing|All kinds of soil|Manual labor (depth ≤1.5m)|DEDUCT: Omission of OMC compaction watering|1</t>
        </is>
      </c>
      <c r="Q122" t="n">
        <v>1</v>
      </c>
      <c r="R122" t="n">
        <v>10</v>
      </c>
      <c r="S122" t="inlineStr">
        <is>
          <t>cum</t>
        </is>
      </c>
      <c r="T122" t="n">
        <v>-33</v>
      </c>
      <c r="U122" t="inlineStr">
        <is>
          <t>None</t>
        </is>
      </c>
      <c r="V122" t="inlineStr">
        <is>
          <t>None</t>
        </is>
      </c>
      <c r="W122" t="inlineStr">
        <is>
          <t>None</t>
        </is>
      </c>
      <c r="X122" t="inlineStr">
        <is>
          <t>CREDIT: Deduct Bhishti watering</t>
        </is>
      </c>
      <c r="Y122" t="inlineStr">
        <is>
          <t>None</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88" t="inlineStr">
        <is>
          <t>Filling available excavated earth in plinth/trenches</t>
        </is>
      </c>
    </row>
    <row r="123" ht="22" customHeight="1">
      <c r="A123" s="16" t="inlineStr">
        <is>
          <t>Foundation &amp; Pipeline Trenching</t>
        </is>
      </c>
      <c r="B123" s="76" t="inlineStr">
        <is>
          <t>All kinds of soil</t>
        </is>
      </c>
      <c r="C123" s="76" t="inlineStr">
        <is>
          <t>Mechanical (Hydraulic Excavator 0.9 cum)</t>
        </is>
      </c>
      <c r="D123" s="76" t="inlineStr">
        <is>
          <t>Open areas &amp; wide foundation trenches</t>
        </is>
      </c>
      <c r="E123" s="28" t="inlineStr">
        <is>
          <t>10 cum</t>
        </is>
      </c>
      <c r="F123" s="32" t="inlineStr">
        <is>
          <t>Plant &amp; Machinery</t>
        </is>
      </c>
      <c r="G123" s="21" t="inlineStr">
        <is>
          <t>0020</t>
        </is>
      </c>
      <c r="H123" s="76" t="inlineStr">
        <is>
          <t>Hydraulic Excavator (3D) incl driver+fuel</t>
        </is>
      </c>
      <c r="I123" s="86" t="n">
        <v>0.041</v>
      </c>
      <c r="J123" s="50" t="inlineStr">
        <is>
          <t>day</t>
        </is>
      </c>
      <c r="K123" s="51" t="n">
        <v>7000</v>
      </c>
      <c r="L123" s="84" t="n">
        <v>287</v>
      </c>
      <c r="M123" s="52" t="n">
        <v>21.1</v>
      </c>
      <c r="N123" s="89" t="n">
        <v>243.9024390243902</v>
      </c>
      <c r="O123" s="39" t="inlineStr">
        <is>
          <t>1 machine × 0.328 h (19.68 min) ÷ 8 = 0.041 excavator-day. 0.9 cum bucket at 30.49 cum/hr = 243.90 cum/8-hr shift.</t>
        </is>
      </c>
      <c r="P123" t="inlineStr">
        <is>
          <t>Foundation &amp; Pipeline Trenching|All kinds of soil|Mechanical (Hydraulic Excavator 0.9 cum)|Open areas &amp; wide foundation trenches|1</t>
        </is>
      </c>
      <c r="Q123" t="n">
        <v>1</v>
      </c>
      <c r="R123" t="n">
        <v>10</v>
      </c>
      <c r="S123" t="inlineStr">
        <is>
          <t>cum</t>
        </is>
      </c>
      <c r="T123" t="n">
        <v>181.85</v>
      </c>
      <c r="U123" t="inlineStr">
        <is>
          <t>Hydraulic Excavator 0.9 cum (0034)</t>
        </is>
      </c>
      <c r="V123" t="inlineStr">
        <is>
          <t>Excavator bucket swing to dump / truck</t>
        </is>
      </c>
      <c r="W123" t="inlineStr">
        <is>
          <t>Spoil heap formation</t>
        </is>
      </c>
      <c r="X123" t="inlineStr">
        <is>
          <t>None</t>
        </is>
      </c>
      <c r="Y123" t="inlineStr">
        <is>
          <t>None</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88" t="inlineStr">
        <is>
          <t>Filling with fly ash and earth mix in plinth</t>
        </is>
      </c>
    </row>
    <row r="124" ht="22" customHeight="1">
      <c r="A124" s="16" t="inlineStr">
        <is>
          <t>Foundation &amp; Pipeline Trenching</t>
        </is>
      </c>
      <c r="B124" s="76" t="inlineStr">
        <is>
          <t>All kinds of soil</t>
        </is>
      </c>
      <c r="C124" s="76" t="inlineStr">
        <is>
          <t>Mechanical (Hydraulic Excavator 0.9 cum)</t>
        </is>
      </c>
      <c r="D124" s="76" t="inlineStr">
        <is>
          <t>Open areas &amp; wide foundation trenches</t>
        </is>
      </c>
      <c r="E124" s="28" t="inlineStr">
        <is>
          <t>10 cum</t>
        </is>
      </c>
      <c r="F124" s="32" t="inlineStr">
        <is>
          <t>Plant &amp; Machinery</t>
        </is>
      </c>
      <c r="G124" s="21" t="inlineStr">
        <is>
          <t>0018</t>
        </is>
      </c>
      <c r="H124" s="76" t="inlineStr">
        <is>
          <t>Hire – Loader</t>
        </is>
      </c>
      <c r="I124" s="86" t="n">
        <v>0.041</v>
      </c>
      <c r="J124" s="50" t="inlineStr">
        <is>
          <t>day</t>
        </is>
      </c>
      <c r="K124" s="51" t="n">
        <v>5000</v>
      </c>
      <c r="L124" s="84" t="n">
        <v>205</v>
      </c>
      <c r="M124" s="52" t="n">
        <v>15.1</v>
      </c>
      <c r="N124" s="89" t="n">
        <v>243.9024390243902</v>
      </c>
      <c r="O124" s="39" t="inlineStr">
        <is>
          <t>1 man × 0.56 h (33.6 min) ÷ 8 = 0.07 bd. Manual trench bottom trimming and squaring corners.</t>
        </is>
      </c>
      <c r="P124" t="inlineStr">
        <is>
          <t>Foundation &amp; Pipeline Trenching|All kinds of soil|Mechanical (Hydraulic Excavator 0.9 cum)|Open areas &amp; wide foundation trenches|2</t>
        </is>
      </c>
      <c r="Q124" t="n">
        <v>2</v>
      </c>
      <c r="R124" t="n">
        <v>10</v>
      </c>
      <c r="S124" t="inlineStr">
        <is>
          <t>cum</t>
        </is>
      </c>
      <c r="T124" t="n">
        <v>181.85</v>
      </c>
      <c r="U124" t="inlineStr">
        <is>
          <t>Hydraulic Excavator 0.9 cum (0034)</t>
        </is>
      </c>
      <c r="V124" t="inlineStr">
        <is>
          <t>Excavator bucket swing to dump / truck</t>
        </is>
      </c>
      <c r="W124" t="inlineStr">
        <is>
          <t>Spoil heap formation</t>
        </is>
      </c>
      <c r="X124" t="inlineStr">
        <is>
          <t>None</t>
        </is>
      </c>
      <c r="Y124" t="inlineStr">
        <is>
          <t>None</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88" t="inlineStr">
        <is>
          <t>Foundation trenches &amp; drain trenches</t>
        </is>
      </c>
    </row>
    <row r="125" ht="22" customHeight="1">
      <c r="A125" s="16" t="inlineStr">
        <is>
          <t>Foundation &amp; Pipeline Trenching</t>
        </is>
      </c>
      <c r="B125" s="76" t="inlineStr">
        <is>
          <t>All kinds of soil</t>
        </is>
      </c>
      <c r="C125" s="76" t="inlineStr">
        <is>
          <t>Mechanical (Hydraulic Excavator 0.9 cum)</t>
        </is>
      </c>
      <c r="D125" s="76" t="inlineStr">
        <is>
          <t>Open areas &amp; wide foundation trenches</t>
        </is>
      </c>
      <c r="E125" s="28" t="inlineStr">
        <is>
          <t>10 cum</t>
        </is>
      </c>
      <c r="F125" s="32" t="inlineStr">
        <is>
          <t>Labour (Supervisory / Mate)</t>
        </is>
      </c>
      <c r="G125" s="21" t="inlineStr">
        <is>
          <t>0128</t>
        </is>
      </c>
      <c r="H125" s="76" t="inlineStr">
        <is>
          <t>Mate</t>
        </is>
      </c>
      <c r="I125" s="86" t="n">
        <v>0.32</v>
      </c>
      <c r="J125" s="50" t="inlineStr">
        <is>
          <t>day</t>
        </is>
      </c>
      <c r="K125" s="51" t="n">
        <v>617</v>
      </c>
      <c r="L125" s="84" t="n">
        <v>197.44</v>
      </c>
      <c r="M125" s="52" t="n">
        <v>14.5</v>
      </c>
      <c r="N125" s="89" t="n">
        <v>31.25</v>
      </c>
      <c r="O125" s="39" t="inlineStr">
        <is>
          <t>1 man × 0.56 h (33.6 min) ÷ 8 = 0.07 cd. Shoveling corner spillage back to excavator bucket sweep.</t>
        </is>
      </c>
      <c r="P125" t="inlineStr">
        <is>
          <t>Foundation &amp; Pipeline Trenching|All kinds of soil|Mechanical (Hydraulic Excavator 0.9 cum)|Open areas &amp; wide foundation trenches|3</t>
        </is>
      </c>
      <c r="Q125" t="n">
        <v>3</v>
      </c>
      <c r="R125" t="n">
        <v>10</v>
      </c>
      <c r="S125" t="inlineStr">
        <is>
          <t>cum</t>
        </is>
      </c>
      <c r="T125" t="n">
        <v>181.85</v>
      </c>
      <c r="U125" t="inlineStr">
        <is>
          <t>Hydraulic Excavator 0.9 cum (0034)</t>
        </is>
      </c>
      <c r="V125" t="inlineStr">
        <is>
          <t>Excavator bucket swing to dump / truck</t>
        </is>
      </c>
      <c r="W125" t="inlineStr">
        <is>
          <t>Spoil heap formation</t>
        </is>
      </c>
      <c r="X125" t="inlineStr">
        <is>
          <t>None</t>
        </is>
      </c>
      <c r="Y125" t="inlineStr">
        <is>
          <t>None</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88" t="inlineStr">
        <is>
          <t>Full cycle: rough excavation + banking + roll</t>
        </is>
      </c>
    </row>
    <row r="126" ht="22" customHeight="1">
      <c r="A126" s="16" t="inlineStr">
        <is>
          <t>Foundation &amp; Pipeline Trenching</t>
        </is>
      </c>
      <c r="B126" s="76" t="inlineStr">
        <is>
          <t>All kinds of soil</t>
        </is>
      </c>
      <c r="C126" s="76" t="inlineStr">
        <is>
          <t>Mechanical (Hydraulic Excavator 0.9 cum)</t>
        </is>
      </c>
      <c r="D126" s="76" t="inlineStr">
        <is>
          <t>Open areas &amp; wide foundation trenches</t>
        </is>
      </c>
      <c r="E126" s="28" t="inlineStr">
        <is>
          <t>10 cum</t>
        </is>
      </c>
      <c r="F126" s="32" t="inlineStr">
        <is>
          <t>Labour (Unskilled / Haulage)</t>
        </is>
      </c>
      <c r="G126" s="21" t="inlineStr">
        <is>
          <t>0115</t>
        </is>
      </c>
      <c r="H126" s="76" t="inlineStr">
        <is>
          <t>Coolie</t>
        </is>
      </c>
      <c r="I126" s="86" t="n">
        <v>1.2</v>
      </c>
      <c r="J126" s="50" t="inlineStr">
        <is>
          <t>day</t>
        </is>
      </c>
      <c r="K126" s="51" t="n">
        <v>558</v>
      </c>
      <c r="L126" s="84" t="n">
        <v>669.6</v>
      </c>
      <c r="M126" s="52" t="n">
        <v>49.3</v>
      </c>
      <c r="N126" s="89" t="n">
        <v>8.333333333333334</v>
      </c>
      <c r="O126" s="39" t="inlineStr"/>
      <c r="P126" t="inlineStr">
        <is>
          <t>Foundation &amp; Pipeline Trenching|All kinds of soil|Mechanical (Hydraulic Excavator 0.9 cum)|Open areas &amp; wide foundation trenches|4</t>
        </is>
      </c>
      <c r="Q126" t="n">
        <v>4</v>
      </c>
      <c r="R126" t="n">
        <v>10</v>
      </c>
      <c r="S126" t="inlineStr">
        <is>
          <t>cum</t>
        </is>
      </c>
      <c r="T126" t="n">
        <v>181.85</v>
      </c>
      <c r="U126" t="inlineStr">
        <is>
          <t>Hydraulic Excavator 0.9 cum (0034)</t>
        </is>
      </c>
      <c r="V126" t="inlineStr">
        <is>
          <t>Excavator bucket swing to dump / truck</t>
        </is>
      </c>
      <c r="W126" t="inlineStr">
        <is>
          <t>Spoil heap formation</t>
        </is>
      </c>
      <c r="X126" t="inlineStr">
        <is>
          <t>None</t>
        </is>
      </c>
      <c r="Y126" t="inlineStr">
        <is>
          <t>None</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88" t="inlineStr">
        <is>
          <t>General surface cut (≤30 cm deep)</t>
        </is>
      </c>
    </row>
    <row r="127" ht="22" customHeight="1">
      <c r="A127" s="16" t="inlineStr">
        <is>
          <t>Foundation &amp; Pipeline Trenching</t>
        </is>
      </c>
      <c r="B127" s="76" t="inlineStr">
        <is>
          <t>Ordinary rock</t>
        </is>
      </c>
      <c r="C127" s="76" t="inlineStr">
        <is>
          <t>Mechanical (Hydraulic Excavator 0.9 cum)</t>
        </is>
      </c>
      <c r="D127" s="76" t="inlineStr">
        <is>
          <t>Open areas &amp; wide foundation trenches</t>
        </is>
      </c>
      <c r="E127" s="28" t="inlineStr">
        <is>
          <t>10 cum</t>
        </is>
      </c>
      <c r="F127" s="32" t="inlineStr">
        <is>
          <t>Plant &amp; Machinery</t>
        </is>
      </c>
      <c r="G127" s="21" t="inlineStr">
        <is>
          <t>0020</t>
        </is>
      </c>
      <c r="H127" s="76" t="inlineStr">
        <is>
          <t>Hydraulic Excavator (3D) incl driver+fuel</t>
        </is>
      </c>
      <c r="I127" s="86" t="n">
        <v>0.063</v>
      </c>
      <c r="J127" s="50" t="inlineStr">
        <is>
          <t>day</t>
        </is>
      </c>
      <c r="K127" s="51" t="n">
        <v>7000</v>
      </c>
      <c r="L127" s="84" t="n">
        <v>441</v>
      </c>
      <c r="M127" s="52" t="n">
        <v>16.7</v>
      </c>
      <c r="N127" s="89" t="n">
        <v>158.7301587301587</v>
      </c>
      <c r="O127" s="39" t="inlineStr">
        <is>
          <t>Hydraulic excavator in ordinary rock: 0.053 day (188.7 cum/shift, 23.6 cum/hr).</t>
        </is>
      </c>
      <c r="P127" t="inlineStr">
        <is>
          <t>Foundation &amp; Pipeline Trenching|Ordinary rock|Mechanical (Hydraulic Excavator 0.9 cum)|Open areas &amp; wide foundation trenches|1</t>
        </is>
      </c>
      <c r="Q127" t="n">
        <v>1</v>
      </c>
      <c r="R127" t="n">
        <v>10</v>
      </c>
      <c r="S127" t="inlineStr">
        <is>
          <t>cum</t>
        </is>
      </c>
      <c r="T127" t="n">
        <v>352.45</v>
      </c>
      <c r="U127" t="inlineStr">
        <is>
          <t>Hydraulic Excavator 0.9 cum (0034)</t>
        </is>
      </c>
      <c r="V127" t="inlineStr">
        <is>
          <t>Excavator bucket swing to dump / truck</t>
        </is>
      </c>
      <c r="W127" t="inlineStr">
        <is>
          <t>Spoil heap formation</t>
        </is>
      </c>
      <c r="X127" t="inlineStr">
        <is>
          <t>None</t>
        </is>
      </c>
      <c r="Y127" t="inlineStr">
        <is>
          <t>None</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88" t="inlineStr">
        <is>
          <t>Levelling &amp; neatly dressing disposed soil</t>
        </is>
      </c>
    </row>
    <row r="128" ht="22" customHeight="1">
      <c r="A128" s="16" t="inlineStr">
        <is>
          <t>Foundation &amp; Pipeline Trenching</t>
        </is>
      </c>
      <c r="B128" s="76" t="inlineStr">
        <is>
          <t>Ordinary rock</t>
        </is>
      </c>
      <c r="C128" s="76" t="inlineStr">
        <is>
          <t>Mechanical (Hydraulic Excavator 0.9 cum)</t>
        </is>
      </c>
      <c r="D128" s="76" t="inlineStr">
        <is>
          <t>Open areas &amp; wide foundation trenches</t>
        </is>
      </c>
      <c r="E128" s="28" t="inlineStr">
        <is>
          <t>10 cum</t>
        </is>
      </c>
      <c r="F128" s="32" t="inlineStr">
        <is>
          <t>Plant &amp; Machinery</t>
        </is>
      </c>
      <c r="G128" s="21" t="inlineStr">
        <is>
          <t>0017</t>
        </is>
      </c>
      <c r="H128" s="76" t="inlineStr">
        <is>
          <t>Hire – Tipper</t>
        </is>
      </c>
      <c r="I128" s="86" t="n">
        <v>0.063</v>
      </c>
      <c r="J128" s="50" t="inlineStr">
        <is>
          <t>day</t>
        </is>
      </c>
      <c r="K128" s="51" t="n">
        <v>1700</v>
      </c>
      <c r="L128" s="84" t="n">
        <v>107.1</v>
      </c>
      <c r="M128" s="52" t="n">
        <v>4.1</v>
      </c>
      <c r="N128" s="89" t="n">
        <v>158.7301587301587</v>
      </c>
      <c r="O128" s="39" t="inlineStr">
        <is>
          <t>Manual gang trim in ordinary rock: 0.20 Beldar-day.</t>
        </is>
      </c>
      <c r="P128" t="inlineStr">
        <is>
          <t>Foundation &amp; Pipeline Trenching|Ordinary rock|Mechanical (Hydraulic Excavator 0.9 cum)|Open areas &amp; wide foundation trenches|2</t>
        </is>
      </c>
      <c r="Q128" t="n">
        <v>2</v>
      </c>
      <c r="R128" t="n">
        <v>10</v>
      </c>
      <c r="S128" t="inlineStr">
        <is>
          <t>cum</t>
        </is>
      </c>
      <c r="T128" t="n">
        <v>352.45</v>
      </c>
      <c r="U128" t="inlineStr">
        <is>
          <t>Hydraulic Excavator 0.9 cum (0034)</t>
        </is>
      </c>
      <c r="V128" t="inlineStr">
        <is>
          <t>Excavator bucket swing to dump / truck</t>
        </is>
      </c>
      <c r="W128" t="inlineStr">
        <is>
          <t>Spoil heap formation</t>
        </is>
      </c>
      <c r="X128" t="inlineStr">
        <is>
          <t>None</t>
        </is>
      </c>
      <c r="Y128" t="inlineStr">
        <is>
          <t>None</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88" t="inlineStr">
        <is>
          <t>Manual rock chiselling (no blasting)</t>
        </is>
      </c>
    </row>
    <row r="129" ht="22" customHeight="1">
      <c r="A129" s="16" t="inlineStr">
        <is>
          <t>Foundation &amp; Pipeline Trenching</t>
        </is>
      </c>
      <c r="B129" s="76" t="inlineStr">
        <is>
          <t>Ordinary rock</t>
        </is>
      </c>
      <c r="C129" s="76" t="inlineStr">
        <is>
          <t>Mechanical (Hydraulic Excavator 0.9 cum)</t>
        </is>
      </c>
      <c r="D129" s="76" t="inlineStr">
        <is>
          <t>Open areas &amp; wide foundation trenches</t>
        </is>
      </c>
      <c r="E129" s="28" t="inlineStr">
        <is>
          <t>10 cum</t>
        </is>
      </c>
      <c r="F129" s="32" t="inlineStr">
        <is>
          <t>Sundries &amp; Allowances</t>
        </is>
      </c>
      <c r="G129" s="21" t="inlineStr">
        <is>
          <t>0132</t>
        </is>
      </c>
      <c r="H129" s="76" t="inlineStr">
        <is>
          <t>Rock Excavator</t>
        </is>
      </c>
      <c r="I129" s="86" t="n">
        <v>0.705</v>
      </c>
      <c r="J129" s="50" t="inlineStr">
        <is>
          <t>day</t>
        </is>
      </c>
      <c r="K129" s="51" t="n">
        <v>558</v>
      </c>
      <c r="L129" s="84" t="n">
        <v>393.39</v>
      </c>
      <c r="M129" s="52" t="n">
        <v>14.9</v>
      </c>
      <c r="N129" s="89" t="n">
        <v>14.18439716312057</v>
      </c>
      <c r="O129" s="39" t="inlineStr">
        <is>
          <t>Manual cleanup in ordinary rock: 0.20 Coolie-day.</t>
        </is>
      </c>
      <c r="P129" t="inlineStr">
        <is>
          <t>Foundation &amp; Pipeline Trenching|Ordinary rock|Mechanical (Hydraulic Excavator 0.9 cum)|Open areas &amp; wide foundation trenches|3</t>
        </is>
      </c>
      <c r="Q129" t="n">
        <v>3</v>
      </c>
      <c r="R129" t="n">
        <v>10</v>
      </c>
      <c r="S129" t="inlineStr">
        <is>
          <t>cum</t>
        </is>
      </c>
      <c r="T129" t="n">
        <v>352.45</v>
      </c>
      <c r="U129" t="inlineStr">
        <is>
          <t>Hydraulic Excavator 0.9 cum (0034)</t>
        </is>
      </c>
      <c r="V129" t="inlineStr">
        <is>
          <t>Excavator bucket swing to dump / truck</t>
        </is>
      </c>
      <c r="W129" t="inlineStr">
        <is>
          <t>Spoil heap formation</t>
        </is>
      </c>
      <c r="X129" t="inlineStr">
        <is>
          <t>None</t>
        </is>
      </c>
      <c r="Y129" t="inlineStr">
        <is>
          <t>None</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88" t="inlineStr">
        <is>
          <t>Open areas &amp; wide foundation trenches</t>
        </is>
      </c>
    </row>
    <row r="130" ht="22" customHeight="1">
      <c r="A130" s="16" t="inlineStr">
        <is>
          <t>Foundation &amp; Pipeline Trenching</t>
        </is>
      </c>
      <c r="B130" s="76" t="inlineStr">
        <is>
          <t>Ordinary rock</t>
        </is>
      </c>
      <c r="C130" s="76" t="inlineStr">
        <is>
          <t>Mechanical (Hydraulic Excavator 0.9 cum)</t>
        </is>
      </c>
      <c r="D130" s="76" t="inlineStr">
        <is>
          <t>Open areas &amp; wide foundation trenches</t>
        </is>
      </c>
      <c r="E130" s="28" t="inlineStr">
        <is>
          <t>10 cum</t>
        </is>
      </c>
      <c r="F130" s="32" t="inlineStr">
        <is>
          <t>Sundries &amp; Allowances</t>
        </is>
      </c>
      <c r="G130" s="21" t="inlineStr">
        <is>
          <t>0133</t>
        </is>
      </c>
      <c r="H130" s="76" t="inlineStr">
        <is>
          <t>Rock Breaker</t>
        </is>
      </c>
      <c r="I130" s="86" t="n">
        <v>1.59</v>
      </c>
      <c r="J130" s="50" t="inlineStr">
        <is>
          <t>day</t>
        </is>
      </c>
      <c r="K130" s="51" t="n">
        <v>558</v>
      </c>
      <c r="L130" s="84" t="n">
        <v>887.22</v>
      </c>
      <c r="M130" s="52" t="n">
        <v>33.7</v>
      </c>
      <c r="N130" s="89" t="n">
        <v>6.289308176100628</v>
      </c>
      <c r="O130" s="39" t="inlineStr"/>
      <c r="P130" t="inlineStr">
        <is>
          <t>Foundation &amp; Pipeline Trenching|Ordinary rock|Mechanical (Hydraulic Excavator 0.9 cum)|Open areas &amp; wide foundation trenches|4</t>
        </is>
      </c>
      <c r="Q130" t="n">
        <v>4</v>
      </c>
      <c r="R130" t="n">
        <v>10</v>
      </c>
      <c r="S130" t="inlineStr">
        <is>
          <t>cum</t>
        </is>
      </c>
      <c r="T130" t="n">
        <v>352.45</v>
      </c>
      <c r="U130" t="inlineStr">
        <is>
          <t>Hydraulic Excavator 0.9 cum (0034)</t>
        </is>
      </c>
      <c r="V130" t="inlineStr">
        <is>
          <t>Excavator bucket swing to dump / truck</t>
        </is>
      </c>
      <c r="W130" t="inlineStr">
        <is>
          <t>Spoil heap formation</t>
        </is>
      </c>
      <c r="X130" t="inlineStr">
        <is>
          <t>None</t>
        </is>
      </c>
      <c r="Y130" t="inlineStr">
        <is>
          <t>None</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88" t="inlineStr">
        <is>
          <t>POST-CONSTRUCTION: drilling 12mm holes &amp; injecting</t>
        </is>
      </c>
    </row>
    <row r="131" ht="22" customHeight="1">
      <c r="A131" s="16" t="inlineStr">
        <is>
          <t>Foundation &amp; Pipeline Trenching</t>
        </is>
      </c>
      <c r="B131" s="76" t="inlineStr">
        <is>
          <t>Ordinary rock</t>
        </is>
      </c>
      <c r="C131" s="76" t="inlineStr">
        <is>
          <t>Mechanical (Hydraulic Excavator 0.9 cum)</t>
        </is>
      </c>
      <c r="D131" s="76" t="inlineStr">
        <is>
          <t>Open areas &amp; wide foundation trenches</t>
        </is>
      </c>
      <c r="E131" s="28" t="inlineStr">
        <is>
          <t>10 cum</t>
        </is>
      </c>
      <c r="F131" s="32" t="inlineStr">
        <is>
          <t>Sundries &amp; Allowances</t>
        </is>
      </c>
      <c r="G131" s="21" t="inlineStr">
        <is>
          <t>0134</t>
        </is>
      </c>
      <c r="H131" s="76" t="inlineStr">
        <is>
          <t>Rock Hole Driller</t>
        </is>
      </c>
      <c r="I131" s="86" t="n">
        <v>0.355</v>
      </c>
      <c r="J131" s="50" t="inlineStr">
        <is>
          <t>day</t>
        </is>
      </c>
      <c r="K131" s="51" t="n">
        <v>558</v>
      </c>
      <c r="L131" s="84" t="n">
        <v>198.09</v>
      </c>
      <c r="M131" s="52" t="n">
        <v>7.5</v>
      </c>
      <c r="N131" s="89" t="n">
        <v>28.16901408450704</v>
      </c>
      <c r="O131" s="39" t="inlineStr"/>
      <c r="P131" t="inlineStr">
        <is>
          <t>Foundation &amp; Pipeline Trenching|Ordinary rock|Mechanical (Hydraulic Excavator 0.9 cum)|Open areas &amp; wide foundation trenches|5</t>
        </is>
      </c>
      <c r="Q131" t="n">
        <v>5</v>
      </c>
      <c r="R131" t="n">
        <v>10</v>
      </c>
      <c r="S131" t="inlineStr">
        <is>
          <t>cum</t>
        </is>
      </c>
      <c r="T131" t="n">
        <v>352.45</v>
      </c>
      <c r="U131" t="inlineStr">
        <is>
          <t>Hydraulic Excavator 0.9 cum (0034)</t>
        </is>
      </c>
      <c r="V131" t="inlineStr">
        <is>
          <t>Excavator bucket swing to dump / truck</t>
        </is>
      </c>
      <c r="W131" t="inlineStr">
        <is>
          <t>Spoil heap formation</t>
        </is>
      </c>
      <c r="X131" t="inlineStr">
        <is>
          <t>None</t>
        </is>
      </c>
      <c r="Y131" t="inlineStr">
        <is>
          <t>None</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88" t="inlineStr">
        <is>
          <t>Pipe / Cable trenches (dia 80-300 mm)</t>
        </is>
      </c>
    </row>
    <row r="132" ht="22" customHeight="1">
      <c r="A132" s="16" t="inlineStr">
        <is>
          <t>Foundation &amp; Pipeline Trenching</t>
        </is>
      </c>
      <c r="B132" s="76" t="inlineStr">
        <is>
          <t>Ordinary rock</t>
        </is>
      </c>
      <c r="C132" s="76" t="inlineStr">
        <is>
          <t>Mechanical (Hydraulic Excavator 0.9 cum)</t>
        </is>
      </c>
      <c r="D132" s="76" t="inlineStr">
        <is>
          <t>Open areas &amp; wide foundation trenches</t>
        </is>
      </c>
      <c r="E132" s="28" t="inlineStr">
        <is>
          <t>10 cum</t>
        </is>
      </c>
      <c r="F132" s="32" t="inlineStr">
        <is>
          <t>Labour (Semi-Skilled / Operational)</t>
        </is>
      </c>
      <c r="G132" s="21" t="inlineStr">
        <is>
          <t>0114</t>
        </is>
      </c>
      <c r="H132" s="76" t="inlineStr">
        <is>
          <t>Beldar</t>
        </is>
      </c>
      <c r="I132" s="86" t="n">
        <v>0.5</v>
      </c>
      <c r="J132" s="50" t="inlineStr">
        <is>
          <t>day</t>
        </is>
      </c>
      <c r="K132" s="51" t="n">
        <v>558</v>
      </c>
      <c r="L132" s="84" t="n">
        <v>279</v>
      </c>
      <c r="M132" s="52" t="n">
        <v>10.6</v>
      </c>
      <c r="N132" s="89" t="n">
        <v>20</v>
      </c>
      <c r="O132" s="39" t="inlineStr"/>
      <c r="P132" t="inlineStr">
        <is>
          <t>Foundation &amp; Pipeline Trenching|Ordinary rock|Mechanical (Hydraulic Excavator 0.9 cum)|Open areas &amp; wide foundation trenches|6</t>
        </is>
      </c>
      <c r="Q132" t="n">
        <v>6</v>
      </c>
      <c r="R132" t="n">
        <v>10</v>
      </c>
      <c r="S132" t="inlineStr">
        <is>
          <t>cum</t>
        </is>
      </c>
      <c r="T132" t="n">
        <v>352.45</v>
      </c>
      <c r="U132" t="inlineStr">
        <is>
          <t>Hydraulic Excavator 0.9 cum (0034)</t>
        </is>
      </c>
      <c r="V132" t="inlineStr">
        <is>
          <t>Excavator bucket swing to dump / truck</t>
        </is>
      </c>
      <c r="W132" t="inlineStr">
        <is>
          <t>Spoil heap formation</t>
        </is>
      </c>
      <c r="X132" t="inlineStr">
        <is>
          <t>None</t>
        </is>
      </c>
      <c r="Y132" t="inlineStr">
        <is>
          <t>None</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88" t="inlineStr">
        <is>
          <t>Pipe / Cable trenches (dia &gt; 300 mm)</t>
        </is>
      </c>
    </row>
    <row r="133" ht="22" customHeight="1">
      <c r="A133" s="16" t="inlineStr">
        <is>
          <t>Foundation &amp; Pipeline Trenching</t>
        </is>
      </c>
      <c r="B133" s="76" t="inlineStr">
        <is>
          <t>Ordinary rock</t>
        </is>
      </c>
      <c r="C133" s="76" t="inlineStr">
        <is>
          <t>Mechanical (Hydraulic Excavator 0.9 cum)</t>
        </is>
      </c>
      <c r="D133" s="76" t="inlineStr">
        <is>
          <t>Open areas &amp; wide foundation trenches</t>
        </is>
      </c>
      <c r="E133" s="28" t="inlineStr">
        <is>
          <t>10 cum</t>
        </is>
      </c>
      <c r="F133" s="32" t="inlineStr">
        <is>
          <t>Labour (Unskilled / Haulage)</t>
        </is>
      </c>
      <c r="G133" s="21" t="inlineStr">
        <is>
          <t>0115</t>
        </is>
      </c>
      <c r="H133" s="76" t="inlineStr">
        <is>
          <t>Coolie</t>
        </is>
      </c>
      <c r="I133" s="86" t="n">
        <v>0.55</v>
      </c>
      <c r="J133" s="50" t="inlineStr">
        <is>
          <t>day</t>
        </is>
      </c>
      <c r="K133" s="51" t="n">
        <v>558</v>
      </c>
      <c r="L133" s="84" t="n">
        <v>306.9</v>
      </c>
      <c r="M133" s="52" t="n">
        <v>11.7</v>
      </c>
      <c r="N133" s="89" t="n">
        <v>18.18181818181818</v>
      </c>
      <c r="O133" s="39" t="inlineStr"/>
      <c r="P133" t="inlineStr">
        <is>
          <t>Foundation &amp; Pipeline Trenching|Ordinary rock|Mechanical (Hydraulic Excavator 0.9 cum)|Open areas &amp; wide foundation trenches|7</t>
        </is>
      </c>
      <c r="Q133" t="n">
        <v>7</v>
      </c>
      <c r="R133" t="n">
        <v>10</v>
      </c>
      <c r="S133" t="inlineStr">
        <is>
          <t>cum</t>
        </is>
      </c>
      <c r="T133" t="n">
        <v>352.45</v>
      </c>
      <c r="U133" t="inlineStr">
        <is>
          <t>Hydraulic Excavator 0.9 cum (0034)</t>
        </is>
      </c>
      <c r="V133" t="inlineStr">
        <is>
          <t>Excavator bucket swing to dump / truck</t>
        </is>
      </c>
      <c r="W133" t="inlineStr">
        <is>
          <t>Spoil heap formation</t>
        </is>
      </c>
      <c r="X133" t="inlineStr">
        <is>
          <t>None</t>
        </is>
      </c>
      <c r="Y133" t="inlineStr">
        <is>
          <t>None</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88" t="inlineStr">
        <is>
          <t>Pipe / Cable trenches (dia ≤ 80 mm)</t>
        </is>
      </c>
    </row>
    <row r="134" ht="22" customHeight="1">
      <c r="A134" s="16" t="inlineStr">
        <is>
          <t>Foundation &amp; Pipeline Trenching</t>
        </is>
      </c>
      <c r="B134" s="76" t="inlineStr">
        <is>
          <t>Ordinary rock</t>
        </is>
      </c>
      <c r="C134" s="76" t="inlineStr">
        <is>
          <t>Mechanical (Hydraulic Excavator 0.9 cum)</t>
        </is>
      </c>
      <c r="D134" s="76" t="inlineStr">
        <is>
          <t>Open areas &amp; wide foundation trenches</t>
        </is>
      </c>
      <c r="E134" s="28" t="inlineStr">
        <is>
          <t>10 cum</t>
        </is>
      </c>
      <c r="F134" s="32" t="inlineStr">
        <is>
          <t>Sundries &amp; Allowances</t>
        </is>
      </c>
      <c r="G134" s="21" t="inlineStr">
        <is>
          <t>9999</t>
        </is>
      </c>
      <c r="H134" s="76" t="inlineStr">
        <is>
          <t>Sundries</t>
        </is>
      </c>
      <c r="I134" s="86" t="n">
        <v>10.79</v>
      </c>
      <c r="J134" s="50" t="inlineStr">
        <is>
          <t>L.S.</t>
        </is>
      </c>
      <c r="K134" s="51" t="n">
        <v>2</v>
      </c>
      <c r="L134" s="84" t="n">
        <v>21.58</v>
      </c>
      <c r="M134" s="52" t="n">
        <v>0.8</v>
      </c>
      <c r="N134" s="32" t="inlineStr"/>
      <c r="O134" s="39" t="inlineStr"/>
      <c r="P134" t="inlineStr">
        <is>
          <t>Foundation &amp; Pipeline Trenching|Ordinary rock|Mechanical (Hydraulic Excavator 0.9 cum)|Open areas &amp; wide foundation trenches|8</t>
        </is>
      </c>
      <c r="Q134" t="n">
        <v>8</v>
      </c>
      <c r="R134" t="n">
        <v>10</v>
      </c>
      <c r="S134" t="inlineStr">
        <is>
          <t>cum</t>
        </is>
      </c>
      <c r="T134" t="n">
        <v>352.45</v>
      </c>
      <c r="U134" t="inlineStr">
        <is>
          <t>Hydraulic Excavator 0.9 cum (0034)</t>
        </is>
      </c>
      <c r="V134" t="inlineStr">
        <is>
          <t>Excavator bucket swing to dump / truck</t>
        </is>
      </c>
      <c r="W134" t="inlineStr">
        <is>
          <t>Spoil heap formation</t>
        </is>
      </c>
      <c r="X134" t="inlineStr">
        <is>
          <t>None</t>
        </is>
      </c>
      <c r="Y134" t="inlineStr">
        <is>
          <t>None</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88" t="inlineStr">
        <is>
          <t>Pipe trenches in ordinary rock (≤80mm)</t>
        </is>
      </c>
    </row>
    <row r="135" ht="22" customHeight="1">
      <c r="A135" s="16" t="inlineStr">
        <is>
          <t>Foundation &amp; Pipeline Trenching</t>
        </is>
      </c>
      <c r="B135" s="76" t="inlineStr">
        <is>
          <t>Hard rock (blasting permitted)</t>
        </is>
      </c>
      <c r="C135" s="76" t="inlineStr">
        <is>
          <t>Mechanical (Hydraulic Excavator 0.9 cum)</t>
        </is>
      </c>
      <c r="D135" s="76" t="inlineStr">
        <is>
          <t>Rock blasting + Excavator loading</t>
        </is>
      </c>
      <c r="E135" s="28" t="inlineStr">
        <is>
          <t>10 cum</t>
        </is>
      </c>
      <c r="F135" s="32" t="inlineStr">
        <is>
          <t>Plant &amp; Machinery</t>
        </is>
      </c>
      <c r="G135" s="21" t="inlineStr">
        <is>
          <t>0020</t>
        </is>
      </c>
      <c r="H135" s="76" t="inlineStr">
        <is>
          <t>Hydraulic Excavator (3D) incl driver+fuel</t>
        </is>
      </c>
      <c r="I135" s="86" t="n">
        <v>0.125</v>
      </c>
      <c r="J135" s="50" t="inlineStr">
        <is>
          <t>day</t>
        </is>
      </c>
      <c r="K135" s="51" t="n">
        <v>7000</v>
      </c>
      <c r="L135" s="84" t="n">
        <v>875</v>
      </c>
      <c r="M135" s="52" t="n">
        <v>19.2</v>
      </c>
      <c r="N135" s="89" t="n">
        <v>80</v>
      </c>
      <c r="O135" s="39" t="inlineStr">
        <is>
          <t>Hard rock blasting: Jackhammer / drill helper: 1.40 Beldar-days.</t>
        </is>
      </c>
      <c r="P135" t="inlineStr">
        <is>
          <t>Foundation &amp; Pipeline Trenching|Hard rock (blasting permitted)|Mechanical (Hydraulic Excavator 0.9 cum)|Rock blasting + Excavator loading|1</t>
        </is>
      </c>
      <c r="Q135" t="n">
        <v>1</v>
      </c>
      <c r="R135" t="n">
        <v>10</v>
      </c>
      <c r="S135" t="inlineStr">
        <is>
          <t>cum</t>
        </is>
      </c>
      <c r="T135" t="n">
        <v>609.65</v>
      </c>
      <c r="U135" t="inlineStr">
        <is>
          <t>Compressor + Jack hammer drilling + Blasting</t>
        </is>
      </c>
      <c r="V135" t="inlineStr">
        <is>
          <t>Excavator bucket loading / disposal</t>
        </is>
      </c>
      <c r="W135" t="inlineStr">
        <is>
          <t>Rock dump</t>
        </is>
      </c>
      <c r="X135" t="inlineStr">
        <is>
          <t>None</t>
        </is>
      </c>
      <c r="Y135" t="inlineStr">
        <is>
          <t>None</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88" t="inlineStr">
        <is>
          <t>Ploughing ground (15-25 cm) &amp; watering</t>
        </is>
      </c>
    </row>
    <row r="136" ht="22" customHeight="1">
      <c r="A136" s="16" t="inlineStr">
        <is>
          <t>Foundation &amp; Pipeline Trenching</t>
        </is>
      </c>
      <c r="B136" s="76" t="inlineStr">
        <is>
          <t>Hard rock (blasting permitted)</t>
        </is>
      </c>
      <c r="C136" s="76" t="inlineStr">
        <is>
          <t>Mechanical (Hydraulic Excavator 0.9 cum)</t>
        </is>
      </c>
      <c r="D136" s="76" t="inlineStr">
        <is>
          <t>Rock blasting + Excavator loading</t>
        </is>
      </c>
      <c r="E136" s="28" t="inlineStr">
        <is>
          <t>10 cum</t>
        </is>
      </c>
      <c r="F136" s="32" t="inlineStr">
        <is>
          <t>Plant &amp; Machinery</t>
        </is>
      </c>
      <c r="G136" s="21" t="inlineStr">
        <is>
          <t>0017</t>
        </is>
      </c>
      <c r="H136" s="76" t="inlineStr">
        <is>
          <t>Hire – Tipper</t>
        </is>
      </c>
      <c r="I136" s="86" t="n">
        <v>0.125</v>
      </c>
      <c r="J136" s="50" t="inlineStr">
        <is>
          <t>day</t>
        </is>
      </c>
      <c r="K136" s="51" t="n">
        <v>1700</v>
      </c>
      <c r="L136" s="84" t="n">
        <v>212.5</v>
      </c>
      <c r="M136" s="52" t="n">
        <v>4.7</v>
      </c>
      <c r="N136" s="89" t="n">
        <v>80</v>
      </c>
      <c r="O136" s="39" t="inlineStr">
        <is>
          <t>Hard rock blasting: Miner / blaster charging holes: 0.35 miner-day.</t>
        </is>
      </c>
      <c r="P136" t="inlineStr">
        <is>
          <t>Foundation &amp; Pipeline Trenching|Hard rock (blasting permitted)|Mechanical (Hydraulic Excavator 0.9 cum)|Rock blasting + Excavator loading|2</t>
        </is>
      </c>
      <c r="Q136" t="n">
        <v>2</v>
      </c>
      <c r="R136" t="n">
        <v>10</v>
      </c>
      <c r="S136" t="inlineStr">
        <is>
          <t>cum</t>
        </is>
      </c>
      <c r="T136" t="n">
        <v>609.65</v>
      </c>
      <c r="U136" t="inlineStr">
        <is>
          <t>Compressor + Jack hammer drilling + Blasting</t>
        </is>
      </c>
      <c r="V136" t="inlineStr">
        <is>
          <t>Excavator bucket loading / disposal</t>
        </is>
      </c>
      <c r="W136" t="inlineStr">
        <is>
          <t>Rock dump</t>
        </is>
      </c>
      <c r="X136" t="inlineStr">
        <is>
          <t>None</t>
        </is>
      </c>
      <c r="Y136" t="inlineStr">
        <is>
          <t>None</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88" t="inlineStr">
        <is>
          <t>Rock blasting + Excavator loading</t>
        </is>
      </c>
    </row>
    <row r="137" ht="22" customHeight="1">
      <c r="A137" s="16" t="inlineStr">
        <is>
          <t>Foundation &amp; Pipeline Trenching</t>
        </is>
      </c>
      <c r="B137" s="76" t="inlineStr">
        <is>
          <t>Hard rock (blasting permitted)</t>
        </is>
      </c>
      <c r="C137" s="76" t="inlineStr">
        <is>
          <t>Mechanical (Hydraulic Excavator 0.9 cum)</t>
        </is>
      </c>
      <c r="D137" s="76" t="inlineStr">
        <is>
          <t>Rock blasting + Excavator loading</t>
        </is>
      </c>
      <c r="E137" s="28" t="inlineStr">
        <is>
          <t>10 cum</t>
        </is>
      </c>
      <c r="F137" s="32" t="inlineStr">
        <is>
          <t>Sundries &amp; Allowances</t>
        </is>
      </c>
      <c r="G137" s="21" t="inlineStr">
        <is>
          <t>0132</t>
        </is>
      </c>
      <c r="H137" s="76" t="inlineStr">
        <is>
          <t>Rock Excavator</t>
        </is>
      </c>
      <c r="I137" s="86" t="n">
        <v>1.06</v>
      </c>
      <c r="J137" s="50" t="inlineStr">
        <is>
          <t>day</t>
        </is>
      </c>
      <c r="K137" s="51" t="n">
        <v>558</v>
      </c>
      <c r="L137" s="84" t="n">
        <v>591.48</v>
      </c>
      <c r="M137" s="52" t="n">
        <v>13</v>
      </c>
      <c r="N137" s="89" t="n">
        <v>9.433962264150942</v>
      </c>
      <c r="O137" s="39" t="inlineStr">
        <is>
          <t>Hard rock blasting: Clearing blasted muck: 1.40 Coolie-days.</t>
        </is>
      </c>
      <c r="P137" t="inlineStr">
        <is>
          <t>Foundation &amp; Pipeline Trenching|Hard rock (blasting permitted)|Mechanical (Hydraulic Excavator 0.9 cum)|Rock blasting + Excavator loading|3</t>
        </is>
      </c>
      <c r="Q137" t="n">
        <v>3</v>
      </c>
      <c r="R137" t="n">
        <v>10</v>
      </c>
      <c r="S137" t="inlineStr">
        <is>
          <t>cum</t>
        </is>
      </c>
      <c r="T137" t="n">
        <v>609.65</v>
      </c>
      <c r="U137" t="inlineStr">
        <is>
          <t>Compressor + Jack hammer drilling + Blasting</t>
        </is>
      </c>
      <c r="V137" t="inlineStr">
        <is>
          <t>Excavator bucket loading / disposal</t>
        </is>
      </c>
      <c r="W137" t="inlineStr">
        <is>
          <t>Rock dump</t>
        </is>
      </c>
      <c r="X137" t="inlineStr">
        <is>
          <t>None</t>
        </is>
      </c>
      <c r="Y137" t="inlineStr">
        <is>
          <t>None</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88" t="inlineStr">
        <is>
          <t>Rock blasting + manual trench excavation</t>
        </is>
      </c>
    </row>
    <row r="138" ht="22" customHeight="1">
      <c r="A138" s="16" t="inlineStr">
        <is>
          <t>Foundation &amp; Pipeline Trenching</t>
        </is>
      </c>
      <c r="B138" s="76" t="inlineStr">
        <is>
          <t>Hard rock (blasting permitted)</t>
        </is>
      </c>
      <c r="C138" s="76" t="inlineStr">
        <is>
          <t>Mechanical (Hydraulic Excavator 0.9 cum)</t>
        </is>
      </c>
      <c r="D138" s="76" t="inlineStr">
        <is>
          <t>Rock blasting + Excavator loading</t>
        </is>
      </c>
      <c r="E138" s="28" t="inlineStr">
        <is>
          <t>10 cum</t>
        </is>
      </c>
      <c r="F138" s="32" t="inlineStr">
        <is>
          <t>Sundries &amp; Allowances</t>
        </is>
      </c>
      <c r="G138" s="21" t="inlineStr">
        <is>
          <t>0133</t>
        </is>
      </c>
      <c r="H138" s="76" t="inlineStr">
        <is>
          <t>Rock Breaker</t>
        </is>
      </c>
      <c r="I138" s="86" t="n">
        <v>2.825</v>
      </c>
      <c r="J138" s="50" t="inlineStr">
        <is>
          <t>day</t>
        </is>
      </c>
      <c r="K138" s="51" t="n">
        <v>558</v>
      </c>
      <c r="L138" s="84" t="n">
        <v>1576.35</v>
      </c>
      <c r="M138" s="52" t="n">
        <v>34.6</v>
      </c>
      <c r="N138" s="89" t="n">
        <v>3.539823008849557</v>
      </c>
      <c r="O138" s="39" t="inlineStr">
        <is>
          <t>Compressor 250 cfm &amp; pneumatic drill: 0.15 machine-day.</t>
        </is>
      </c>
      <c r="P138" t="inlineStr">
        <is>
          <t>Foundation &amp; Pipeline Trenching|Hard rock (blasting permitted)|Mechanical (Hydraulic Excavator 0.9 cum)|Rock blasting + Excavator loading|4</t>
        </is>
      </c>
      <c r="Q138" t="n">
        <v>4</v>
      </c>
      <c r="R138" t="n">
        <v>10</v>
      </c>
      <c r="S138" t="inlineStr">
        <is>
          <t>cum</t>
        </is>
      </c>
      <c r="T138" t="n">
        <v>609.65</v>
      </c>
      <c r="U138" t="inlineStr">
        <is>
          <t>Compressor + Jack hammer drilling + Blasting</t>
        </is>
      </c>
      <c r="V138" t="inlineStr">
        <is>
          <t>Excavator bucket loading / disposal</t>
        </is>
      </c>
      <c r="W138" t="inlineStr">
        <is>
          <t>Rock dump</t>
        </is>
      </c>
      <c r="X138" t="inlineStr">
        <is>
          <t>None</t>
        </is>
      </c>
      <c r="Y138" t="inlineStr">
        <is>
          <t>None</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88" t="inlineStr">
        <is>
          <t>Rock breaker / Chiselling (no blasting)</t>
        </is>
      </c>
    </row>
    <row r="139" ht="22" customHeight="1">
      <c r="A139" s="16" t="inlineStr">
        <is>
          <t>Foundation &amp; Pipeline Trenching</t>
        </is>
      </c>
      <c r="B139" s="76" t="inlineStr">
        <is>
          <t>Hard rock (blasting permitted)</t>
        </is>
      </c>
      <c r="C139" s="76" t="inlineStr">
        <is>
          <t>Mechanical (Hydraulic Excavator 0.9 cum)</t>
        </is>
      </c>
      <c r="D139" s="76" t="inlineStr">
        <is>
          <t>Rock blasting + Excavator loading</t>
        </is>
      </c>
      <c r="E139" s="28" t="inlineStr">
        <is>
          <t>10 cum</t>
        </is>
      </c>
      <c r="F139" s="32" t="inlineStr">
        <is>
          <t>Sundries &amp; Allowances</t>
        </is>
      </c>
      <c r="G139" s="21" t="inlineStr">
        <is>
          <t>0134</t>
        </is>
      </c>
      <c r="H139" s="76" t="inlineStr">
        <is>
          <t>Rock Hole Driller</t>
        </is>
      </c>
      <c r="I139" s="86" t="n">
        <v>0.885</v>
      </c>
      <c r="J139" s="50" t="inlineStr">
        <is>
          <t>day</t>
        </is>
      </c>
      <c r="K139" s="51" t="n">
        <v>558</v>
      </c>
      <c r="L139" s="84" t="n">
        <v>493.83</v>
      </c>
      <c r="M139" s="52" t="n">
        <v>10.8</v>
      </c>
      <c r="N139" s="89" t="n">
        <v>11.29943502824859</v>
      </c>
      <c r="O139" s="39" t="inlineStr"/>
      <c r="P139" t="inlineStr">
        <is>
          <t>Foundation &amp; Pipeline Trenching|Hard rock (blasting permitted)|Mechanical (Hydraulic Excavator 0.9 cum)|Rock blasting + Excavator loading|5</t>
        </is>
      </c>
      <c r="Q139" t="n">
        <v>5</v>
      </c>
      <c r="R139" t="n">
        <v>10</v>
      </c>
      <c r="S139" t="inlineStr">
        <is>
          <t>cum</t>
        </is>
      </c>
      <c r="T139" t="n">
        <v>609.65</v>
      </c>
      <c r="U139" t="inlineStr">
        <is>
          <t>Compressor + Jack hammer drilling + Blasting</t>
        </is>
      </c>
      <c r="V139" t="inlineStr">
        <is>
          <t>Excavator bucket loading / disposal</t>
        </is>
      </c>
      <c r="W139" t="inlineStr">
        <is>
          <t>Rock dump</t>
        </is>
      </c>
      <c r="X139" t="inlineStr">
        <is>
          <t>None</t>
        </is>
      </c>
      <c r="Y139" t="inlineStr">
        <is>
          <t>None</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88" t="inlineStr">
        <is>
          <t>Supply and stacking fly ash (IRC-58)</t>
        </is>
      </c>
    </row>
    <row r="140" ht="22" customHeight="1">
      <c r="A140" s="16" t="inlineStr">
        <is>
          <t>Foundation &amp; Pipeline Trenching</t>
        </is>
      </c>
      <c r="B140" s="76" t="inlineStr">
        <is>
          <t>Hard rock (blasting permitted)</t>
        </is>
      </c>
      <c r="C140" s="76" t="inlineStr">
        <is>
          <t>Mechanical (Hydraulic Excavator 0.9 cum)</t>
        </is>
      </c>
      <c r="D140" s="76" t="inlineStr">
        <is>
          <t>Rock blasting + Excavator loading</t>
        </is>
      </c>
      <c r="E140" s="28" t="inlineStr">
        <is>
          <t>10 cum</t>
        </is>
      </c>
      <c r="F140" s="32" t="inlineStr">
        <is>
          <t>Labour (Semi-Skilled / Operational)</t>
        </is>
      </c>
      <c r="G140" s="21" t="inlineStr">
        <is>
          <t>0114</t>
        </is>
      </c>
      <c r="H140" s="76" t="inlineStr">
        <is>
          <t>Beldar</t>
        </is>
      </c>
      <c r="I140" s="86" t="n">
        <v>0.45</v>
      </c>
      <c r="J140" s="50" t="inlineStr">
        <is>
          <t>day</t>
        </is>
      </c>
      <c r="K140" s="51" t="n">
        <v>558</v>
      </c>
      <c r="L140" s="84" t="n">
        <v>251.1</v>
      </c>
      <c r="M140" s="52" t="n">
        <v>5.5</v>
      </c>
      <c r="N140" s="89" t="n">
        <v>22.22222222222222</v>
      </c>
      <c r="O140" s="39" t="inlineStr"/>
      <c r="P140" t="inlineStr">
        <is>
          <t>Foundation &amp; Pipeline Trenching|Hard rock (blasting permitted)|Mechanical (Hydraulic Excavator 0.9 cum)|Rock blasting + Excavator loading|6</t>
        </is>
      </c>
      <c r="Q140" t="n">
        <v>6</v>
      </c>
      <c r="R140" t="n">
        <v>10</v>
      </c>
      <c r="S140" t="inlineStr">
        <is>
          <t>cum</t>
        </is>
      </c>
      <c r="T140" t="n">
        <v>609.65</v>
      </c>
      <c r="U140" t="inlineStr">
        <is>
          <t>Compressor + Jack hammer drilling + Blasting</t>
        </is>
      </c>
      <c r="V140" t="inlineStr">
        <is>
          <t>Excavator bucket loading / disposal</t>
        </is>
      </c>
      <c r="W140" t="inlineStr">
        <is>
          <t>Rock dump</t>
        </is>
      </c>
      <c r="X140" t="inlineStr">
        <is>
          <t>None</t>
        </is>
      </c>
      <c r="Y140" t="inlineStr">
        <is>
          <t>None</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88" t="inlineStr">
        <is>
          <t>Supply chemical emulsion (Chlorpyrifos 20% EC)</t>
        </is>
      </c>
    </row>
    <row r="141" ht="22" customHeight="1">
      <c r="A141" s="16" t="inlineStr">
        <is>
          <t>Foundation &amp; Pipeline Trenching</t>
        </is>
      </c>
      <c r="B141" s="76" t="inlineStr">
        <is>
          <t>Hard rock (blasting permitted)</t>
        </is>
      </c>
      <c r="C141" s="76" t="inlineStr">
        <is>
          <t>Mechanical (Hydraulic Excavator 0.9 cum)</t>
        </is>
      </c>
      <c r="D141" s="76" t="inlineStr">
        <is>
          <t>Rock blasting + Excavator loading</t>
        </is>
      </c>
      <c r="E141" s="28" t="inlineStr">
        <is>
          <t>10 cum</t>
        </is>
      </c>
      <c r="F141" s="32" t="inlineStr">
        <is>
          <t>Labour (Unskilled / Haulage)</t>
        </is>
      </c>
      <c r="G141" s="21" t="inlineStr">
        <is>
          <t>0115</t>
        </is>
      </c>
      <c r="H141" s="76" t="inlineStr">
        <is>
          <t>Coolie</t>
        </is>
      </c>
      <c r="I141" s="86" t="n">
        <v>0.55</v>
      </c>
      <c r="J141" s="50" t="inlineStr">
        <is>
          <t>day</t>
        </is>
      </c>
      <c r="K141" s="51" t="n">
        <v>558</v>
      </c>
      <c r="L141" s="84" t="n">
        <v>306.9</v>
      </c>
      <c r="M141" s="52" t="n">
        <v>6.7</v>
      </c>
      <c r="N141" s="89" t="n">
        <v>18.18181818181818</v>
      </c>
      <c r="O141" s="39" t="inlineStr"/>
      <c r="P141" t="inlineStr">
        <is>
          <t>Foundation &amp; Pipeline Trenching|Hard rock (blasting permitted)|Mechanical (Hydraulic Excavator 0.9 cum)|Rock blasting + Excavator loading|7</t>
        </is>
      </c>
      <c r="Q141" t="n">
        <v>7</v>
      </c>
      <c r="R141" t="n">
        <v>10</v>
      </c>
      <c r="S141" t="inlineStr">
        <is>
          <t>cum</t>
        </is>
      </c>
      <c r="T141" t="n">
        <v>609.65</v>
      </c>
      <c r="U141" t="inlineStr">
        <is>
          <t>Compressor + Jack hammer drilling + Blasting</t>
        </is>
      </c>
      <c r="V141" t="inlineStr">
        <is>
          <t>Excavator bucket loading / disposal</t>
        </is>
      </c>
      <c r="W141" t="inlineStr">
        <is>
          <t>Rock dump</t>
        </is>
      </c>
      <c r="X141" t="inlineStr">
        <is>
          <t>None</t>
        </is>
      </c>
      <c r="Y141" t="inlineStr">
        <is>
          <t>None</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88" t="inlineStr">
        <is>
          <t>Supplying and filling quarry moorum</t>
        </is>
      </c>
    </row>
    <row r="142" ht="22" customHeight="1">
      <c r="A142" s="16" t="inlineStr">
        <is>
          <t>Foundation &amp; Pipeline Trenching</t>
        </is>
      </c>
      <c r="B142" s="76" t="inlineStr">
        <is>
          <t>Hard rock (blasting permitted)</t>
        </is>
      </c>
      <c r="C142" s="76" t="inlineStr">
        <is>
          <t>Mechanical (Hydraulic Excavator 0.9 cum)</t>
        </is>
      </c>
      <c r="D142" s="76" t="inlineStr">
        <is>
          <t>Rock blasting + Excavator loading</t>
        </is>
      </c>
      <c r="E142" s="28" t="inlineStr">
        <is>
          <t>10 cum</t>
        </is>
      </c>
      <c r="F142" s="32" t="inlineStr">
        <is>
          <t>Material &amp; Consumables</t>
        </is>
      </c>
      <c r="G142" s="21" t="inlineStr">
        <is>
          <t>0325</t>
        </is>
      </c>
      <c r="H142" s="76" t="inlineStr">
        <is>
          <t>Blasting powder</t>
        </is>
      </c>
      <c r="I142" s="86" t="n">
        <v>3.93</v>
      </c>
      <c r="J142" s="50" t="inlineStr">
        <is>
          <t>kg</t>
        </is>
      </c>
      <c r="K142" s="51" t="n">
        <v>40</v>
      </c>
      <c r="L142" s="84" t="n">
        <v>157.2</v>
      </c>
      <c r="M142" s="52" t="n">
        <v>3.4</v>
      </c>
      <c r="N142" s="32" t="inlineStr"/>
      <c r="O142" s="39" t="inlineStr"/>
      <c r="P142" t="inlineStr">
        <is>
          <t>Foundation &amp; Pipeline Trenching|Hard rock (blasting permitted)|Mechanical (Hydraulic Excavator 0.9 cum)|Rock blasting + Excavator loading|8</t>
        </is>
      </c>
      <c r="Q142" t="n">
        <v>8</v>
      </c>
      <c r="R142" t="n">
        <v>10</v>
      </c>
      <c r="S142" t="inlineStr">
        <is>
          <t>cum</t>
        </is>
      </c>
      <c r="T142" t="n">
        <v>609.65</v>
      </c>
      <c r="U142" t="inlineStr">
        <is>
          <t>Compressor + Jack hammer drilling + Blasting</t>
        </is>
      </c>
      <c r="V142" t="inlineStr">
        <is>
          <t>Excavator bucket loading / disposal</t>
        </is>
      </c>
      <c r="W142" t="inlineStr">
        <is>
          <t>Rock dump</t>
        </is>
      </c>
      <c r="X142" t="inlineStr">
        <is>
          <t>None</t>
        </is>
      </c>
      <c r="Y142" t="inlineStr">
        <is>
          <t>None</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88" t="inlineStr">
        <is>
          <t>Surface dressing (≤15 cm depth)</t>
        </is>
      </c>
    </row>
    <row r="143" ht="22" customHeight="1">
      <c r="A143" s="16" t="inlineStr">
        <is>
          <t>Foundation &amp; Pipeline Trenching</t>
        </is>
      </c>
      <c r="B143" s="76" t="inlineStr">
        <is>
          <t>Hard rock (blasting permitted)</t>
        </is>
      </c>
      <c r="C143" s="76" t="inlineStr">
        <is>
          <t>Mechanical (Hydraulic Excavator 0.9 cum)</t>
        </is>
      </c>
      <c r="D143" s="76" t="inlineStr">
        <is>
          <t>Rock blasting + Excavator loading</t>
        </is>
      </c>
      <c r="E143" s="28" t="inlineStr">
        <is>
          <t>10 cum</t>
        </is>
      </c>
      <c r="F143" s="32" t="inlineStr">
        <is>
          <t>Material &amp; Consumables</t>
        </is>
      </c>
      <c r="G143" s="21" t="inlineStr">
        <is>
          <t>0326</t>
        </is>
      </c>
      <c r="H143" s="76" t="inlineStr">
        <is>
          <t>Blasting fuse wire</t>
        </is>
      </c>
      <c r="I143" s="86" t="n">
        <v>4</v>
      </c>
      <c r="J143" s="50" t="inlineStr">
        <is>
          <t>each</t>
        </is>
      </c>
      <c r="K143" s="51" t="n">
        <v>15</v>
      </c>
      <c r="L143" s="84" t="n">
        <v>60</v>
      </c>
      <c r="M143" s="52" t="n">
        <v>1.3</v>
      </c>
      <c r="N143" s="32" t="inlineStr"/>
      <c r="O143" s="39" t="inlineStr"/>
      <c r="P143" t="inlineStr">
        <is>
          <t>Foundation &amp; Pipeline Trenching|Hard rock (blasting permitted)|Mechanical (Hydraulic Excavator 0.9 cum)|Rock blasting + Excavator loading|9</t>
        </is>
      </c>
      <c r="Q143" t="n">
        <v>9</v>
      </c>
      <c r="R143" t="n">
        <v>10</v>
      </c>
      <c r="S143" t="inlineStr">
        <is>
          <t>cum</t>
        </is>
      </c>
      <c r="T143" t="n">
        <v>609.65</v>
      </c>
      <c r="U143" t="inlineStr">
        <is>
          <t>Compressor + Jack hammer drilling + Blasting</t>
        </is>
      </c>
      <c r="V143" t="inlineStr">
        <is>
          <t>Excavator bucket loading / disposal</t>
        </is>
      </c>
      <c r="W143" t="inlineStr">
        <is>
          <t>Rock dump</t>
        </is>
      </c>
      <c r="X143" t="inlineStr">
        <is>
          <t>None</t>
        </is>
      </c>
      <c r="Y143" t="inlineStr">
        <is>
          <t>None</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88" t="inlineStr">
        <is>
          <t>Treatment at junction of wall &amp; floor</t>
        </is>
      </c>
    </row>
    <row r="144" ht="22" customHeight="1">
      <c r="A144" s="16" t="inlineStr">
        <is>
          <t>Foundation &amp; Pipeline Trenching</t>
        </is>
      </c>
      <c r="B144" s="76" t="inlineStr">
        <is>
          <t>Hard rock (blasting permitted)</t>
        </is>
      </c>
      <c r="C144" s="76" t="inlineStr">
        <is>
          <t>Mechanical (Hydraulic Excavator 0.9 cum)</t>
        </is>
      </c>
      <c r="D144" s="76" t="inlineStr">
        <is>
          <t>Rock blasting + Excavator loading</t>
        </is>
      </c>
      <c r="E144" s="28" t="inlineStr">
        <is>
          <t>10 cum</t>
        </is>
      </c>
      <c r="F144" s="32" t="inlineStr">
        <is>
          <t>Sundries &amp; Allowances</t>
        </is>
      </c>
      <c r="G144" s="21" t="inlineStr">
        <is>
          <t>9999</t>
        </is>
      </c>
      <c r="H144" s="76" t="inlineStr">
        <is>
          <t>Sundries</t>
        </is>
      </c>
      <c r="I144" s="86" t="n">
        <v>16.12</v>
      </c>
      <c r="J144" s="50" t="inlineStr">
        <is>
          <t>L.S.</t>
        </is>
      </c>
      <c r="K144" s="51" t="n">
        <v>2</v>
      </c>
      <c r="L144" s="84" t="n">
        <v>32.24</v>
      </c>
      <c r="M144" s="52" t="n">
        <v>0.7</v>
      </c>
      <c r="N144" s="32" t="inlineStr"/>
      <c r="O144" s="39" t="inlineStr"/>
      <c r="P144" t="inlineStr">
        <is>
          <t>Foundation &amp; Pipeline Trenching|Hard rock (blasting permitted)|Mechanical (Hydraulic Excavator 0.9 cum)|Rock blasting + Excavator loading|10</t>
        </is>
      </c>
      <c r="Q144" t="n">
        <v>10</v>
      </c>
      <c r="R144" t="n">
        <v>10</v>
      </c>
      <c r="S144" t="inlineStr">
        <is>
          <t>cum</t>
        </is>
      </c>
      <c r="T144" t="n">
        <v>609.65</v>
      </c>
      <c r="U144" t="inlineStr">
        <is>
          <t>Compressor + Jack hammer drilling + Blasting</t>
        </is>
      </c>
      <c r="V144" t="inlineStr">
        <is>
          <t>Excavator bucket loading / disposal</t>
        </is>
      </c>
      <c r="W144" t="inlineStr">
        <is>
          <t>Rock dump</t>
        </is>
      </c>
      <c r="X144" t="inlineStr">
        <is>
          <t>None</t>
        </is>
      </c>
      <c r="Y144" t="inlineStr">
        <is>
          <t>None</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88" t="inlineStr">
        <is>
          <t>Treatment to backfill earth in contact with walls</t>
        </is>
      </c>
    </row>
    <row r="145" ht="22" customHeight="1">
      <c r="A145" s="16" t="inlineStr">
        <is>
          <t>Foundation &amp; Pipeline Trenching</t>
        </is>
      </c>
      <c r="B145" s="76" t="inlineStr">
        <is>
          <t>Hard rock (blasting prohibited)</t>
        </is>
      </c>
      <c r="C145" s="76" t="inlineStr">
        <is>
          <t>Mechanical (Hydraulic Excavator 0.9 cum)</t>
        </is>
      </c>
      <c r="D145" s="76" t="inlineStr">
        <is>
          <t>Rock breaker / Chiselling (no blasting)</t>
        </is>
      </c>
      <c r="E145" s="28" t="inlineStr">
        <is>
          <t>10 cum</t>
        </is>
      </c>
      <c r="F145" s="32" t="inlineStr">
        <is>
          <t>Plant &amp; Machinery</t>
        </is>
      </c>
      <c r="G145" s="21" t="inlineStr">
        <is>
          <t>0020</t>
        </is>
      </c>
      <c r="H145" s="76" t="inlineStr">
        <is>
          <t>Hydraulic Excavator (3D) incl driver+fuel</t>
        </is>
      </c>
      <c r="I145" s="86" t="n">
        <v>0.125</v>
      </c>
      <c r="J145" s="50" t="inlineStr">
        <is>
          <t>day</t>
        </is>
      </c>
      <c r="K145" s="51" t="n">
        <v>7000</v>
      </c>
      <c r="L145" s="84" t="n">
        <v>875</v>
      </c>
      <c r="M145" s="52" t="n">
        <v>11.5</v>
      </c>
      <c r="N145" s="89" t="n">
        <v>80</v>
      </c>
      <c r="O145" s="39" t="inlineStr"/>
      <c r="P145" t="inlineStr">
        <is>
          <t>Foundation &amp; Pipeline Trenching|Hard rock (blasting prohibited)|Mechanical (Hydraulic Excavator 0.9 cum)|Rock breaker / Chiselling (no blasting)|1</t>
        </is>
      </c>
      <c r="Q145" t="n">
        <v>1</v>
      </c>
      <c r="R145" t="n">
        <v>10</v>
      </c>
      <c r="S145" t="inlineStr">
        <is>
          <t>cum</t>
        </is>
      </c>
      <c r="T145" t="n">
        <v>1016.2</v>
      </c>
      <c r="U145" t="inlineStr">
        <is>
          <t>Pneumatic breaker / hydraulic chiselling</t>
        </is>
      </c>
      <c r="V145" t="inlineStr">
        <is>
          <t>Excavator bucket loading / disposal</t>
        </is>
      </c>
      <c r="W145" t="inlineStr">
        <is>
          <t>Rock dump</t>
        </is>
      </c>
      <c r="X145" t="inlineStr">
        <is>
          <t>None</t>
        </is>
      </c>
      <c r="Y145" t="inlineStr">
        <is>
          <t>None</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88" t="inlineStr">
        <is>
          <t>Treatment to bottom &amp; sides of foundation trenches</t>
        </is>
      </c>
    </row>
    <row r="146" ht="22" customHeight="1">
      <c r="A146" s="16" t="inlineStr">
        <is>
          <t>Foundation &amp; Pipeline Trenching</t>
        </is>
      </c>
      <c r="B146" s="76" t="inlineStr">
        <is>
          <t>Hard rock (blasting prohibited)</t>
        </is>
      </c>
      <c r="C146" s="76" t="inlineStr">
        <is>
          <t>Mechanical (Hydraulic Excavator 0.9 cum)</t>
        </is>
      </c>
      <c r="D146" s="76" t="inlineStr">
        <is>
          <t>Rock breaker / Chiselling (no blasting)</t>
        </is>
      </c>
      <c r="E146" s="28" t="inlineStr">
        <is>
          <t>10 cum</t>
        </is>
      </c>
      <c r="F146" s="32" t="inlineStr">
        <is>
          <t>Plant &amp; Machinery</t>
        </is>
      </c>
      <c r="G146" s="21" t="inlineStr">
        <is>
          <t>0017</t>
        </is>
      </c>
      <c r="H146" s="76" t="inlineStr">
        <is>
          <t>Hire – Tipper</t>
        </is>
      </c>
      <c r="I146" s="86" t="n">
        <v>0.125</v>
      </c>
      <c r="J146" s="50" t="inlineStr">
        <is>
          <t>day</t>
        </is>
      </c>
      <c r="K146" s="51" t="n">
        <v>1700</v>
      </c>
      <c r="L146" s="84" t="n">
        <v>212.5</v>
      </c>
      <c r="M146" s="52" t="n">
        <v>2.8</v>
      </c>
      <c r="N146" s="89" t="n">
        <v>80</v>
      </c>
      <c r="O146" s="39" t="inlineStr"/>
      <c r="P146" t="inlineStr">
        <is>
          <t>Foundation &amp; Pipeline Trenching|Hard rock (blasting prohibited)|Mechanical (Hydraulic Excavator 0.9 cum)|Rock breaker / Chiselling (no blasting)|2</t>
        </is>
      </c>
      <c r="Q146" t="n">
        <v>2</v>
      </c>
      <c r="R146" t="n">
        <v>10</v>
      </c>
      <c r="S146" t="inlineStr">
        <is>
          <t>cum</t>
        </is>
      </c>
      <c r="T146" t="n">
        <v>1016.2</v>
      </c>
      <c r="U146" t="inlineStr">
        <is>
          <t>Pneumatic breaker / hydraulic chiselling</t>
        </is>
      </c>
      <c r="V146" t="inlineStr">
        <is>
          <t>Excavator bucket loading / disposal</t>
        </is>
      </c>
      <c r="W146" t="inlineStr">
        <is>
          <t>Rock dump</t>
        </is>
      </c>
      <c r="X146" t="inlineStr">
        <is>
          <t>None</t>
        </is>
      </c>
      <c r="Y146" t="inlineStr">
        <is>
          <t>None</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88" t="inlineStr">
        <is>
          <t>Treatment to subgrade under floors</t>
        </is>
      </c>
    </row>
    <row r="147" ht="22" customHeight="1">
      <c r="A147" s="16" t="inlineStr">
        <is>
          <t>Foundation &amp; Pipeline Trenching</t>
        </is>
      </c>
      <c r="B147" s="76" t="inlineStr">
        <is>
          <t>Hard rock (blasting prohibited)</t>
        </is>
      </c>
      <c r="C147" s="76" t="inlineStr">
        <is>
          <t>Mechanical (Hydraulic Excavator 0.9 cum)</t>
        </is>
      </c>
      <c r="D147" s="76" t="inlineStr">
        <is>
          <t>Rock breaker / Chiselling (no blasting)</t>
        </is>
      </c>
      <c r="E147" s="28" t="inlineStr">
        <is>
          <t>10 cum</t>
        </is>
      </c>
      <c r="F147" s="32" t="inlineStr">
        <is>
          <t>Sundries &amp; Allowances</t>
        </is>
      </c>
      <c r="G147" s="21" t="inlineStr">
        <is>
          <t>0132</t>
        </is>
      </c>
      <c r="H147" s="76" t="inlineStr">
        <is>
          <t>Rock Excavator</t>
        </is>
      </c>
      <c r="I147" s="86" t="n">
        <v>2.47</v>
      </c>
      <c r="J147" s="50" t="inlineStr">
        <is>
          <t>day</t>
        </is>
      </c>
      <c r="K147" s="51" t="n">
        <v>558</v>
      </c>
      <c r="L147" s="84" t="n">
        <v>1378.26</v>
      </c>
      <c r="M147" s="52" t="n">
        <v>18.1</v>
      </c>
      <c r="N147" s="89" t="n">
        <v>4.048582995951417</v>
      </c>
      <c r="O147" s="39" t="inlineStr"/>
      <c r="P147" t="inlineStr">
        <is>
          <t>Foundation &amp; Pipeline Trenching|Hard rock (blasting prohibited)|Mechanical (Hydraulic Excavator 0.9 cum)|Rock breaker / Chiselling (no blasting)|3</t>
        </is>
      </c>
      <c r="Q147" t="n">
        <v>3</v>
      </c>
      <c r="R147" t="n">
        <v>10</v>
      </c>
      <c r="S147" t="inlineStr">
        <is>
          <t>cum</t>
        </is>
      </c>
      <c r="T147" t="n">
        <v>1016.2</v>
      </c>
      <c r="U147" t="inlineStr">
        <is>
          <t>Pneumatic breaker / hydraulic chiselling</t>
        </is>
      </c>
      <c r="V147" t="inlineStr">
        <is>
          <t>Excavator bucket loading / disposal</t>
        </is>
      </c>
      <c r="W147" t="inlineStr">
        <is>
          <t>Rock dump</t>
        </is>
      </c>
      <c r="X147" t="inlineStr">
        <is>
          <t>None</t>
        </is>
      </c>
      <c r="Y147" t="inlineStr">
        <is>
          <t>None</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88" t="inlineStr">
        <is>
          <t>Tree felling girth 120-240 cm girth (cutting &amp; grubbing roots)</t>
        </is>
      </c>
    </row>
    <row r="148" ht="22" customHeight="1">
      <c r="A148" s="16" t="inlineStr">
        <is>
          <t>Foundation &amp; Pipeline Trenching</t>
        </is>
      </c>
      <c r="B148" s="76" t="inlineStr">
        <is>
          <t>Hard rock (blasting prohibited)</t>
        </is>
      </c>
      <c r="C148" s="76" t="inlineStr">
        <is>
          <t>Mechanical (Hydraulic Excavator 0.9 cum)</t>
        </is>
      </c>
      <c r="D148" s="76" t="inlineStr">
        <is>
          <t>Rock breaker / Chiselling (no blasting)</t>
        </is>
      </c>
      <c r="E148" s="28" t="inlineStr">
        <is>
          <t>10 cum</t>
        </is>
      </c>
      <c r="F148" s="32" t="inlineStr">
        <is>
          <t>Sundries &amp; Allowances</t>
        </is>
      </c>
      <c r="G148" s="21" t="inlineStr">
        <is>
          <t>0133</t>
        </is>
      </c>
      <c r="H148" s="76" t="inlineStr">
        <is>
          <t>Rock Breaker</t>
        </is>
      </c>
      <c r="I148" s="86" t="n">
        <v>6</v>
      </c>
      <c r="J148" s="50" t="inlineStr">
        <is>
          <t>day</t>
        </is>
      </c>
      <c r="K148" s="51" t="n">
        <v>558</v>
      </c>
      <c r="L148" s="84" t="n">
        <v>3348</v>
      </c>
      <c r="M148" s="52" t="n">
        <v>44.1</v>
      </c>
      <c r="N148" s="89" t="n">
        <v>1.666666666666667</v>
      </c>
      <c r="O148" s="39" t="inlineStr"/>
      <c r="P148" t="inlineStr">
        <is>
          <t>Foundation &amp; Pipeline Trenching|Hard rock (blasting prohibited)|Mechanical (Hydraulic Excavator 0.9 cum)|Rock breaker / Chiselling (no blasting)|4</t>
        </is>
      </c>
      <c r="Q148" t="n">
        <v>4</v>
      </c>
      <c r="R148" t="n">
        <v>10</v>
      </c>
      <c r="S148" t="inlineStr">
        <is>
          <t>cum</t>
        </is>
      </c>
      <c r="T148" t="n">
        <v>1016.2</v>
      </c>
      <c r="U148" t="inlineStr">
        <is>
          <t>Pneumatic breaker / hydraulic chiselling</t>
        </is>
      </c>
      <c r="V148" t="inlineStr">
        <is>
          <t>Excavator bucket loading / disposal</t>
        </is>
      </c>
      <c r="W148" t="inlineStr">
        <is>
          <t>Rock dump</t>
        </is>
      </c>
      <c r="X148" t="inlineStr">
        <is>
          <t>None</t>
        </is>
      </c>
      <c r="Y148" t="inlineStr">
        <is>
          <t>None</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88" t="inlineStr">
        <is>
          <t>Tree felling girth 30-60 cm girth (cutting &amp; grubbing roots)</t>
        </is>
      </c>
    </row>
    <row r="149" ht="22" customHeight="1">
      <c r="A149" s="16" t="inlineStr">
        <is>
          <t>Foundation &amp; Pipeline Trenching</t>
        </is>
      </c>
      <c r="B149" s="76" t="inlineStr">
        <is>
          <t>Hard rock (blasting prohibited)</t>
        </is>
      </c>
      <c r="C149" s="76" t="inlineStr">
        <is>
          <t>Mechanical (Hydraulic Excavator 0.9 cum)</t>
        </is>
      </c>
      <c r="D149" s="76" t="inlineStr">
        <is>
          <t>Rock breaker / Chiselling (no blasting)</t>
        </is>
      </c>
      <c r="E149" s="28" t="inlineStr">
        <is>
          <t>10 cum</t>
        </is>
      </c>
      <c r="F149" s="32" t="inlineStr">
        <is>
          <t>Sundries &amp; Allowances</t>
        </is>
      </c>
      <c r="G149" s="21" t="inlineStr">
        <is>
          <t>0135</t>
        </is>
      </c>
      <c r="H149" s="76" t="inlineStr">
        <is>
          <t>Stone Chiseller</t>
        </is>
      </c>
      <c r="I149" s="86" t="n">
        <v>1.06</v>
      </c>
      <c r="J149" s="50" t="inlineStr">
        <is>
          <t>day</t>
        </is>
      </c>
      <c r="K149" s="51" t="n">
        <v>617</v>
      </c>
      <c r="L149" s="84" t="n">
        <v>654.02</v>
      </c>
      <c r="M149" s="52" t="n">
        <v>8.6</v>
      </c>
      <c r="N149" s="89" t="n">
        <v>9.433962264150942</v>
      </c>
      <c r="O149" s="39" t="inlineStr"/>
      <c r="P149" t="inlineStr">
        <is>
          <t>Foundation &amp; Pipeline Trenching|Hard rock (blasting prohibited)|Mechanical (Hydraulic Excavator 0.9 cum)|Rock breaker / Chiselling (no blasting)|5</t>
        </is>
      </c>
      <c r="Q149" t="n">
        <v>5</v>
      </c>
      <c r="R149" t="n">
        <v>10</v>
      </c>
      <c r="S149" t="inlineStr">
        <is>
          <t>cum</t>
        </is>
      </c>
      <c r="T149" t="n">
        <v>1016.2</v>
      </c>
      <c r="U149" t="inlineStr">
        <is>
          <t>Pneumatic breaker / hydraulic chiselling</t>
        </is>
      </c>
      <c r="V149" t="inlineStr">
        <is>
          <t>Excavator bucket loading / disposal</t>
        </is>
      </c>
      <c r="W149" t="inlineStr">
        <is>
          <t>Rock dump</t>
        </is>
      </c>
      <c r="X149" t="inlineStr">
        <is>
          <t>None</t>
        </is>
      </c>
      <c r="Y149" t="inlineStr">
        <is>
          <t>None</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88" t="inlineStr">
        <is>
          <t>Tree felling girth 60-120 cm girth (cutting &amp; grubbing roots)</t>
        </is>
      </c>
    </row>
    <row r="150" ht="22" customHeight="1">
      <c r="A150" s="16" t="inlineStr">
        <is>
          <t>Foundation &amp; Pipeline Trenching</t>
        </is>
      </c>
      <c r="B150" s="76" t="inlineStr">
        <is>
          <t>Hard rock (blasting prohibited)</t>
        </is>
      </c>
      <c r="C150" s="76" t="inlineStr">
        <is>
          <t>Mechanical (Hydraulic Excavator 0.9 cum)</t>
        </is>
      </c>
      <c r="D150" s="76" t="inlineStr">
        <is>
          <t>Rock breaker / Chiselling (no blasting)</t>
        </is>
      </c>
      <c r="E150" s="28" t="inlineStr">
        <is>
          <t>10 cum</t>
        </is>
      </c>
      <c r="F150" s="32" t="inlineStr">
        <is>
          <t>Sundries &amp; Allowances</t>
        </is>
      </c>
      <c r="G150" s="21" t="inlineStr">
        <is>
          <t>0103</t>
        </is>
      </c>
      <c r="H150" s="76" t="inlineStr">
        <is>
          <t>Blacksmith 2nd class</t>
        </is>
      </c>
      <c r="I150" s="86" t="n">
        <v>0.175</v>
      </c>
      <c r="J150" s="50" t="inlineStr">
        <is>
          <t>day</t>
        </is>
      </c>
      <c r="K150" s="51" t="n">
        <v>679</v>
      </c>
      <c r="L150" s="84" t="n">
        <v>118.82</v>
      </c>
      <c r="M150" s="52" t="n">
        <v>1.6</v>
      </c>
      <c r="N150" s="89" t="n">
        <v>57.14285714285715</v>
      </c>
      <c r="O150" s="39" t="inlineStr"/>
      <c r="P150" t="inlineStr">
        <is>
          <t>Foundation &amp; Pipeline Trenching|Hard rock (blasting prohibited)|Mechanical (Hydraulic Excavator 0.9 cum)|Rock breaker / Chiselling (no blasting)|6</t>
        </is>
      </c>
      <c r="Q150" t="n">
        <v>6</v>
      </c>
      <c r="R150" t="n">
        <v>10</v>
      </c>
      <c r="S150" t="inlineStr">
        <is>
          <t>cum</t>
        </is>
      </c>
      <c r="T150" t="n">
        <v>1016.2</v>
      </c>
      <c r="U150" t="inlineStr">
        <is>
          <t>Pneumatic breaker / hydraulic chiselling</t>
        </is>
      </c>
      <c r="V150" t="inlineStr">
        <is>
          <t>Excavator bucket loading / disposal</t>
        </is>
      </c>
      <c r="W150" t="inlineStr">
        <is>
          <t>Rock dump</t>
        </is>
      </c>
      <c r="X150" t="inlineStr">
        <is>
          <t>None</t>
        </is>
      </c>
      <c r="Y150" t="inlineStr">
        <is>
          <t>None</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88" t="inlineStr">
        <is>
          <t>Tree felling girth above 240 cm girth (cutting &amp; grubbing roots)</t>
        </is>
      </c>
    </row>
    <row r="151" ht="22" customHeight="1">
      <c r="A151" s="16" t="inlineStr">
        <is>
          <t>Foundation &amp; Pipeline Trenching</t>
        </is>
      </c>
      <c r="B151" s="76" t="inlineStr">
        <is>
          <t>Hard rock (blasting prohibited)</t>
        </is>
      </c>
      <c r="C151" s="76" t="inlineStr">
        <is>
          <t>Mechanical (Hydraulic Excavator 0.9 cum)</t>
        </is>
      </c>
      <c r="D151" s="76" t="inlineStr">
        <is>
          <t>Rock breaker / Chiselling (no blasting)</t>
        </is>
      </c>
      <c r="E151" s="28" t="inlineStr">
        <is>
          <t>10 cum</t>
        </is>
      </c>
      <c r="F151" s="32" t="inlineStr">
        <is>
          <t>Labour (Semi-Skilled / Operational)</t>
        </is>
      </c>
      <c r="G151" s="21" t="inlineStr">
        <is>
          <t>0114</t>
        </is>
      </c>
      <c r="H151" s="76" t="inlineStr">
        <is>
          <t>Beldar</t>
        </is>
      </c>
      <c r="I151" s="86" t="n">
        <v>0.75</v>
      </c>
      <c r="J151" s="50" t="inlineStr">
        <is>
          <t>day</t>
        </is>
      </c>
      <c r="K151" s="51" t="n">
        <v>558</v>
      </c>
      <c r="L151" s="84" t="n">
        <v>418.5</v>
      </c>
      <c r="M151" s="52" t="n">
        <v>5.5</v>
      </c>
      <c r="N151" s="89" t="n">
        <v>13.33333333333333</v>
      </c>
      <c r="O151" s="39" t="inlineStr"/>
      <c r="P151" t="inlineStr">
        <is>
          <t>Foundation &amp; Pipeline Trenching|Hard rock (blasting prohibited)|Mechanical (Hydraulic Excavator 0.9 cum)|Rock breaker / Chiselling (no blasting)|7</t>
        </is>
      </c>
      <c r="Q151" t="n">
        <v>7</v>
      </c>
      <c r="R151" t="n">
        <v>10</v>
      </c>
      <c r="S151" t="inlineStr">
        <is>
          <t>cum</t>
        </is>
      </c>
      <c r="T151" t="n">
        <v>1016.2</v>
      </c>
      <c r="U151" t="inlineStr">
        <is>
          <t>Pneumatic breaker / hydraulic chiselling</t>
        </is>
      </c>
      <c r="V151" t="inlineStr">
        <is>
          <t>Excavator bucket loading / disposal</t>
        </is>
      </c>
      <c r="W151" t="inlineStr">
        <is>
          <t>Rock dump</t>
        </is>
      </c>
      <c r="X151" t="inlineStr">
        <is>
          <t>None</t>
        </is>
      </c>
      <c r="Y151" t="inlineStr">
        <is>
          <t>None</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c r="A152" s="16" t="inlineStr">
        <is>
          <t>Foundation &amp; Pipeline Trenching</t>
        </is>
      </c>
      <c r="B152" s="76" t="inlineStr">
        <is>
          <t>Hard rock (blasting prohibited)</t>
        </is>
      </c>
      <c r="C152" s="76" t="inlineStr">
        <is>
          <t>Mechanical (Hydraulic Excavator 0.9 cum)</t>
        </is>
      </c>
      <c r="D152" s="76" t="inlineStr">
        <is>
          <t>Rock breaker / Chiselling (no blasting)</t>
        </is>
      </c>
      <c r="E152" s="28" t="inlineStr">
        <is>
          <t>10 cum</t>
        </is>
      </c>
      <c r="F152" s="32" t="inlineStr">
        <is>
          <t>Labour (Unskilled / Haulage)</t>
        </is>
      </c>
      <c r="G152" s="21" t="inlineStr">
        <is>
          <t>0115</t>
        </is>
      </c>
      <c r="H152" s="76" t="inlineStr">
        <is>
          <t>Coolie</t>
        </is>
      </c>
      <c r="I152" s="86" t="n">
        <v>1</v>
      </c>
      <c r="J152" s="50" t="inlineStr">
        <is>
          <t>day</t>
        </is>
      </c>
      <c r="K152" s="51" t="n">
        <v>558</v>
      </c>
      <c r="L152" s="84" t="n">
        <v>558</v>
      </c>
      <c r="M152" s="52" t="n">
        <v>7.3</v>
      </c>
      <c r="N152" s="89" t="n">
        <v>10</v>
      </c>
      <c r="O152" s="39" t="inlineStr"/>
      <c r="P152" t="inlineStr">
        <is>
          <t>Foundation &amp; Pipeline Trenching|Hard rock (blasting prohibited)|Mechanical (Hydraulic Excavator 0.9 cum)|Rock breaker / Chiselling (no blasting)|8</t>
        </is>
      </c>
      <c r="Q152" t="n">
        <v>8</v>
      </c>
      <c r="R152" t="n">
        <v>10</v>
      </c>
      <c r="S152" t="inlineStr">
        <is>
          <t>cum</t>
        </is>
      </c>
      <c r="T152" t="n">
        <v>1016.2</v>
      </c>
      <c r="U152" t="inlineStr">
        <is>
          <t>Pneumatic breaker / hydraulic chiselling</t>
        </is>
      </c>
      <c r="V152" t="inlineStr">
        <is>
          <t>Excavator bucket loading / disposal</t>
        </is>
      </c>
      <c r="W152" t="inlineStr">
        <is>
          <t>Rock dump</t>
        </is>
      </c>
      <c r="X152" t="inlineStr">
        <is>
          <t>None</t>
        </is>
      </c>
      <c r="Y152" t="inlineStr">
        <is>
          <t>None</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c r="A153" s="16" t="inlineStr">
        <is>
          <t>Foundation &amp; Pipeline Trenching</t>
        </is>
      </c>
      <c r="B153" s="76" t="inlineStr">
        <is>
          <t>Hard rock (blasting prohibited)</t>
        </is>
      </c>
      <c r="C153" s="76" t="inlineStr">
        <is>
          <t>Mechanical (Hydraulic Excavator 0.9 cum)</t>
        </is>
      </c>
      <c r="D153" s="76" t="inlineStr">
        <is>
          <t>Rock breaker / Chiselling (no blasting)</t>
        </is>
      </c>
      <c r="E153" s="28" t="inlineStr">
        <is>
          <t>10 cum</t>
        </is>
      </c>
      <c r="F153" s="32" t="inlineStr">
        <is>
          <t>Sundries &amp; Allowances</t>
        </is>
      </c>
      <c r="G153" s="21" t="inlineStr">
        <is>
          <t>9999</t>
        </is>
      </c>
      <c r="H153" s="76" t="inlineStr">
        <is>
          <t>Sundries</t>
        </is>
      </c>
      <c r="I153" s="86" t="n">
        <v>16.12</v>
      </c>
      <c r="J153" s="50" t="inlineStr">
        <is>
          <t>L.S.</t>
        </is>
      </c>
      <c r="K153" s="51" t="n">
        <v>2</v>
      </c>
      <c r="L153" s="84" t="n">
        <v>32.24</v>
      </c>
      <c r="M153" s="52" t="n">
        <v>0.4</v>
      </c>
      <c r="N153" s="32" t="inlineStr"/>
      <c r="O153" s="39" t="inlineStr"/>
      <c r="P153" t="inlineStr">
        <is>
          <t>Foundation &amp; Pipeline Trenching|Hard rock (blasting prohibited)|Mechanical (Hydraulic Excavator 0.9 cum)|Rock breaker / Chiselling (no blasting)|9</t>
        </is>
      </c>
      <c r="Q153" t="n">
        <v>9</v>
      </c>
      <c r="R153" t="n">
        <v>10</v>
      </c>
      <c r="S153" t="inlineStr">
        <is>
          <t>cum</t>
        </is>
      </c>
      <c r="T153" t="n">
        <v>1016.2</v>
      </c>
      <c r="U153" t="inlineStr">
        <is>
          <t>Pneumatic breaker / hydraulic chiselling</t>
        </is>
      </c>
      <c r="V153" t="inlineStr">
        <is>
          <t>Excavator bucket loading / disposal</t>
        </is>
      </c>
      <c r="W153" t="inlineStr">
        <is>
          <t>Rock dump</t>
        </is>
      </c>
      <c r="X153" t="inlineStr">
        <is>
          <t>None</t>
        </is>
      </c>
      <c r="Y153" t="inlineStr">
        <is>
          <t>None</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c r="A154" s="16" t="inlineStr">
        <is>
          <t>Foundation &amp; Pipeline Trenching</t>
        </is>
      </c>
      <c r="B154" s="76" t="inlineStr">
        <is>
          <t>All kinds of soil</t>
        </is>
      </c>
      <c r="C154" s="76" t="inlineStr">
        <is>
          <t>Manual labor (depth ≤1.5m)</t>
        </is>
      </c>
      <c r="D154" s="76" t="inlineStr">
        <is>
          <t>Foundation trenches &amp; drain trenches</t>
        </is>
      </c>
      <c r="E154" s="28" t="inlineStr">
        <is>
          <t>10 cum</t>
        </is>
      </c>
      <c r="F154" s="32" t="inlineStr">
        <is>
          <t>Plant &amp; Machinery</t>
        </is>
      </c>
      <c r="G154" s="21" t="inlineStr">
        <is>
          <t>0020</t>
        </is>
      </c>
      <c r="H154" s="76" t="inlineStr">
        <is>
          <t>Hydraulic Excavator (3D) incl driver+fuel</t>
        </is>
      </c>
      <c r="I154" s="86" t="n">
        <v>0.04125</v>
      </c>
      <c r="J154" s="50" t="inlineStr">
        <is>
          <t>day</t>
        </is>
      </c>
      <c r="K154" s="51" t="n">
        <v>7000</v>
      </c>
      <c r="L154" s="84" t="n">
        <v>288.75</v>
      </c>
      <c r="M154" s="52" t="n">
        <v>15.3</v>
      </c>
      <c r="N154" s="89" t="n">
        <v>242.4242424242424</v>
      </c>
      <c r="O154" s="39" t="inlineStr">
        <is>
          <t>2 men × 7.60 h = 15.20 man-hrs ÷ 8 = 1.90 bd. Manual foundation trench digging: 5.263 cum/8-hr day (0.658 cum/hr).</t>
        </is>
      </c>
      <c r="P154" t="inlineStr">
        <is>
          <t>Foundation &amp; Pipeline Trenching|All kinds of soil|Manual labor (depth ≤1.5m)|Foundation trenches &amp; drain trenches|1</t>
        </is>
      </c>
      <c r="Q154" t="n">
        <v>1</v>
      </c>
      <c r="R154" t="n">
        <v>10</v>
      </c>
      <c r="S154" t="inlineStr">
        <is>
          <t>cum</t>
        </is>
      </c>
      <c r="T154" t="n">
        <v>252.3</v>
      </c>
      <c r="U154" t="inlineStr">
        <is>
          <t>Pickaxe Beldar / crowbar</t>
        </is>
      </c>
      <c r="V154" t="inlineStr">
        <is>
          <t>Basket Coolie (50m lead / 1.5m lift)</t>
        </is>
      </c>
      <c r="W154" t="inlineStr">
        <is>
          <t>Trench bank disposal</t>
        </is>
      </c>
      <c r="X154" t="inlineStr">
        <is>
          <t>None</t>
        </is>
      </c>
      <c r="Y154" t="inlineStr">
        <is>
          <t>None</t>
        </is>
      </c>
    </row>
    <row r="155" ht="22" customHeight="1">
      <c r="A155" s="16" t="inlineStr">
        <is>
          <t>Foundation &amp; Pipeline Trenching</t>
        </is>
      </c>
      <c r="B155" s="76" t="inlineStr">
        <is>
          <t>All kinds of soil</t>
        </is>
      </c>
      <c r="C155" s="76" t="inlineStr">
        <is>
          <t>Manual labor (depth ≤1.5m)</t>
        </is>
      </c>
      <c r="D155" s="76" t="inlineStr">
        <is>
          <t>Foundation trenches &amp; drain trenches</t>
        </is>
      </c>
      <c r="E155" s="28" t="inlineStr">
        <is>
          <t>10 cum</t>
        </is>
      </c>
      <c r="F155" s="32" t="inlineStr">
        <is>
          <t>Plant &amp; Machinery</t>
        </is>
      </c>
      <c r="G155" s="21" t="inlineStr">
        <is>
          <t>0018</t>
        </is>
      </c>
      <c r="H155" s="76" t="inlineStr">
        <is>
          <t>Hire – Loader</t>
        </is>
      </c>
      <c r="I155" s="86" t="n">
        <v>0.04125</v>
      </c>
      <c r="J155" s="50" t="inlineStr">
        <is>
          <t>day</t>
        </is>
      </c>
      <c r="K155" s="51" t="n">
        <v>5000</v>
      </c>
      <c r="L155" s="84" t="n">
        <v>206.25</v>
      </c>
      <c r="M155" s="52" t="n">
        <v>10.9</v>
      </c>
      <c r="N155" s="89" t="n">
        <v>242.4242424242424</v>
      </c>
      <c r="O155" s="39" t="inlineStr">
        <is>
          <t>2 men × 5.60 h = 11.20 man-hrs ÷ 8 = 1.40 cd. Lifting soil 1.5m and clearing 1m back: 7.143 cum/8-hr day (0.893 cum/hr).</t>
        </is>
      </c>
      <c r="P155" t="inlineStr">
        <is>
          <t>Foundation &amp; Pipeline Trenching|All kinds of soil|Manual labor (depth ≤1.5m)|Foundation trenches &amp; drain trenches|2</t>
        </is>
      </c>
      <c r="Q155" t="n">
        <v>2</v>
      </c>
      <c r="R155" t="n">
        <v>10</v>
      </c>
      <c r="S155" t="inlineStr">
        <is>
          <t>cum</t>
        </is>
      </c>
      <c r="T155" t="n">
        <v>252.3</v>
      </c>
      <c r="U155" t="inlineStr">
        <is>
          <t>Pickaxe Beldar / crowbar</t>
        </is>
      </c>
      <c r="V155" t="inlineStr">
        <is>
          <t>Basket Coolie (50m lead / 1.5m lift)</t>
        </is>
      </c>
      <c r="W155" t="inlineStr">
        <is>
          <t>Trench bank disposal</t>
        </is>
      </c>
      <c r="X155" t="inlineStr">
        <is>
          <t>None</t>
        </is>
      </c>
      <c r="Y155" t="inlineStr">
        <is>
          <t>None</t>
        </is>
      </c>
    </row>
    <row r="156" ht="22" customHeight="1">
      <c r="A156" s="16" t="inlineStr">
        <is>
          <t>Foundation &amp; Pipeline Trenching</t>
        </is>
      </c>
      <c r="B156" s="76" t="inlineStr">
        <is>
          <t>All kinds of soil</t>
        </is>
      </c>
      <c r="C156" s="76" t="inlineStr">
        <is>
          <t>Manual labor (depth ≤1.5m)</t>
        </is>
      </c>
      <c r="D156" s="76" t="inlineStr">
        <is>
          <t>Foundation trenches &amp; drain trenches</t>
        </is>
      </c>
      <c r="E156" s="28" t="inlineStr">
        <is>
          <t>10 cum</t>
        </is>
      </c>
      <c r="F156" s="32" t="inlineStr">
        <is>
          <t>Labour (Supervisory / Mate)</t>
        </is>
      </c>
      <c r="G156" s="21" t="inlineStr">
        <is>
          <t>0128</t>
        </is>
      </c>
      <c r="H156" s="76" t="inlineStr">
        <is>
          <t>Mate</t>
        </is>
      </c>
      <c r="I156" s="86" t="n">
        <v>0.4</v>
      </c>
      <c r="J156" s="50" t="inlineStr">
        <is>
          <t>day</t>
        </is>
      </c>
      <c r="K156" s="51" t="n">
        <v>617</v>
      </c>
      <c r="L156" s="84" t="n">
        <v>246.8</v>
      </c>
      <c r="M156" s="52" t="n">
        <v>13.1</v>
      </c>
      <c r="N156" s="89" t="n">
        <v>25</v>
      </c>
      <c r="O156" s="39" t="inlineStr">
        <is>
          <t>1 man × 1.28 h ÷ 8 = 0.16 mate-day. Direct gang supervision (~5% of direct labour).</t>
        </is>
      </c>
      <c r="P156" t="inlineStr">
        <is>
          <t>Foundation &amp; Pipeline Trenching|All kinds of soil|Manual labor (depth ≤1.5m)|Foundation trenches &amp; drain trenches|3</t>
        </is>
      </c>
      <c r="Q156" t="n">
        <v>3</v>
      </c>
      <c r="R156" t="n">
        <v>10</v>
      </c>
      <c r="S156" t="inlineStr">
        <is>
          <t>cum</t>
        </is>
      </c>
      <c r="T156" t="n">
        <v>252.3</v>
      </c>
      <c r="U156" t="inlineStr">
        <is>
          <t>Pickaxe Beldar / crowbar</t>
        </is>
      </c>
      <c r="V156" t="inlineStr">
        <is>
          <t>Basket Coolie (50m lead / 1.5m lift)</t>
        </is>
      </c>
      <c r="W156" t="inlineStr">
        <is>
          <t>Trench bank disposal</t>
        </is>
      </c>
      <c r="X156" t="inlineStr">
        <is>
          <t>None</t>
        </is>
      </c>
      <c r="Y156" t="inlineStr">
        <is>
          <t>None</t>
        </is>
      </c>
    </row>
    <row r="157" ht="22" customHeight="1">
      <c r="A157" s="16" t="inlineStr">
        <is>
          <t>Foundation &amp; Pipeline Trenching</t>
        </is>
      </c>
      <c r="B157" s="76" t="inlineStr">
        <is>
          <t>All kinds of soil</t>
        </is>
      </c>
      <c r="C157" s="76" t="inlineStr">
        <is>
          <t>Manual labor (depth ≤1.5m)</t>
        </is>
      </c>
      <c r="D157" s="76" t="inlineStr">
        <is>
          <t>Foundation trenches &amp; drain trenches</t>
        </is>
      </c>
      <c r="E157" s="28" t="inlineStr">
        <is>
          <t>10 cum</t>
        </is>
      </c>
      <c r="F157" s="32" t="inlineStr">
        <is>
          <t>Labour (Unskilled / Haulage)</t>
        </is>
      </c>
      <c r="G157" s="21" t="inlineStr">
        <is>
          <t>0115</t>
        </is>
      </c>
      <c r="H157" s="76" t="inlineStr">
        <is>
          <t>Coolie</t>
        </is>
      </c>
      <c r="I157" s="86" t="n">
        <v>2.05</v>
      </c>
      <c r="J157" s="50" t="inlineStr">
        <is>
          <t>day</t>
        </is>
      </c>
      <c r="K157" s="51" t="n">
        <v>558</v>
      </c>
      <c r="L157" s="84" t="n">
        <v>1143.9</v>
      </c>
      <c r="M157" s="52" t="n">
        <v>60.7</v>
      </c>
      <c r="N157" s="89" t="n">
        <v>4.878048780487806</v>
      </c>
      <c r="O157" s="39" t="inlineStr">
        <is>
          <t>1 man × 0.40 h (24 min) ÷ 8 = 0.05 bhisti-day. Trench bottom dampening &amp; dust control.</t>
        </is>
      </c>
      <c r="P157" t="inlineStr">
        <is>
          <t>Foundation &amp; Pipeline Trenching|All kinds of soil|Manual labor (depth ≤1.5m)|Foundation trenches &amp; drain trenches|4</t>
        </is>
      </c>
      <c r="Q157" t="n">
        <v>4</v>
      </c>
      <c r="R157" t="n">
        <v>10</v>
      </c>
      <c r="S157" t="inlineStr">
        <is>
          <t>cum</t>
        </is>
      </c>
      <c r="T157" t="n">
        <v>252.3</v>
      </c>
      <c r="U157" t="inlineStr">
        <is>
          <t>Pickaxe Beldar / crowbar</t>
        </is>
      </c>
      <c r="V157" t="inlineStr">
        <is>
          <t>Basket Coolie (50m lead / 1.5m lift)</t>
        </is>
      </c>
      <c r="W157" t="inlineStr">
        <is>
          <t>Trench bank disposal</t>
        </is>
      </c>
      <c r="X157" t="inlineStr">
        <is>
          <t>None</t>
        </is>
      </c>
      <c r="Y157" t="inlineStr">
        <is>
          <t>None</t>
        </is>
      </c>
    </row>
    <row r="158" ht="22" customHeight="1">
      <c r="A158" s="16" t="inlineStr">
        <is>
          <t>Foundation &amp; Pipeline Trenching</t>
        </is>
      </c>
      <c r="B158" s="76" t="inlineStr">
        <is>
          <t>Ordinary rock</t>
        </is>
      </c>
      <c r="C158" s="76" t="inlineStr">
        <is>
          <t>Manual labor (depth ≤1.5m)</t>
        </is>
      </c>
      <c r="D158" s="76" t="inlineStr">
        <is>
          <t>Foundation trenches &amp; drain trenches</t>
        </is>
      </c>
      <c r="E158" s="28" t="inlineStr">
        <is>
          <t>10 cum</t>
        </is>
      </c>
      <c r="F158" s="32" t="inlineStr">
        <is>
          <t>Plant &amp; Machinery</t>
        </is>
      </c>
      <c r="G158" s="21" t="inlineStr">
        <is>
          <t>0020</t>
        </is>
      </c>
      <c r="H158" s="76" t="inlineStr">
        <is>
          <t>Hydraulic Excavator (3D) incl driver+fuel</t>
        </is>
      </c>
      <c r="I158" s="86" t="n">
        <v>0.0625</v>
      </c>
      <c r="J158" s="50" t="inlineStr">
        <is>
          <t>day</t>
        </is>
      </c>
      <c r="K158" s="51" t="n">
        <v>7000</v>
      </c>
      <c r="L158" s="84" t="n">
        <v>437.5</v>
      </c>
      <c r="M158" s="52" t="n">
        <v>13.1</v>
      </c>
      <c r="N158" s="89" t="n">
        <v>160</v>
      </c>
      <c r="O158" s="39" t="inlineStr"/>
      <c r="P158" t="inlineStr">
        <is>
          <t>Foundation &amp; Pipeline Trenching|Ordinary rock|Manual labor (depth ≤1.5m)|Foundation trenches &amp; drain trenches|1</t>
        </is>
      </c>
      <c r="Q158" t="n">
        <v>1</v>
      </c>
      <c r="R158" t="n">
        <v>10</v>
      </c>
      <c r="S158" t="inlineStr">
        <is>
          <t>cum</t>
        </is>
      </c>
      <c r="T158" t="n">
        <v>448.15</v>
      </c>
      <c r="U158" t="inlineStr">
        <is>
          <t>Pickaxe Beldar / crowbar</t>
        </is>
      </c>
      <c r="V158" t="inlineStr">
        <is>
          <t>Basket Coolie (50m lead / 1.5m lift)</t>
        </is>
      </c>
      <c r="W158" t="inlineStr">
        <is>
          <t>Trench bank disposal</t>
        </is>
      </c>
      <c r="X158" t="inlineStr">
        <is>
          <t>None</t>
        </is>
      </c>
      <c r="Y158" t="inlineStr">
        <is>
          <t>None</t>
        </is>
      </c>
    </row>
    <row r="159" ht="22" customHeight="1">
      <c r="A159" s="16" t="inlineStr">
        <is>
          <t>Foundation &amp; Pipeline Trenching</t>
        </is>
      </c>
      <c r="B159" s="76" t="inlineStr">
        <is>
          <t>Ordinary rock</t>
        </is>
      </c>
      <c r="C159" s="76" t="inlineStr">
        <is>
          <t>Manual labor (depth ≤1.5m)</t>
        </is>
      </c>
      <c r="D159" s="76" t="inlineStr">
        <is>
          <t>Foundation trenches &amp; drain trenches</t>
        </is>
      </c>
      <c r="E159" s="28" t="inlineStr">
        <is>
          <t>10 cum</t>
        </is>
      </c>
      <c r="F159" s="32" t="inlineStr">
        <is>
          <t>Plant &amp; Machinery</t>
        </is>
      </c>
      <c r="G159" s="21" t="inlineStr">
        <is>
          <t>0017</t>
        </is>
      </c>
      <c r="H159" s="76" t="inlineStr">
        <is>
          <t>Hire – Tipper</t>
        </is>
      </c>
      <c r="I159" s="86" t="n">
        <v>0.0625</v>
      </c>
      <c r="J159" s="50" t="inlineStr">
        <is>
          <t>day</t>
        </is>
      </c>
      <c r="K159" s="51" t="n">
        <v>1700</v>
      </c>
      <c r="L159" s="84" t="n">
        <v>106.25</v>
      </c>
      <c r="M159" s="52" t="n">
        <v>3.2</v>
      </c>
      <c r="N159" s="89" t="n">
        <v>160</v>
      </c>
      <c r="O159" s="39" t="inlineStr"/>
      <c r="P159" t="inlineStr">
        <is>
          <t>Foundation &amp; Pipeline Trenching|Ordinary rock|Manual labor (depth ≤1.5m)|Foundation trenches &amp; drain trenches|2</t>
        </is>
      </c>
      <c r="Q159" t="n">
        <v>2</v>
      </c>
      <c r="R159" t="n">
        <v>10</v>
      </c>
      <c r="S159" t="inlineStr">
        <is>
          <t>cum</t>
        </is>
      </c>
      <c r="T159" t="n">
        <v>448.15</v>
      </c>
      <c r="U159" t="inlineStr">
        <is>
          <t>Pickaxe Beldar / crowbar</t>
        </is>
      </c>
      <c r="V159" t="inlineStr">
        <is>
          <t>Basket Coolie (50m lead / 1.5m lift)</t>
        </is>
      </c>
      <c r="W159" t="inlineStr">
        <is>
          <t>Trench bank disposal</t>
        </is>
      </c>
      <c r="X159" t="inlineStr">
        <is>
          <t>None</t>
        </is>
      </c>
      <c r="Y159" t="inlineStr">
        <is>
          <t>None</t>
        </is>
      </c>
    </row>
    <row r="160" ht="22" customHeight="1">
      <c r="A160" s="16" t="inlineStr">
        <is>
          <t>Foundation &amp; Pipeline Trenching</t>
        </is>
      </c>
      <c r="B160" s="76" t="inlineStr">
        <is>
          <t>Ordinary rock</t>
        </is>
      </c>
      <c r="C160" s="76" t="inlineStr">
        <is>
          <t>Manual labor (depth ≤1.5m)</t>
        </is>
      </c>
      <c r="D160" s="76" t="inlineStr">
        <is>
          <t>Foundation trenches &amp; drain trenches</t>
        </is>
      </c>
      <c r="E160" s="28" t="inlineStr">
        <is>
          <t>10 cum</t>
        </is>
      </c>
      <c r="F160" s="32" t="inlineStr">
        <is>
          <t>Sundries &amp; Allowances</t>
        </is>
      </c>
      <c r="G160" s="21" t="inlineStr">
        <is>
          <t>0132</t>
        </is>
      </c>
      <c r="H160" s="76" t="inlineStr">
        <is>
          <t>Rock Excavator</t>
        </is>
      </c>
      <c r="I160" s="86" t="n">
        <v>0.885</v>
      </c>
      <c r="J160" s="50" t="inlineStr">
        <is>
          <t>day</t>
        </is>
      </c>
      <c r="K160" s="51" t="n">
        <v>558</v>
      </c>
      <c r="L160" s="84" t="n">
        <v>493.83</v>
      </c>
      <c r="M160" s="52" t="n">
        <v>14.7</v>
      </c>
      <c r="N160" s="89" t="n">
        <v>11.29943502824859</v>
      </c>
      <c r="O160" s="39" t="inlineStr"/>
      <c r="P160" t="inlineStr">
        <is>
          <t>Foundation &amp; Pipeline Trenching|Ordinary rock|Manual labor (depth ≤1.5m)|Foundation trenches &amp; drain trenches|3</t>
        </is>
      </c>
      <c r="Q160" t="n">
        <v>3</v>
      </c>
      <c r="R160" t="n">
        <v>10</v>
      </c>
      <c r="S160" t="inlineStr">
        <is>
          <t>cum</t>
        </is>
      </c>
      <c r="T160" t="n">
        <v>448.15</v>
      </c>
      <c r="U160" t="inlineStr">
        <is>
          <t>Pickaxe Beldar / crowbar</t>
        </is>
      </c>
      <c r="V160" t="inlineStr">
        <is>
          <t>Basket Coolie (50m lead / 1.5m lift)</t>
        </is>
      </c>
      <c r="W160" t="inlineStr">
        <is>
          <t>Trench bank disposal</t>
        </is>
      </c>
      <c r="X160" t="inlineStr">
        <is>
          <t>None</t>
        </is>
      </c>
      <c r="Y160" t="inlineStr">
        <is>
          <t>None</t>
        </is>
      </c>
    </row>
    <row r="161" ht="22" customHeight="1">
      <c r="A161" s="16" t="inlineStr">
        <is>
          <t>Foundation &amp; Pipeline Trenching</t>
        </is>
      </c>
      <c r="B161" s="76" t="inlineStr">
        <is>
          <t>Ordinary rock</t>
        </is>
      </c>
      <c r="C161" s="76" t="inlineStr">
        <is>
          <t>Manual labor (depth ≤1.5m)</t>
        </is>
      </c>
      <c r="D161" s="76" t="inlineStr">
        <is>
          <t>Foundation trenches &amp; drain trenches</t>
        </is>
      </c>
      <c r="E161" s="28" t="inlineStr">
        <is>
          <t>10 cum</t>
        </is>
      </c>
      <c r="F161" s="32" t="inlineStr">
        <is>
          <t>Sundries &amp; Allowances</t>
        </is>
      </c>
      <c r="G161" s="21" t="inlineStr">
        <is>
          <t>0133</t>
        </is>
      </c>
      <c r="H161" s="76" t="inlineStr">
        <is>
          <t>Rock Breaker</t>
        </is>
      </c>
      <c r="I161" s="86" t="n">
        <v>1.765</v>
      </c>
      <c r="J161" s="50" t="inlineStr">
        <is>
          <t>day</t>
        </is>
      </c>
      <c r="K161" s="51" t="n">
        <v>558</v>
      </c>
      <c r="L161" s="84" t="n">
        <v>984.87</v>
      </c>
      <c r="M161" s="52" t="n">
        <v>29.4</v>
      </c>
      <c r="N161" s="89" t="n">
        <v>5.6657223796034</v>
      </c>
      <c r="O161" s="39" t="inlineStr"/>
      <c r="P161" t="inlineStr">
        <is>
          <t>Foundation &amp; Pipeline Trenching|Ordinary rock|Manual labor (depth ≤1.5m)|Foundation trenches &amp; drain trenches|4</t>
        </is>
      </c>
      <c r="Q161" t="n">
        <v>4</v>
      </c>
      <c r="R161" t="n">
        <v>10</v>
      </c>
      <c r="S161" t="inlineStr">
        <is>
          <t>cum</t>
        </is>
      </c>
      <c r="T161" t="n">
        <v>448.15</v>
      </c>
      <c r="U161" t="inlineStr">
        <is>
          <t>Pickaxe Beldar / crowbar</t>
        </is>
      </c>
      <c r="V161" t="inlineStr">
        <is>
          <t>Basket Coolie (50m lead / 1.5m lift)</t>
        </is>
      </c>
      <c r="W161" t="inlineStr">
        <is>
          <t>Trench bank disposal</t>
        </is>
      </c>
      <c r="X161" t="inlineStr">
        <is>
          <t>None</t>
        </is>
      </c>
      <c r="Y161" t="inlineStr">
        <is>
          <t>None</t>
        </is>
      </c>
    </row>
    <row r="162" ht="22" customHeight="1">
      <c r="A162" s="16" t="inlineStr">
        <is>
          <t>Foundation &amp; Pipeline Trenching</t>
        </is>
      </c>
      <c r="B162" s="76" t="inlineStr">
        <is>
          <t>Ordinary rock</t>
        </is>
      </c>
      <c r="C162" s="76" t="inlineStr">
        <is>
          <t>Manual labor (depth ≤1.5m)</t>
        </is>
      </c>
      <c r="D162" s="76" t="inlineStr">
        <is>
          <t>Foundation trenches &amp; drain trenches</t>
        </is>
      </c>
      <c r="E162" s="28" t="inlineStr">
        <is>
          <t>10 cum</t>
        </is>
      </c>
      <c r="F162" s="32" t="inlineStr">
        <is>
          <t>Sundries &amp; Allowances</t>
        </is>
      </c>
      <c r="G162" s="21" t="inlineStr">
        <is>
          <t>0134</t>
        </is>
      </c>
      <c r="H162" s="76" t="inlineStr">
        <is>
          <t>Rock Hole Driller</t>
        </is>
      </c>
      <c r="I162" s="86" t="n">
        <v>0.53</v>
      </c>
      <c r="J162" s="50" t="inlineStr">
        <is>
          <t>day</t>
        </is>
      </c>
      <c r="K162" s="51" t="n">
        <v>558</v>
      </c>
      <c r="L162" s="84" t="n">
        <v>295.74</v>
      </c>
      <c r="M162" s="52" t="n">
        <v>8.800000000000001</v>
      </c>
      <c r="N162" s="89" t="n">
        <v>18.86792452830188</v>
      </c>
      <c r="O162" s="39" t="inlineStr"/>
      <c r="P162" t="inlineStr">
        <is>
          <t>Foundation &amp; Pipeline Trenching|Ordinary rock|Manual labor (depth ≤1.5m)|Foundation trenches &amp; drain trenches|5</t>
        </is>
      </c>
      <c r="Q162" t="n">
        <v>5</v>
      </c>
      <c r="R162" t="n">
        <v>10</v>
      </c>
      <c r="S162" t="inlineStr">
        <is>
          <t>cum</t>
        </is>
      </c>
      <c r="T162" t="n">
        <v>448.15</v>
      </c>
      <c r="U162" t="inlineStr">
        <is>
          <t>Pickaxe Beldar / crowbar</t>
        </is>
      </c>
      <c r="V162" t="inlineStr">
        <is>
          <t>Basket Coolie (50m lead / 1.5m lift)</t>
        </is>
      </c>
      <c r="W162" t="inlineStr">
        <is>
          <t>Trench bank disposal</t>
        </is>
      </c>
      <c r="X162" t="inlineStr">
        <is>
          <t>None</t>
        </is>
      </c>
      <c r="Y162" t="inlineStr">
        <is>
          <t>None</t>
        </is>
      </c>
    </row>
    <row r="163" ht="22" customHeight="1">
      <c r="A163" s="16" t="inlineStr">
        <is>
          <t>Foundation &amp; Pipeline Trenching</t>
        </is>
      </c>
      <c r="B163" s="76" t="inlineStr">
        <is>
          <t>Ordinary rock</t>
        </is>
      </c>
      <c r="C163" s="76" t="inlineStr">
        <is>
          <t>Manual labor (depth ≤1.5m)</t>
        </is>
      </c>
      <c r="D163" s="76" t="inlineStr">
        <is>
          <t>Foundation trenches &amp; drain trenches</t>
        </is>
      </c>
      <c r="E163" s="28" t="inlineStr">
        <is>
          <t>10 cum</t>
        </is>
      </c>
      <c r="F163" s="32" t="inlineStr">
        <is>
          <t>Labour (Semi-Skilled / Operational)</t>
        </is>
      </c>
      <c r="G163" s="21" t="inlineStr">
        <is>
          <t>0114</t>
        </is>
      </c>
      <c r="H163" s="76" t="inlineStr">
        <is>
          <t>Beldar</t>
        </is>
      </c>
      <c r="I163" s="86" t="n">
        <v>0.5</v>
      </c>
      <c r="J163" s="50" t="inlineStr">
        <is>
          <t>day</t>
        </is>
      </c>
      <c r="K163" s="51" t="n">
        <v>558</v>
      </c>
      <c r="L163" s="84" t="n">
        <v>279</v>
      </c>
      <c r="M163" s="52" t="n">
        <v>8.300000000000001</v>
      </c>
      <c r="N163" s="89" t="n">
        <v>20</v>
      </c>
      <c r="O163" s="39" t="inlineStr"/>
      <c r="P163" t="inlineStr">
        <is>
          <t>Foundation &amp; Pipeline Trenching|Ordinary rock|Manual labor (depth ≤1.5m)|Foundation trenches &amp; drain trenches|6</t>
        </is>
      </c>
      <c r="Q163" t="n">
        <v>6</v>
      </c>
      <c r="R163" t="n">
        <v>10</v>
      </c>
      <c r="S163" t="inlineStr">
        <is>
          <t>cum</t>
        </is>
      </c>
      <c r="T163" t="n">
        <v>448.15</v>
      </c>
      <c r="U163" t="inlineStr">
        <is>
          <t>Pickaxe Beldar / crowbar</t>
        </is>
      </c>
      <c r="V163" t="inlineStr">
        <is>
          <t>Basket Coolie (50m lead / 1.5m lift)</t>
        </is>
      </c>
      <c r="W163" t="inlineStr">
        <is>
          <t>Trench bank disposal</t>
        </is>
      </c>
      <c r="X163" t="inlineStr">
        <is>
          <t>None</t>
        </is>
      </c>
      <c r="Y163" t="inlineStr">
        <is>
          <t>None</t>
        </is>
      </c>
    </row>
    <row r="164" ht="22" customHeight="1">
      <c r="A164" s="16" t="inlineStr">
        <is>
          <t>Foundation &amp; Pipeline Trenching</t>
        </is>
      </c>
      <c r="B164" s="76" t="inlineStr">
        <is>
          <t>Ordinary rock</t>
        </is>
      </c>
      <c r="C164" s="76" t="inlineStr">
        <is>
          <t>Manual labor (depth ≤1.5m)</t>
        </is>
      </c>
      <c r="D164" s="76" t="inlineStr">
        <is>
          <t>Foundation trenches &amp; drain trenches</t>
        </is>
      </c>
      <c r="E164" s="28" t="inlineStr">
        <is>
          <t>10 cum</t>
        </is>
      </c>
      <c r="F164" s="32" t="inlineStr">
        <is>
          <t>Labour (Unskilled / Haulage)</t>
        </is>
      </c>
      <c r="G164" s="21" t="inlineStr">
        <is>
          <t>0115</t>
        </is>
      </c>
      <c r="H164" s="76" t="inlineStr">
        <is>
          <t>Coolie</t>
        </is>
      </c>
      <c r="I164" s="86" t="n">
        <v>1.3</v>
      </c>
      <c r="J164" s="50" t="inlineStr">
        <is>
          <t>day</t>
        </is>
      </c>
      <c r="K164" s="51" t="n">
        <v>558</v>
      </c>
      <c r="L164" s="84" t="n">
        <v>725.4</v>
      </c>
      <c r="M164" s="52" t="n">
        <v>21.7</v>
      </c>
      <c r="N164" s="89" t="n">
        <v>7.692307692307692</v>
      </c>
      <c r="O164" s="39" t="inlineStr"/>
      <c r="P164" t="inlineStr">
        <is>
          <t>Foundation &amp; Pipeline Trenching|Ordinary rock|Manual labor (depth ≤1.5m)|Foundation trenches &amp; drain trenches|7</t>
        </is>
      </c>
      <c r="Q164" t="n">
        <v>7</v>
      </c>
      <c r="R164" t="n">
        <v>10</v>
      </c>
      <c r="S164" t="inlineStr">
        <is>
          <t>cum</t>
        </is>
      </c>
      <c r="T164" t="n">
        <v>448.15</v>
      </c>
      <c r="U164" t="inlineStr">
        <is>
          <t>Pickaxe Beldar / crowbar</t>
        </is>
      </c>
      <c r="V164" t="inlineStr">
        <is>
          <t>Basket Coolie (50m lead / 1.5m lift)</t>
        </is>
      </c>
      <c r="W164" t="inlineStr">
        <is>
          <t>Trench bank disposal</t>
        </is>
      </c>
      <c r="X164" t="inlineStr">
        <is>
          <t>None</t>
        </is>
      </c>
      <c r="Y164" t="inlineStr">
        <is>
          <t>None</t>
        </is>
      </c>
    </row>
    <row r="165" ht="22" customHeight="1">
      <c r="A165" s="16" t="inlineStr">
        <is>
          <t>Foundation &amp; Pipeline Trenching</t>
        </is>
      </c>
      <c r="B165" s="76" t="inlineStr">
        <is>
          <t>Ordinary rock</t>
        </is>
      </c>
      <c r="C165" s="76" t="inlineStr">
        <is>
          <t>Manual labor (depth ≤1.5m)</t>
        </is>
      </c>
      <c r="D165" s="76" t="inlineStr">
        <is>
          <t>Foundation trenches &amp; drain trenches</t>
        </is>
      </c>
      <c r="E165" s="28" t="inlineStr">
        <is>
          <t>10 cum</t>
        </is>
      </c>
      <c r="F165" s="32" t="inlineStr">
        <is>
          <t>Sundries &amp; Allowances</t>
        </is>
      </c>
      <c r="G165" s="21" t="inlineStr">
        <is>
          <t>9999</t>
        </is>
      </c>
      <c r="H165" s="76" t="inlineStr">
        <is>
          <t>Sundries</t>
        </is>
      </c>
      <c r="I165" s="86" t="n">
        <v>13.52</v>
      </c>
      <c r="J165" s="50" t="inlineStr">
        <is>
          <t>L.S.</t>
        </is>
      </c>
      <c r="K165" s="51" t="n">
        <v>2</v>
      </c>
      <c r="L165" s="84" t="n">
        <v>27.04</v>
      </c>
      <c r="M165" s="52" t="n">
        <v>0.8</v>
      </c>
      <c r="N165" s="32" t="inlineStr"/>
      <c r="O165" s="39" t="inlineStr"/>
      <c r="P165" t="inlineStr">
        <is>
          <t>Foundation &amp; Pipeline Trenching|Ordinary rock|Manual labor (depth ≤1.5m)|Foundation trenches &amp; drain trenches|8</t>
        </is>
      </c>
      <c r="Q165" t="n">
        <v>8</v>
      </c>
      <c r="R165" t="n">
        <v>10</v>
      </c>
      <c r="S165" t="inlineStr">
        <is>
          <t>cum</t>
        </is>
      </c>
      <c r="T165" t="n">
        <v>448.15</v>
      </c>
      <c r="U165" t="inlineStr">
        <is>
          <t>Pickaxe Beldar / crowbar</t>
        </is>
      </c>
      <c r="V165" t="inlineStr">
        <is>
          <t>Basket Coolie (50m lead / 1.5m lift)</t>
        </is>
      </c>
      <c r="W165" t="inlineStr">
        <is>
          <t>Trench bank disposal</t>
        </is>
      </c>
      <c r="X165" t="inlineStr">
        <is>
          <t>None</t>
        </is>
      </c>
      <c r="Y165" t="inlineStr">
        <is>
          <t>None</t>
        </is>
      </c>
    </row>
    <row r="166" ht="22" customHeight="1">
      <c r="A166" s="16" t="inlineStr">
        <is>
          <t>Foundation &amp; Pipeline Trenching</t>
        </is>
      </c>
      <c r="B166" s="76" t="inlineStr">
        <is>
          <t>Hard rock (blasting permitted)</t>
        </is>
      </c>
      <c r="C166" s="76" t="inlineStr">
        <is>
          <t>Manual labor (depth ≤1.5m)</t>
        </is>
      </c>
      <c r="D166" s="76" t="inlineStr">
        <is>
          <t>Rock blasting + manual trench excavation</t>
        </is>
      </c>
      <c r="E166" s="28" t="inlineStr">
        <is>
          <t>10 cum</t>
        </is>
      </c>
      <c r="F166" s="32" t="inlineStr">
        <is>
          <t>Plant &amp; Machinery</t>
        </is>
      </c>
      <c r="G166" s="21" t="inlineStr">
        <is>
          <t>0020</t>
        </is>
      </c>
      <c r="H166" s="76" t="inlineStr">
        <is>
          <t>Hydraulic Excavator (3D) incl driver+fuel</t>
        </is>
      </c>
      <c r="I166" s="86" t="n">
        <v>0.125</v>
      </c>
      <c r="J166" s="50" t="inlineStr">
        <is>
          <t>day</t>
        </is>
      </c>
      <c r="K166" s="51" t="n">
        <v>7000</v>
      </c>
      <c r="L166" s="84" t="n">
        <v>875</v>
      </c>
      <c r="M166" s="52" t="n">
        <v>16.1</v>
      </c>
      <c r="N166" s="89" t="n">
        <v>80</v>
      </c>
      <c r="O166" s="39" t="inlineStr"/>
      <c r="P166" t="inlineStr">
        <is>
          <t>Foundation &amp; Pipeline Trenching|Hard rock (blasting permitted)|Manual labor (depth ≤1.5m)|Rock blasting + manual trench excavation|1</t>
        </is>
      </c>
      <c r="Q166" t="n">
        <v>1</v>
      </c>
      <c r="R166" t="n">
        <v>10</v>
      </c>
      <c r="S166" t="inlineStr">
        <is>
          <t>cum</t>
        </is>
      </c>
      <c r="T166" t="n">
        <v>729</v>
      </c>
      <c r="U166" t="inlineStr">
        <is>
          <t>Manual blasting &amp; sledging</t>
        </is>
      </c>
      <c r="V166" t="inlineStr">
        <is>
          <t>Basket Coolie (50m lead / 1.5m lift)</t>
        </is>
      </c>
      <c r="W166" t="inlineStr">
        <is>
          <t>Trench bank disposal</t>
        </is>
      </c>
      <c r="X166" t="inlineStr">
        <is>
          <t>None</t>
        </is>
      </c>
      <c r="Y166" t="inlineStr">
        <is>
          <t>None</t>
        </is>
      </c>
    </row>
    <row r="167" ht="22" customHeight="1">
      <c r="A167" s="16" t="inlineStr">
        <is>
          <t>Foundation &amp; Pipeline Trenching</t>
        </is>
      </c>
      <c r="B167" s="76" t="inlineStr">
        <is>
          <t>Hard rock (blasting permitted)</t>
        </is>
      </c>
      <c r="C167" s="76" t="inlineStr">
        <is>
          <t>Manual labor (depth ≤1.5m)</t>
        </is>
      </c>
      <c r="D167" s="76" t="inlineStr">
        <is>
          <t>Rock blasting + manual trench excavation</t>
        </is>
      </c>
      <c r="E167" s="28" t="inlineStr">
        <is>
          <t>10 cum</t>
        </is>
      </c>
      <c r="F167" s="32" t="inlineStr">
        <is>
          <t>Plant &amp; Machinery</t>
        </is>
      </c>
      <c r="G167" s="21" t="inlineStr">
        <is>
          <t>0017</t>
        </is>
      </c>
      <c r="H167" s="76" t="inlineStr">
        <is>
          <t>Hire – Tipper</t>
        </is>
      </c>
      <c r="I167" s="86" t="n">
        <v>0.125</v>
      </c>
      <c r="J167" s="50" t="inlineStr">
        <is>
          <t>day</t>
        </is>
      </c>
      <c r="K167" s="51" t="n">
        <v>1700</v>
      </c>
      <c r="L167" s="84" t="n">
        <v>212.5</v>
      </c>
      <c r="M167" s="52" t="n">
        <v>3.9</v>
      </c>
      <c r="N167" s="89" t="n">
        <v>80</v>
      </c>
      <c r="O167" s="39" t="inlineStr"/>
      <c r="P167" t="inlineStr">
        <is>
          <t>Foundation &amp; Pipeline Trenching|Hard rock (blasting permitted)|Manual labor (depth ≤1.5m)|Rock blasting + manual trench excavation|2</t>
        </is>
      </c>
      <c r="Q167" t="n">
        <v>2</v>
      </c>
      <c r="R167" t="n">
        <v>10</v>
      </c>
      <c r="S167" t="inlineStr">
        <is>
          <t>cum</t>
        </is>
      </c>
      <c r="T167" t="n">
        <v>729</v>
      </c>
      <c r="U167" t="inlineStr">
        <is>
          <t>Manual blasting &amp; sledging</t>
        </is>
      </c>
      <c r="V167" t="inlineStr">
        <is>
          <t>Basket Coolie (50m lead / 1.5m lift)</t>
        </is>
      </c>
      <c r="W167" t="inlineStr">
        <is>
          <t>Trench bank disposal</t>
        </is>
      </c>
      <c r="X167" t="inlineStr">
        <is>
          <t>None</t>
        </is>
      </c>
      <c r="Y167" t="inlineStr">
        <is>
          <t>None</t>
        </is>
      </c>
    </row>
    <row r="168" ht="22" customHeight="1">
      <c r="A168" s="16" t="inlineStr">
        <is>
          <t>Foundation &amp; Pipeline Trenching</t>
        </is>
      </c>
      <c r="B168" s="76" t="inlineStr">
        <is>
          <t>Hard rock (blasting permitted)</t>
        </is>
      </c>
      <c r="C168" s="76" t="inlineStr">
        <is>
          <t>Manual labor (depth ≤1.5m)</t>
        </is>
      </c>
      <c r="D168" s="76" t="inlineStr">
        <is>
          <t>Rock blasting + manual trench excavation</t>
        </is>
      </c>
      <c r="E168" s="28" t="inlineStr">
        <is>
          <t>10 cum</t>
        </is>
      </c>
      <c r="F168" s="32" t="inlineStr">
        <is>
          <t>Sundries &amp; Allowances</t>
        </is>
      </c>
      <c r="G168" s="21" t="inlineStr">
        <is>
          <t>0132</t>
        </is>
      </c>
      <c r="H168" s="76" t="inlineStr">
        <is>
          <t>Rock Excavator</t>
        </is>
      </c>
      <c r="I168" s="86" t="n">
        <v>1.24</v>
      </c>
      <c r="J168" s="50" t="inlineStr">
        <is>
          <t>day</t>
        </is>
      </c>
      <c r="K168" s="51" t="n">
        <v>558</v>
      </c>
      <c r="L168" s="84" t="n">
        <v>691.92</v>
      </c>
      <c r="M168" s="52" t="n">
        <v>12.7</v>
      </c>
      <c r="N168" s="89" t="n">
        <v>8.064516129032258</v>
      </c>
      <c r="O168" s="39" t="inlineStr"/>
      <c r="P168" t="inlineStr">
        <is>
          <t>Foundation &amp; Pipeline Trenching|Hard rock (blasting permitted)|Manual labor (depth ≤1.5m)|Rock blasting + manual trench excavation|3</t>
        </is>
      </c>
      <c r="Q168" t="n">
        <v>3</v>
      </c>
      <c r="R168" t="n">
        <v>10</v>
      </c>
      <c r="S168" t="inlineStr">
        <is>
          <t>cum</t>
        </is>
      </c>
      <c r="T168" t="n">
        <v>729</v>
      </c>
      <c r="U168" t="inlineStr">
        <is>
          <t>Manual blasting &amp; sledging</t>
        </is>
      </c>
      <c r="V168" t="inlineStr">
        <is>
          <t>Basket Coolie (50m lead / 1.5m lift)</t>
        </is>
      </c>
      <c r="W168" t="inlineStr">
        <is>
          <t>Trench bank disposal</t>
        </is>
      </c>
      <c r="X168" t="inlineStr">
        <is>
          <t>None</t>
        </is>
      </c>
      <c r="Y168" t="inlineStr">
        <is>
          <t>None</t>
        </is>
      </c>
    </row>
    <row r="169" ht="22" customHeight="1">
      <c r="A169" s="16" t="inlineStr">
        <is>
          <t>Foundation &amp; Pipeline Trenching</t>
        </is>
      </c>
      <c r="B169" s="76" t="inlineStr">
        <is>
          <t>Hard rock (blasting permitted)</t>
        </is>
      </c>
      <c r="C169" s="76" t="inlineStr">
        <is>
          <t>Manual labor (depth ≤1.5m)</t>
        </is>
      </c>
      <c r="D169" s="76" t="inlineStr">
        <is>
          <t>Rock blasting + manual trench excavation</t>
        </is>
      </c>
      <c r="E169" s="28" t="inlineStr">
        <is>
          <t>10 cum</t>
        </is>
      </c>
      <c r="F169" s="32" t="inlineStr">
        <is>
          <t>Sundries &amp; Allowances</t>
        </is>
      </c>
      <c r="G169" s="21" t="inlineStr">
        <is>
          <t>0133</t>
        </is>
      </c>
      <c r="H169" s="76" t="inlineStr">
        <is>
          <t>Rock Breaker</t>
        </is>
      </c>
      <c r="I169" s="86" t="n">
        <v>3</v>
      </c>
      <c r="J169" s="50" t="inlineStr">
        <is>
          <t>day</t>
        </is>
      </c>
      <c r="K169" s="51" t="n">
        <v>558</v>
      </c>
      <c r="L169" s="84" t="n">
        <v>1674</v>
      </c>
      <c r="M169" s="52" t="n">
        <v>30.7</v>
      </c>
      <c r="N169" s="89" t="n">
        <v>3.333333333333333</v>
      </c>
      <c r="O169" s="39" t="inlineStr"/>
      <c r="P169" t="inlineStr">
        <is>
          <t>Foundation &amp; Pipeline Trenching|Hard rock (blasting permitted)|Manual labor (depth ≤1.5m)|Rock blasting + manual trench excavation|4</t>
        </is>
      </c>
      <c r="Q169" t="n">
        <v>4</v>
      </c>
      <c r="R169" t="n">
        <v>10</v>
      </c>
      <c r="S169" t="inlineStr">
        <is>
          <t>cum</t>
        </is>
      </c>
      <c r="T169" t="n">
        <v>729</v>
      </c>
      <c r="U169" t="inlineStr">
        <is>
          <t>Manual blasting &amp; sledging</t>
        </is>
      </c>
      <c r="V169" t="inlineStr">
        <is>
          <t>Basket Coolie (50m lead / 1.5m lift)</t>
        </is>
      </c>
      <c r="W169" t="inlineStr">
        <is>
          <t>Trench bank disposal</t>
        </is>
      </c>
      <c r="X169" t="inlineStr">
        <is>
          <t>None</t>
        </is>
      </c>
      <c r="Y169" t="inlineStr">
        <is>
          <t>None</t>
        </is>
      </c>
    </row>
    <row r="170" ht="22" customHeight="1">
      <c r="A170" s="16" t="inlineStr">
        <is>
          <t>Foundation &amp; Pipeline Trenching</t>
        </is>
      </c>
      <c r="B170" s="76" t="inlineStr">
        <is>
          <t>Hard rock (blasting permitted)</t>
        </is>
      </c>
      <c r="C170" s="76" t="inlineStr">
        <is>
          <t>Manual labor (depth ≤1.5m)</t>
        </is>
      </c>
      <c r="D170" s="76" t="inlineStr">
        <is>
          <t>Rock blasting + manual trench excavation</t>
        </is>
      </c>
      <c r="E170" s="28" t="inlineStr">
        <is>
          <t>10 cum</t>
        </is>
      </c>
      <c r="F170" s="32" t="inlineStr">
        <is>
          <t>Sundries &amp; Allowances</t>
        </is>
      </c>
      <c r="G170" s="21" t="inlineStr">
        <is>
          <t>0134</t>
        </is>
      </c>
      <c r="H170" s="76" t="inlineStr">
        <is>
          <t>Rock Hole Driller</t>
        </is>
      </c>
      <c r="I170" s="86" t="n">
        <v>1.06</v>
      </c>
      <c r="J170" s="50" t="inlineStr">
        <is>
          <t>day</t>
        </is>
      </c>
      <c r="K170" s="51" t="n">
        <v>558</v>
      </c>
      <c r="L170" s="84" t="n">
        <v>591.48</v>
      </c>
      <c r="M170" s="52" t="n">
        <v>10.9</v>
      </c>
      <c r="N170" s="89" t="n">
        <v>9.433962264150942</v>
      </c>
      <c r="O170" s="39" t="inlineStr"/>
      <c r="P170" t="inlineStr">
        <is>
          <t>Foundation &amp; Pipeline Trenching|Hard rock (blasting permitted)|Manual labor (depth ≤1.5m)|Rock blasting + manual trench excavation|5</t>
        </is>
      </c>
      <c r="Q170" t="n">
        <v>5</v>
      </c>
      <c r="R170" t="n">
        <v>10</v>
      </c>
      <c r="S170" t="inlineStr">
        <is>
          <t>cum</t>
        </is>
      </c>
      <c r="T170" t="n">
        <v>729</v>
      </c>
      <c r="U170" t="inlineStr">
        <is>
          <t>Manual blasting &amp; sledging</t>
        </is>
      </c>
      <c r="V170" t="inlineStr">
        <is>
          <t>Basket Coolie (50m lead / 1.5m lift)</t>
        </is>
      </c>
      <c r="W170" t="inlineStr">
        <is>
          <t>Trench bank disposal</t>
        </is>
      </c>
      <c r="X170" t="inlineStr">
        <is>
          <t>None</t>
        </is>
      </c>
      <c r="Y170" t="inlineStr">
        <is>
          <t>None</t>
        </is>
      </c>
    </row>
    <row r="171" ht="22" customHeight="1">
      <c r="A171" s="16" t="inlineStr">
        <is>
          <t>Foundation &amp; Pipeline Trenching</t>
        </is>
      </c>
      <c r="B171" s="76" t="inlineStr">
        <is>
          <t>Hard rock (blasting permitted)</t>
        </is>
      </c>
      <c r="C171" s="76" t="inlineStr">
        <is>
          <t>Manual labor (depth ≤1.5m)</t>
        </is>
      </c>
      <c r="D171" s="76" t="inlineStr">
        <is>
          <t>Rock blasting + manual trench excavation</t>
        </is>
      </c>
      <c r="E171" s="28" t="inlineStr">
        <is>
          <t>10 cum</t>
        </is>
      </c>
      <c r="F171" s="32" t="inlineStr">
        <is>
          <t>Labour (Semi-Skilled / Operational)</t>
        </is>
      </c>
      <c r="G171" s="21" t="inlineStr">
        <is>
          <t>0114</t>
        </is>
      </c>
      <c r="H171" s="76" t="inlineStr">
        <is>
          <t>Beldar</t>
        </is>
      </c>
      <c r="I171" s="86" t="n">
        <v>0.5</v>
      </c>
      <c r="J171" s="50" t="inlineStr">
        <is>
          <t>day</t>
        </is>
      </c>
      <c r="K171" s="51" t="n">
        <v>558</v>
      </c>
      <c r="L171" s="84" t="n">
        <v>279</v>
      </c>
      <c r="M171" s="52" t="n">
        <v>5.1</v>
      </c>
      <c r="N171" s="89" t="n">
        <v>20</v>
      </c>
      <c r="O171" s="39" t="inlineStr"/>
      <c r="P171" t="inlineStr">
        <is>
          <t>Foundation &amp; Pipeline Trenching|Hard rock (blasting permitted)|Manual labor (depth ≤1.5m)|Rock blasting + manual trench excavation|6</t>
        </is>
      </c>
      <c r="Q171" t="n">
        <v>6</v>
      </c>
      <c r="R171" t="n">
        <v>10</v>
      </c>
      <c r="S171" t="inlineStr">
        <is>
          <t>cum</t>
        </is>
      </c>
      <c r="T171" t="n">
        <v>729</v>
      </c>
      <c r="U171" t="inlineStr">
        <is>
          <t>Manual blasting &amp; sledging</t>
        </is>
      </c>
      <c r="V171" t="inlineStr">
        <is>
          <t>Basket Coolie (50m lead / 1.5m lift)</t>
        </is>
      </c>
      <c r="W171" t="inlineStr">
        <is>
          <t>Trench bank disposal</t>
        </is>
      </c>
      <c r="X171" t="inlineStr">
        <is>
          <t>None</t>
        </is>
      </c>
      <c r="Y171" t="inlineStr">
        <is>
          <t>None</t>
        </is>
      </c>
    </row>
    <row r="172" ht="22" customHeight="1">
      <c r="A172" s="16" t="inlineStr">
        <is>
          <t>Foundation &amp; Pipeline Trenching</t>
        </is>
      </c>
      <c r="B172" s="76" t="inlineStr">
        <is>
          <t>Hard rock (blasting permitted)</t>
        </is>
      </c>
      <c r="C172" s="76" t="inlineStr">
        <is>
          <t>Manual labor (depth ≤1.5m)</t>
        </is>
      </c>
      <c r="D172" s="76" t="inlineStr">
        <is>
          <t>Rock blasting + manual trench excavation</t>
        </is>
      </c>
      <c r="E172" s="28" t="inlineStr">
        <is>
          <t>10 cum</t>
        </is>
      </c>
      <c r="F172" s="32" t="inlineStr">
        <is>
          <t>Labour (Unskilled / Haulage)</t>
        </is>
      </c>
      <c r="G172" s="21" t="inlineStr">
        <is>
          <t>0115</t>
        </is>
      </c>
      <c r="H172" s="76" t="inlineStr">
        <is>
          <t>Coolie</t>
        </is>
      </c>
      <c r="I172" s="86" t="n">
        <v>1.3</v>
      </c>
      <c r="J172" s="50" t="inlineStr">
        <is>
          <t>day</t>
        </is>
      </c>
      <c r="K172" s="51" t="n">
        <v>558</v>
      </c>
      <c r="L172" s="84" t="n">
        <v>725.4</v>
      </c>
      <c r="M172" s="52" t="n">
        <v>13.3</v>
      </c>
      <c r="N172" s="89" t="n">
        <v>7.692307692307692</v>
      </c>
      <c r="O172" s="39" t="inlineStr"/>
      <c r="P172" t="inlineStr">
        <is>
          <t>Foundation &amp; Pipeline Trenching|Hard rock (blasting permitted)|Manual labor (depth ≤1.5m)|Rock blasting + manual trench excavation|7</t>
        </is>
      </c>
      <c r="Q172" t="n">
        <v>7</v>
      </c>
      <c r="R172" t="n">
        <v>10</v>
      </c>
      <c r="S172" t="inlineStr">
        <is>
          <t>cum</t>
        </is>
      </c>
      <c r="T172" t="n">
        <v>729</v>
      </c>
      <c r="U172" t="inlineStr">
        <is>
          <t>Manual blasting &amp; sledging</t>
        </is>
      </c>
      <c r="V172" t="inlineStr">
        <is>
          <t>Basket Coolie (50m lead / 1.5m lift)</t>
        </is>
      </c>
      <c r="W172" t="inlineStr">
        <is>
          <t>Trench bank disposal</t>
        </is>
      </c>
      <c r="X172" t="inlineStr">
        <is>
          <t>None</t>
        </is>
      </c>
      <c r="Y172" t="inlineStr">
        <is>
          <t>None</t>
        </is>
      </c>
    </row>
    <row r="173" ht="22" customHeight="1">
      <c r="A173" s="16" t="inlineStr">
        <is>
          <t>Foundation &amp; Pipeline Trenching</t>
        </is>
      </c>
      <c r="B173" s="76" t="inlineStr">
        <is>
          <t>Hard rock (blasting permitted)</t>
        </is>
      </c>
      <c r="C173" s="76" t="inlineStr">
        <is>
          <t>Manual labor (depth ≤1.5m)</t>
        </is>
      </c>
      <c r="D173" s="76" t="inlineStr">
        <is>
          <t>Rock blasting + manual trench excavation</t>
        </is>
      </c>
      <c r="E173" s="28" t="inlineStr">
        <is>
          <t>10 cum</t>
        </is>
      </c>
      <c r="F173" s="32" t="inlineStr">
        <is>
          <t>Material &amp; Consumables</t>
        </is>
      </c>
      <c r="G173" s="21" t="inlineStr">
        <is>
          <t>0325</t>
        </is>
      </c>
      <c r="H173" s="76" t="inlineStr">
        <is>
          <t>Blasting powder</t>
        </is>
      </c>
      <c r="I173" s="86" t="n">
        <v>6.42</v>
      </c>
      <c r="J173" s="50" t="inlineStr">
        <is>
          <t>kg</t>
        </is>
      </c>
      <c r="K173" s="51" t="n">
        <v>40</v>
      </c>
      <c r="L173" s="84" t="n">
        <v>256.8</v>
      </c>
      <c r="M173" s="52" t="n">
        <v>4.7</v>
      </c>
      <c r="N173" s="32" t="inlineStr"/>
      <c r="O173" s="39" t="inlineStr"/>
      <c r="P173" t="inlineStr">
        <is>
          <t>Foundation &amp; Pipeline Trenching|Hard rock (blasting permitted)|Manual labor (depth ≤1.5m)|Rock blasting + manual trench excavation|8</t>
        </is>
      </c>
      <c r="Q173" t="n">
        <v>8</v>
      </c>
      <c r="R173" t="n">
        <v>10</v>
      </c>
      <c r="S173" t="inlineStr">
        <is>
          <t>cum</t>
        </is>
      </c>
      <c r="T173" t="n">
        <v>729</v>
      </c>
      <c r="U173" t="inlineStr">
        <is>
          <t>Manual blasting &amp; sledging</t>
        </is>
      </c>
      <c r="V173" t="inlineStr">
        <is>
          <t>Basket Coolie (50m lead / 1.5m lift)</t>
        </is>
      </c>
      <c r="W173" t="inlineStr">
        <is>
          <t>Trench bank disposal</t>
        </is>
      </c>
      <c r="X173" t="inlineStr">
        <is>
          <t>None</t>
        </is>
      </c>
      <c r="Y173" t="inlineStr">
        <is>
          <t>None</t>
        </is>
      </c>
    </row>
    <row r="174" ht="22" customHeight="1">
      <c r="A174" s="16" t="inlineStr">
        <is>
          <t>Foundation &amp; Pipeline Trenching</t>
        </is>
      </c>
      <c r="B174" s="76" t="inlineStr">
        <is>
          <t>Hard rock (blasting permitted)</t>
        </is>
      </c>
      <c r="C174" s="76" t="inlineStr">
        <is>
          <t>Manual labor (depth ≤1.5m)</t>
        </is>
      </c>
      <c r="D174" s="76" t="inlineStr">
        <is>
          <t>Rock blasting + manual trench excavation</t>
        </is>
      </c>
      <c r="E174" s="28" t="inlineStr">
        <is>
          <t>10 cum</t>
        </is>
      </c>
      <c r="F174" s="32" t="inlineStr">
        <is>
          <t>Material &amp; Consumables</t>
        </is>
      </c>
      <c r="G174" s="21" t="inlineStr">
        <is>
          <t>0326</t>
        </is>
      </c>
      <c r="H174" s="76" t="inlineStr">
        <is>
          <t>Blasting fuse wire</t>
        </is>
      </c>
      <c r="I174" s="86" t="n">
        <v>7</v>
      </c>
      <c r="J174" s="50" t="inlineStr">
        <is>
          <t>each</t>
        </is>
      </c>
      <c r="K174" s="51" t="n">
        <v>15</v>
      </c>
      <c r="L174" s="84" t="n">
        <v>105</v>
      </c>
      <c r="M174" s="52" t="n">
        <v>1.9</v>
      </c>
      <c r="N174" s="32" t="inlineStr"/>
      <c r="O174" s="39" t="inlineStr"/>
      <c r="P174" t="inlineStr">
        <is>
          <t>Foundation &amp; Pipeline Trenching|Hard rock (blasting permitted)|Manual labor (depth ≤1.5m)|Rock blasting + manual trench excavation|9</t>
        </is>
      </c>
      <c r="Q174" t="n">
        <v>9</v>
      </c>
      <c r="R174" t="n">
        <v>10</v>
      </c>
      <c r="S174" t="inlineStr">
        <is>
          <t>cum</t>
        </is>
      </c>
      <c r="T174" t="n">
        <v>729</v>
      </c>
      <c r="U174" t="inlineStr">
        <is>
          <t>Manual blasting &amp; sledging</t>
        </is>
      </c>
      <c r="V174" t="inlineStr">
        <is>
          <t>Basket Coolie (50m lead / 1.5m lift)</t>
        </is>
      </c>
      <c r="W174" t="inlineStr">
        <is>
          <t>Trench bank disposal</t>
        </is>
      </c>
      <c r="X174" t="inlineStr">
        <is>
          <t>None</t>
        </is>
      </c>
      <c r="Y174" t="inlineStr">
        <is>
          <t>None</t>
        </is>
      </c>
    </row>
    <row r="175" ht="22" customHeight="1">
      <c r="A175" s="16" t="inlineStr">
        <is>
          <t>Foundation &amp; Pipeline Trenching</t>
        </is>
      </c>
      <c r="B175" s="76" t="inlineStr">
        <is>
          <t>Hard rock (blasting permitted)</t>
        </is>
      </c>
      <c r="C175" s="76" t="inlineStr">
        <is>
          <t>Manual labor (depth ≤1.5m)</t>
        </is>
      </c>
      <c r="D175" s="76" t="inlineStr">
        <is>
          <t>Rock blasting + manual trench excavation</t>
        </is>
      </c>
      <c r="E175" s="28" t="inlineStr">
        <is>
          <t>10 cum</t>
        </is>
      </c>
      <c r="F175" s="32" t="inlineStr">
        <is>
          <t>Sundries &amp; Allowances</t>
        </is>
      </c>
      <c r="G175" s="21" t="inlineStr">
        <is>
          <t>9999</t>
        </is>
      </c>
      <c r="H175" s="76" t="inlineStr">
        <is>
          <t>Sundries</t>
        </is>
      </c>
      <c r="I175" s="86" t="n">
        <v>18.85</v>
      </c>
      <c r="J175" s="50" t="inlineStr">
        <is>
          <t>L.S.</t>
        </is>
      </c>
      <c r="K175" s="51" t="n">
        <v>2</v>
      </c>
      <c r="L175" s="84" t="n">
        <v>37.7</v>
      </c>
      <c r="M175" s="52" t="n">
        <v>0.7</v>
      </c>
      <c r="N175" s="32" t="inlineStr"/>
      <c r="O175" s="39" t="inlineStr"/>
      <c r="P175" t="inlineStr">
        <is>
          <t>Foundation &amp; Pipeline Trenching|Hard rock (blasting permitted)|Manual labor (depth ≤1.5m)|Rock blasting + manual trench excavation|10</t>
        </is>
      </c>
      <c r="Q175" t="n">
        <v>10</v>
      </c>
      <c r="R175" t="n">
        <v>10</v>
      </c>
      <c r="S175" t="inlineStr">
        <is>
          <t>cum</t>
        </is>
      </c>
      <c r="T175" t="n">
        <v>729</v>
      </c>
      <c r="U175" t="inlineStr">
        <is>
          <t>Manual blasting &amp; sledging</t>
        </is>
      </c>
      <c r="V175" t="inlineStr">
        <is>
          <t>Basket Coolie (50m lead / 1.5m lift)</t>
        </is>
      </c>
      <c r="W175" t="inlineStr">
        <is>
          <t>Trench bank disposal</t>
        </is>
      </c>
      <c r="X175" t="inlineStr">
        <is>
          <t>None</t>
        </is>
      </c>
      <c r="Y175" t="inlineStr">
        <is>
          <t>None</t>
        </is>
      </c>
    </row>
    <row r="176" ht="22" customHeight="1">
      <c r="A176" s="16" t="inlineStr">
        <is>
          <t>Foundation &amp; Pipeline Trenching</t>
        </is>
      </c>
      <c r="B176" s="76" t="inlineStr">
        <is>
          <t>Hard rock (blasting prohibited)</t>
        </is>
      </c>
      <c r="C176" s="76" t="inlineStr">
        <is>
          <t>Manual labor (depth ≤1.5m)</t>
        </is>
      </c>
      <c r="D176" s="76" t="inlineStr">
        <is>
          <t>Manual rock chiselling (no blasting)</t>
        </is>
      </c>
      <c r="E176" s="28" t="inlineStr">
        <is>
          <t>10 cum</t>
        </is>
      </c>
      <c r="F176" s="32" t="inlineStr">
        <is>
          <t>Plant &amp; Machinery</t>
        </is>
      </c>
      <c r="G176" s="21" t="inlineStr">
        <is>
          <t>0020</t>
        </is>
      </c>
      <c r="H176" s="76" t="inlineStr">
        <is>
          <t>Hydraulic Excavator (3D) incl driver+fuel</t>
        </is>
      </c>
      <c r="I176" s="86" t="n">
        <v>0.125</v>
      </c>
      <c r="J176" s="50" t="inlineStr">
        <is>
          <t>day</t>
        </is>
      </c>
      <c r="K176" s="51" t="n">
        <v>7000</v>
      </c>
      <c r="L176" s="84" t="n">
        <v>875</v>
      </c>
      <c r="M176" s="52" t="n">
        <v>10.8</v>
      </c>
      <c r="N176" s="89" t="n">
        <v>80</v>
      </c>
      <c r="O176" s="39" t="inlineStr"/>
      <c r="P176" t="inlineStr">
        <is>
          <t>Foundation &amp; Pipeline Trenching|Hard rock (blasting prohibited)|Manual labor (depth ≤1.5m)|Manual rock chiselling (no blasting)|1</t>
        </is>
      </c>
      <c r="Q176" t="n">
        <v>1</v>
      </c>
      <c r="R176" t="n">
        <v>10</v>
      </c>
      <c r="S176" t="inlineStr">
        <is>
          <t>cum</t>
        </is>
      </c>
      <c r="T176" t="n">
        <v>1080.55</v>
      </c>
      <c r="U176" t="inlineStr">
        <is>
          <t>Steel chiselling &amp; hammer striking</t>
        </is>
      </c>
      <c r="V176" t="inlineStr">
        <is>
          <t>Basket Coolie (50m lead / 1.5m lift)</t>
        </is>
      </c>
      <c r="W176" t="inlineStr">
        <is>
          <t>Trench bank disposal</t>
        </is>
      </c>
      <c r="X176" t="inlineStr">
        <is>
          <t>None</t>
        </is>
      </c>
      <c r="Y176" t="inlineStr">
        <is>
          <t>None</t>
        </is>
      </c>
    </row>
    <row r="177" ht="22" customHeight="1">
      <c r="A177" s="16" t="inlineStr">
        <is>
          <t>Foundation &amp; Pipeline Trenching</t>
        </is>
      </c>
      <c r="B177" s="76" t="inlineStr">
        <is>
          <t>Hard rock (blasting prohibited)</t>
        </is>
      </c>
      <c r="C177" s="76" t="inlineStr">
        <is>
          <t>Manual labor (depth ≤1.5m)</t>
        </is>
      </c>
      <c r="D177" s="76" t="inlineStr">
        <is>
          <t>Manual rock chiselling (no blasting)</t>
        </is>
      </c>
      <c r="E177" s="28" t="inlineStr">
        <is>
          <t>10 cum</t>
        </is>
      </c>
      <c r="F177" s="32" t="inlineStr">
        <is>
          <t>Plant &amp; Machinery</t>
        </is>
      </c>
      <c r="G177" s="21" t="inlineStr">
        <is>
          <t>0017</t>
        </is>
      </c>
      <c r="H177" s="76" t="inlineStr">
        <is>
          <t>Hire – Tipper</t>
        </is>
      </c>
      <c r="I177" s="86" t="n">
        <v>0.125</v>
      </c>
      <c r="J177" s="50" t="inlineStr">
        <is>
          <t>day</t>
        </is>
      </c>
      <c r="K177" s="51" t="n">
        <v>1700</v>
      </c>
      <c r="L177" s="84" t="n">
        <v>212.5</v>
      </c>
      <c r="M177" s="52" t="n">
        <v>2.6</v>
      </c>
      <c r="N177" s="89" t="n">
        <v>80</v>
      </c>
      <c r="O177" s="39" t="inlineStr"/>
      <c r="P177" t="inlineStr">
        <is>
          <t>Foundation &amp; Pipeline Trenching|Hard rock (blasting prohibited)|Manual labor (depth ≤1.5m)|Manual rock chiselling (no blasting)|2</t>
        </is>
      </c>
      <c r="Q177" t="n">
        <v>2</v>
      </c>
      <c r="R177" t="n">
        <v>10</v>
      </c>
      <c r="S177" t="inlineStr">
        <is>
          <t>cum</t>
        </is>
      </c>
      <c r="T177" t="n">
        <v>1080.55</v>
      </c>
      <c r="U177" t="inlineStr">
        <is>
          <t>Steel chiselling &amp; hammer striking</t>
        </is>
      </c>
      <c r="V177" t="inlineStr">
        <is>
          <t>Basket Coolie (50m lead / 1.5m lift)</t>
        </is>
      </c>
      <c r="W177" t="inlineStr">
        <is>
          <t>Trench bank disposal</t>
        </is>
      </c>
      <c r="X177" t="inlineStr">
        <is>
          <t>None</t>
        </is>
      </c>
      <c r="Y177" t="inlineStr">
        <is>
          <t>None</t>
        </is>
      </c>
    </row>
    <row r="178" ht="22" customHeight="1">
      <c r="A178" s="16" t="inlineStr">
        <is>
          <t>Foundation &amp; Pipeline Trenching</t>
        </is>
      </c>
      <c r="B178" s="76" t="inlineStr">
        <is>
          <t>Hard rock (blasting prohibited)</t>
        </is>
      </c>
      <c r="C178" s="76" t="inlineStr">
        <is>
          <t>Manual labor (depth ≤1.5m)</t>
        </is>
      </c>
      <c r="D178" s="76" t="inlineStr">
        <is>
          <t>Manual rock chiselling (no blasting)</t>
        </is>
      </c>
      <c r="E178" s="28" t="inlineStr">
        <is>
          <t>10 cum</t>
        </is>
      </c>
      <c r="F178" s="32" t="inlineStr">
        <is>
          <t>Sundries &amp; Allowances</t>
        </is>
      </c>
      <c r="G178" s="21" t="inlineStr">
        <is>
          <t>0132</t>
        </is>
      </c>
      <c r="H178" s="76" t="inlineStr">
        <is>
          <t>Rock Excavator</t>
        </is>
      </c>
      <c r="I178" s="86" t="n">
        <v>2.65</v>
      </c>
      <c r="J178" s="50" t="inlineStr">
        <is>
          <t>day</t>
        </is>
      </c>
      <c r="K178" s="51" t="n">
        <v>558</v>
      </c>
      <c r="L178" s="84" t="n">
        <v>1478.7</v>
      </c>
      <c r="M178" s="52" t="n">
        <v>18.3</v>
      </c>
      <c r="N178" s="89" t="n">
        <v>3.773584905660377</v>
      </c>
      <c r="O178" s="39" t="inlineStr"/>
      <c r="P178" t="inlineStr">
        <is>
          <t>Foundation &amp; Pipeline Trenching|Hard rock (blasting prohibited)|Manual labor (depth ≤1.5m)|Manual rock chiselling (no blasting)|3</t>
        </is>
      </c>
      <c r="Q178" t="n">
        <v>3</v>
      </c>
      <c r="R178" t="n">
        <v>10</v>
      </c>
      <c r="S178" t="inlineStr">
        <is>
          <t>cum</t>
        </is>
      </c>
      <c r="T178" t="n">
        <v>1080.55</v>
      </c>
      <c r="U178" t="inlineStr">
        <is>
          <t>Steel chiselling &amp; hammer striking</t>
        </is>
      </c>
      <c r="V178" t="inlineStr">
        <is>
          <t>Basket Coolie (50m lead / 1.5m lift)</t>
        </is>
      </c>
      <c r="W178" t="inlineStr">
        <is>
          <t>Trench bank disposal</t>
        </is>
      </c>
      <c r="X178" t="inlineStr">
        <is>
          <t>None</t>
        </is>
      </c>
      <c r="Y178" t="inlineStr">
        <is>
          <t>None</t>
        </is>
      </c>
    </row>
    <row r="179" ht="22" customHeight="1">
      <c r="A179" s="16" t="inlineStr">
        <is>
          <t>Foundation &amp; Pipeline Trenching</t>
        </is>
      </c>
      <c r="B179" s="76" t="inlineStr">
        <is>
          <t>Hard rock (blasting prohibited)</t>
        </is>
      </c>
      <c r="C179" s="76" t="inlineStr">
        <is>
          <t>Manual labor (depth ≤1.5m)</t>
        </is>
      </c>
      <c r="D179" s="76" t="inlineStr">
        <is>
          <t>Manual rock chiselling (no blasting)</t>
        </is>
      </c>
      <c r="E179" s="28" t="inlineStr">
        <is>
          <t>10 cum</t>
        </is>
      </c>
      <c r="F179" s="32" t="inlineStr">
        <is>
          <t>Sundries &amp; Allowances</t>
        </is>
      </c>
      <c r="G179" s="21" t="inlineStr">
        <is>
          <t>0133</t>
        </is>
      </c>
      <c r="H179" s="76" t="inlineStr">
        <is>
          <t>Rock Breaker</t>
        </is>
      </c>
      <c r="I179" s="86" t="n">
        <v>6.175</v>
      </c>
      <c r="J179" s="50" t="inlineStr">
        <is>
          <t>day</t>
        </is>
      </c>
      <c r="K179" s="51" t="n">
        <v>558</v>
      </c>
      <c r="L179" s="84" t="n">
        <v>3445.65</v>
      </c>
      <c r="M179" s="52" t="n">
        <v>42.7</v>
      </c>
      <c r="N179" s="89" t="n">
        <v>1.619433198380567</v>
      </c>
      <c r="O179" s="39" t="inlineStr"/>
      <c r="P179" t="inlineStr">
        <is>
          <t>Foundation &amp; Pipeline Trenching|Hard rock (blasting prohibited)|Manual labor (depth ≤1.5m)|Manual rock chiselling (no blasting)|4</t>
        </is>
      </c>
      <c r="Q179" t="n">
        <v>4</v>
      </c>
      <c r="R179" t="n">
        <v>10</v>
      </c>
      <c r="S179" t="inlineStr">
        <is>
          <t>cum</t>
        </is>
      </c>
      <c r="T179" t="n">
        <v>1080.55</v>
      </c>
      <c r="U179" t="inlineStr">
        <is>
          <t>Steel chiselling &amp; hammer striking</t>
        </is>
      </c>
      <c r="V179" t="inlineStr">
        <is>
          <t>Basket Coolie (50m lead / 1.5m lift)</t>
        </is>
      </c>
      <c r="W179" t="inlineStr">
        <is>
          <t>Trench bank disposal</t>
        </is>
      </c>
      <c r="X179" t="inlineStr">
        <is>
          <t>None</t>
        </is>
      </c>
      <c r="Y179" t="inlineStr">
        <is>
          <t>None</t>
        </is>
      </c>
    </row>
    <row r="180" ht="22" customHeight="1">
      <c r="A180" s="16" t="inlineStr">
        <is>
          <t>Foundation &amp; Pipeline Trenching</t>
        </is>
      </c>
      <c r="B180" s="76" t="inlineStr">
        <is>
          <t>Hard rock (blasting prohibited)</t>
        </is>
      </c>
      <c r="C180" s="76" t="inlineStr">
        <is>
          <t>Manual labor (depth ≤1.5m)</t>
        </is>
      </c>
      <c r="D180" s="76" t="inlineStr">
        <is>
          <t>Manual rock chiselling (no blasting)</t>
        </is>
      </c>
      <c r="E180" s="28" t="inlineStr">
        <is>
          <t>10 cum</t>
        </is>
      </c>
      <c r="F180" s="32" t="inlineStr">
        <is>
          <t>Sundries &amp; Allowances</t>
        </is>
      </c>
      <c r="G180" s="21" t="inlineStr">
        <is>
          <t>0135</t>
        </is>
      </c>
      <c r="H180" s="76" t="inlineStr">
        <is>
          <t>Stone Chiseller</t>
        </is>
      </c>
      <c r="I180" s="86" t="n">
        <v>1.06</v>
      </c>
      <c r="J180" s="50" t="inlineStr">
        <is>
          <t>day</t>
        </is>
      </c>
      <c r="K180" s="51" t="n">
        <v>617</v>
      </c>
      <c r="L180" s="84" t="n">
        <v>654.02</v>
      </c>
      <c r="M180" s="52" t="n">
        <v>8.1</v>
      </c>
      <c r="N180" s="89" t="n">
        <v>9.433962264150942</v>
      </c>
      <c r="O180" s="39" t="inlineStr"/>
      <c r="P180" t="inlineStr">
        <is>
          <t>Foundation &amp; Pipeline Trenching|Hard rock (blasting prohibited)|Manual labor (depth ≤1.5m)|Manual rock chiselling (no blasting)|5</t>
        </is>
      </c>
      <c r="Q180" t="n">
        <v>5</v>
      </c>
      <c r="R180" t="n">
        <v>10</v>
      </c>
      <c r="S180" t="inlineStr">
        <is>
          <t>cum</t>
        </is>
      </c>
      <c r="T180" t="n">
        <v>1080.55</v>
      </c>
      <c r="U180" t="inlineStr">
        <is>
          <t>Steel chiselling &amp; hammer striking</t>
        </is>
      </c>
      <c r="V180" t="inlineStr">
        <is>
          <t>Basket Coolie (50m lead / 1.5m lift)</t>
        </is>
      </c>
      <c r="W180" t="inlineStr">
        <is>
          <t>Trench bank disposal</t>
        </is>
      </c>
      <c r="X180" t="inlineStr">
        <is>
          <t>None</t>
        </is>
      </c>
      <c r="Y180" t="inlineStr">
        <is>
          <t>None</t>
        </is>
      </c>
    </row>
    <row r="181" ht="22" customHeight="1">
      <c r="A181" s="16" t="inlineStr">
        <is>
          <t>Foundation &amp; Pipeline Trenching</t>
        </is>
      </c>
      <c r="B181" s="76" t="inlineStr">
        <is>
          <t>Hard rock (blasting prohibited)</t>
        </is>
      </c>
      <c r="C181" s="76" t="inlineStr">
        <is>
          <t>Manual labor (depth ≤1.5m)</t>
        </is>
      </c>
      <c r="D181" s="76" t="inlineStr">
        <is>
          <t>Manual rock chiselling (no blasting)</t>
        </is>
      </c>
      <c r="E181" s="28" t="inlineStr">
        <is>
          <t>10 cum</t>
        </is>
      </c>
      <c r="F181" s="32" t="inlineStr">
        <is>
          <t>Sundries &amp; Allowances</t>
        </is>
      </c>
      <c r="G181" s="21" t="inlineStr">
        <is>
          <t>0103</t>
        </is>
      </c>
      <c r="H181" s="76" t="inlineStr">
        <is>
          <t>Blacksmith 2nd class</t>
        </is>
      </c>
      <c r="I181" s="86" t="n">
        <v>0.175</v>
      </c>
      <c r="J181" s="50" t="inlineStr">
        <is>
          <t>day</t>
        </is>
      </c>
      <c r="K181" s="51" t="n">
        <v>679</v>
      </c>
      <c r="L181" s="84" t="n">
        <v>118.82</v>
      </c>
      <c r="M181" s="52" t="n">
        <v>1.5</v>
      </c>
      <c r="N181" s="89" t="n">
        <v>57.14285714285715</v>
      </c>
      <c r="O181" s="39" t="inlineStr"/>
      <c r="P181" t="inlineStr">
        <is>
          <t>Foundation &amp; Pipeline Trenching|Hard rock (blasting prohibited)|Manual labor (depth ≤1.5m)|Manual rock chiselling (no blasting)|6</t>
        </is>
      </c>
      <c r="Q181" t="n">
        <v>6</v>
      </c>
      <c r="R181" t="n">
        <v>10</v>
      </c>
      <c r="S181" t="inlineStr">
        <is>
          <t>cum</t>
        </is>
      </c>
      <c r="T181" t="n">
        <v>1080.55</v>
      </c>
      <c r="U181" t="inlineStr">
        <is>
          <t>Steel chiselling &amp; hammer striking</t>
        </is>
      </c>
      <c r="V181" t="inlineStr">
        <is>
          <t>Basket Coolie (50m lead / 1.5m lift)</t>
        </is>
      </c>
      <c r="W181" t="inlineStr">
        <is>
          <t>Trench bank disposal</t>
        </is>
      </c>
      <c r="X181" t="inlineStr">
        <is>
          <t>None</t>
        </is>
      </c>
      <c r="Y181" t="inlineStr">
        <is>
          <t>None</t>
        </is>
      </c>
    </row>
    <row r="182" ht="22" customHeight="1">
      <c r="A182" s="16" t="inlineStr">
        <is>
          <t>Foundation &amp; Pipeline Trenching</t>
        </is>
      </c>
      <c r="B182" s="76" t="inlineStr">
        <is>
          <t>Hard rock (blasting prohibited)</t>
        </is>
      </c>
      <c r="C182" s="76" t="inlineStr">
        <is>
          <t>Manual labor (depth ≤1.5m)</t>
        </is>
      </c>
      <c r="D182" s="76" t="inlineStr">
        <is>
          <t>Manual rock chiselling (no blasting)</t>
        </is>
      </c>
      <c r="E182" s="28" t="inlineStr">
        <is>
          <t>10 cum</t>
        </is>
      </c>
      <c r="F182" s="32" t="inlineStr">
        <is>
          <t>Labour (Semi-Skilled / Operational)</t>
        </is>
      </c>
      <c r="G182" s="21" t="inlineStr">
        <is>
          <t>0114</t>
        </is>
      </c>
      <c r="H182" s="76" t="inlineStr">
        <is>
          <t>Beldar</t>
        </is>
      </c>
      <c r="I182" s="86" t="n">
        <v>0.75</v>
      </c>
      <c r="J182" s="50" t="inlineStr">
        <is>
          <t>day</t>
        </is>
      </c>
      <c r="K182" s="51" t="n">
        <v>558</v>
      </c>
      <c r="L182" s="84" t="n">
        <v>418.5</v>
      </c>
      <c r="M182" s="52" t="n">
        <v>5.2</v>
      </c>
      <c r="N182" s="89" t="n">
        <v>13.33333333333333</v>
      </c>
      <c r="O182" s="39" t="inlineStr"/>
      <c r="P182" t="inlineStr">
        <is>
          <t>Foundation &amp; Pipeline Trenching|Hard rock (blasting prohibited)|Manual labor (depth ≤1.5m)|Manual rock chiselling (no blasting)|7</t>
        </is>
      </c>
      <c r="Q182" t="n">
        <v>7</v>
      </c>
      <c r="R182" t="n">
        <v>10</v>
      </c>
      <c r="S182" t="inlineStr">
        <is>
          <t>cum</t>
        </is>
      </c>
      <c r="T182" t="n">
        <v>1080.55</v>
      </c>
      <c r="U182" t="inlineStr">
        <is>
          <t>Steel chiselling &amp; hammer striking</t>
        </is>
      </c>
      <c r="V182" t="inlineStr">
        <is>
          <t>Basket Coolie (50m lead / 1.5m lift)</t>
        </is>
      </c>
      <c r="W182" t="inlineStr">
        <is>
          <t>Trench bank disposal</t>
        </is>
      </c>
      <c r="X182" t="inlineStr">
        <is>
          <t>None</t>
        </is>
      </c>
      <c r="Y182" t="inlineStr">
        <is>
          <t>None</t>
        </is>
      </c>
    </row>
    <row r="183" ht="22" customHeight="1">
      <c r="A183" s="16" t="inlineStr">
        <is>
          <t>Foundation &amp; Pipeline Trenching</t>
        </is>
      </c>
      <c r="B183" s="76" t="inlineStr">
        <is>
          <t>Hard rock (blasting prohibited)</t>
        </is>
      </c>
      <c r="C183" s="76" t="inlineStr">
        <is>
          <t>Manual labor (depth ≤1.5m)</t>
        </is>
      </c>
      <c r="D183" s="76" t="inlineStr">
        <is>
          <t>Manual rock chiselling (no blasting)</t>
        </is>
      </c>
      <c r="E183" s="28" t="inlineStr">
        <is>
          <t>10 cum</t>
        </is>
      </c>
      <c r="F183" s="32" t="inlineStr">
        <is>
          <t>Labour (Unskilled / Haulage)</t>
        </is>
      </c>
      <c r="G183" s="21" t="inlineStr">
        <is>
          <t>0115</t>
        </is>
      </c>
      <c r="H183" s="76" t="inlineStr">
        <is>
          <t>Coolie</t>
        </is>
      </c>
      <c r="I183" s="86" t="n">
        <v>1.5</v>
      </c>
      <c r="J183" s="50" t="inlineStr">
        <is>
          <t>day</t>
        </is>
      </c>
      <c r="K183" s="51" t="n">
        <v>558</v>
      </c>
      <c r="L183" s="84" t="n">
        <v>837</v>
      </c>
      <c r="M183" s="52" t="n">
        <v>10.4</v>
      </c>
      <c r="N183" s="89" t="n">
        <v>6.666666666666667</v>
      </c>
      <c r="O183" s="39" t="inlineStr"/>
      <c r="P183" t="inlineStr">
        <is>
          <t>Foundation &amp; Pipeline Trenching|Hard rock (blasting prohibited)|Manual labor (depth ≤1.5m)|Manual rock chiselling (no blasting)|8</t>
        </is>
      </c>
      <c r="Q183" t="n">
        <v>8</v>
      </c>
      <c r="R183" t="n">
        <v>10</v>
      </c>
      <c r="S183" t="inlineStr">
        <is>
          <t>cum</t>
        </is>
      </c>
      <c r="T183" t="n">
        <v>1080.55</v>
      </c>
      <c r="U183" t="inlineStr">
        <is>
          <t>Steel chiselling &amp; hammer striking</t>
        </is>
      </c>
      <c r="V183" t="inlineStr">
        <is>
          <t>Basket Coolie (50m lead / 1.5m lift)</t>
        </is>
      </c>
      <c r="W183" t="inlineStr">
        <is>
          <t>Trench bank disposal</t>
        </is>
      </c>
      <c r="X183" t="inlineStr">
        <is>
          <t>None</t>
        </is>
      </c>
      <c r="Y183" t="inlineStr">
        <is>
          <t>None</t>
        </is>
      </c>
    </row>
    <row r="184" ht="22" customHeight="1">
      <c r="A184" s="16" t="inlineStr">
        <is>
          <t>Foundation &amp; Pipeline Trenching</t>
        </is>
      </c>
      <c r="B184" s="76" t="inlineStr">
        <is>
          <t>Hard rock (blasting prohibited)</t>
        </is>
      </c>
      <c r="C184" s="76" t="inlineStr">
        <is>
          <t>Manual labor (depth ≤1.5m)</t>
        </is>
      </c>
      <c r="D184" s="76" t="inlineStr">
        <is>
          <t>Manual rock chiselling (no blasting)</t>
        </is>
      </c>
      <c r="E184" s="28" t="inlineStr">
        <is>
          <t>10 cum</t>
        </is>
      </c>
      <c r="F184" s="32" t="inlineStr">
        <is>
          <t>Sundries &amp; Allowances</t>
        </is>
      </c>
      <c r="G184" s="21" t="inlineStr">
        <is>
          <t>9999</t>
        </is>
      </c>
      <c r="H184" s="76" t="inlineStr">
        <is>
          <t>Sundries</t>
        </is>
      </c>
      <c r="I184" s="86" t="n">
        <v>17.94</v>
      </c>
      <c r="J184" s="50" t="inlineStr">
        <is>
          <t>L.S.</t>
        </is>
      </c>
      <c r="K184" s="51" t="n">
        <v>2</v>
      </c>
      <c r="L184" s="84" t="n">
        <v>35.88</v>
      </c>
      <c r="M184" s="52" t="n">
        <v>0.4</v>
      </c>
      <c r="N184" s="32" t="inlineStr"/>
      <c r="O184" s="39" t="inlineStr"/>
      <c r="P184" t="inlineStr">
        <is>
          <t>Foundation &amp; Pipeline Trenching|Hard rock (blasting prohibited)|Manual labor (depth ≤1.5m)|Manual rock chiselling (no blasting)|9</t>
        </is>
      </c>
      <c r="Q184" t="n">
        <v>9</v>
      </c>
      <c r="R184" t="n">
        <v>10</v>
      </c>
      <c r="S184" t="inlineStr">
        <is>
          <t>cum</t>
        </is>
      </c>
      <c r="T184" t="n">
        <v>1080.55</v>
      </c>
      <c r="U184" t="inlineStr">
        <is>
          <t>Steel chiselling &amp; hammer striking</t>
        </is>
      </c>
      <c r="V184" t="inlineStr">
        <is>
          <t>Basket Coolie (50m lead / 1.5m lift)</t>
        </is>
      </c>
      <c r="W184" t="inlineStr">
        <is>
          <t>Trench bank disposal</t>
        </is>
      </c>
      <c r="X184" t="inlineStr">
        <is>
          <t>None</t>
        </is>
      </c>
      <c r="Y184" t="inlineStr">
        <is>
          <t>None</t>
        </is>
      </c>
    </row>
    <row r="185" ht="22" customHeight="1">
      <c r="A185" s="16" t="inlineStr">
        <is>
          <t>Foundation &amp; Pipeline Trenching</t>
        </is>
      </c>
      <c r="B185" s="76" t="inlineStr">
        <is>
          <t>All kinds of soil</t>
        </is>
      </c>
      <c r="C185" s="76" t="inlineStr">
        <is>
          <t>Manual labor (depth ≤1.5m)</t>
        </is>
      </c>
      <c r="D185" s="76" t="inlineStr">
        <is>
          <t>Pipe / Cable trenches (dia ≤ 80 mm)</t>
        </is>
      </c>
      <c r="E185" s="28" t="inlineStr">
        <is>
          <t>1 m</t>
        </is>
      </c>
      <c r="F185" s="32" t="inlineStr">
        <is>
          <t>Sundries &amp; Allowances</t>
        </is>
      </c>
      <c r="G185" s="21" t="inlineStr">
        <is>
          <t>2.8.1</t>
        </is>
      </c>
      <c r="H185" s="76" t="inlineStr">
        <is>
          <t>Rate item 2.8.1 – Mech exca foundation all soil</t>
        </is>
      </c>
      <c r="I185" s="86" t="n">
        <v>0.4725</v>
      </c>
      <c r="J185" s="50" t="inlineStr">
        <is>
          <t>cum</t>
        </is>
      </c>
      <c r="K185" s="51" t="n">
        <v>252.3</v>
      </c>
      <c r="L185" s="84" t="n">
        <v>119.21</v>
      </c>
      <c r="M185" s="52" t="n">
        <v>53.5</v>
      </c>
      <c r="N185" s="32" t="inlineStr"/>
      <c r="O185" s="39" t="inlineStr">
        <is>
          <t>85.05 cum per 180 m = 0.4725 cum/m</t>
        </is>
      </c>
      <c r="P185" t="inlineStr">
        <is>
          <t>Foundation &amp; Pipeline Trenching|All kinds of soil|Manual labor (depth ≤1.5m)|Pipe / Cable trenches (dia ≤ 80 mm)|1</t>
        </is>
      </c>
      <c r="Q185" t="n">
        <v>1</v>
      </c>
      <c r="R185" t="n">
        <v>1</v>
      </c>
      <c r="S185" t="inlineStr">
        <is>
          <t>m</t>
        </is>
      </c>
      <c r="T185" t="n">
        <v>223</v>
      </c>
      <c r="U185" t="inlineStr">
        <is>
          <t>Narrow trench spade / pickaxe</t>
        </is>
      </c>
      <c r="V185" t="inlineStr">
        <is>
          <t>Basket Coolie along trench edge</t>
        </is>
      </c>
      <c r="W185" t="inlineStr">
        <is>
          <t>Trench bank disposal</t>
        </is>
      </c>
      <c r="X185" t="inlineStr">
        <is>
          <t>None</t>
        </is>
      </c>
      <c r="Y185" t="inlineStr">
        <is>
          <t>None</t>
        </is>
      </c>
    </row>
    <row r="186" ht="22" customHeight="1">
      <c r="A186" s="16" t="inlineStr">
        <is>
          <t>Foundation &amp; Pipeline Trenching</t>
        </is>
      </c>
      <c r="B186" s="76" t="inlineStr">
        <is>
          <t>All kinds of soil</t>
        </is>
      </c>
      <c r="C186" s="76" t="inlineStr">
        <is>
          <t>Manual labor (depth ≤1.5m)</t>
        </is>
      </c>
      <c r="D186" s="76" t="inlineStr">
        <is>
          <t>Pipe / Cable trenches (dia ≤ 80 mm)</t>
        </is>
      </c>
      <c r="E186" s="28" t="inlineStr">
        <is>
          <t>1 m</t>
        </is>
      </c>
      <c r="F186" s="32" t="inlineStr">
        <is>
          <t>Sundries &amp; Allowances</t>
        </is>
      </c>
      <c r="G186" s="21" t="inlineStr">
        <is>
          <t>2.25</t>
        </is>
      </c>
      <c r="H186" s="76" t="inlineStr">
        <is>
          <t>Rate item 2.25 – Filling excavated earth</t>
        </is>
      </c>
      <c r="I186" s="86" t="n">
        <v>0.4725</v>
      </c>
      <c r="J186" s="50" t="inlineStr">
        <is>
          <t>cum</t>
        </is>
      </c>
      <c r="K186" s="51" t="n">
        <v>219.65</v>
      </c>
      <c r="L186" s="84" t="n">
        <v>103.78</v>
      </c>
      <c r="M186" s="52" t="n">
        <v>46.5</v>
      </c>
      <c r="N186" s="32" t="inlineStr"/>
      <c r="O186" s="39" t="inlineStr"/>
      <c r="P186" t="inlineStr">
        <is>
          <t>Foundation &amp; Pipeline Trenching|All kinds of soil|Manual labor (depth ≤1.5m)|Pipe / Cable trenches (dia ≤ 80 mm)|2</t>
        </is>
      </c>
      <c r="Q186" t="n">
        <v>2</v>
      </c>
      <c r="R186" t="n">
        <v>1</v>
      </c>
      <c r="S186" t="inlineStr">
        <is>
          <t>m</t>
        </is>
      </c>
      <c r="T186" t="n">
        <v>223</v>
      </c>
      <c r="U186" t="inlineStr">
        <is>
          <t>Narrow trench spade / pickaxe</t>
        </is>
      </c>
      <c r="V186" t="inlineStr">
        <is>
          <t>Basket Coolie along trench edge</t>
        </is>
      </c>
      <c r="W186" t="inlineStr">
        <is>
          <t>Trench bank disposal</t>
        </is>
      </c>
      <c r="X186" t="inlineStr">
        <is>
          <t>None</t>
        </is>
      </c>
      <c r="Y186" t="inlineStr">
        <is>
          <t>None</t>
        </is>
      </c>
    </row>
    <row r="187" ht="22" customHeight="1">
      <c r="A187" s="16" t="inlineStr">
        <is>
          <t>Foundation &amp; Pipeline Trenching</t>
        </is>
      </c>
      <c r="B187" s="76" t="inlineStr">
        <is>
          <t>All kinds of soil</t>
        </is>
      </c>
      <c r="C187" s="76" t="inlineStr">
        <is>
          <t>Manual labor (depth ≤1.5m)</t>
        </is>
      </c>
      <c r="D187" s="76" t="inlineStr">
        <is>
          <t>Pipe / Cable trenches (dia 80-300 mm)</t>
        </is>
      </c>
      <c r="E187" s="28" t="inlineStr">
        <is>
          <t>1 m</t>
        </is>
      </c>
      <c r="F187" s="32" t="inlineStr">
        <is>
          <t>Sundries &amp; Allowances</t>
        </is>
      </c>
      <c r="G187" s="21" t="inlineStr">
        <is>
          <t>2.8.1</t>
        </is>
      </c>
      <c r="H187" s="76" t="inlineStr">
        <is>
          <t>Rate item 2.8.1 – Mech exca foundation all soil</t>
        </is>
      </c>
      <c r="I187" s="86" t="n">
        <v>0.7717000000000001</v>
      </c>
      <c r="J187" s="50" t="inlineStr">
        <is>
          <t>cum</t>
        </is>
      </c>
      <c r="K187" s="51" t="n">
        <v>252.3</v>
      </c>
      <c r="L187" s="84" t="n">
        <v>194.7</v>
      </c>
      <c r="M187" s="52" t="n">
        <v>53.5</v>
      </c>
      <c r="N187" s="32" t="inlineStr"/>
      <c r="O187" s="39" t="inlineStr">
        <is>
          <t>84.89 cum per 110 m</t>
        </is>
      </c>
      <c r="P187" t="inlineStr">
        <is>
          <t>Foundation &amp; Pipeline Trenching|All kinds of soil|Manual labor (depth ≤1.5m)|Pipe / Cable trenches (dia 80-300 mm)|1</t>
        </is>
      </c>
      <c r="Q187" t="n">
        <v>1</v>
      </c>
      <c r="R187" t="n">
        <v>1</v>
      </c>
      <c r="S187" t="inlineStr">
        <is>
          <t>m</t>
        </is>
      </c>
      <c r="T187" t="n">
        <v>364.2</v>
      </c>
      <c r="U187" t="inlineStr">
        <is>
          <t>Narrow trench spade / pickaxe</t>
        </is>
      </c>
      <c r="V187" t="inlineStr">
        <is>
          <t>Basket Coolie along trench edge</t>
        </is>
      </c>
      <c r="W187" t="inlineStr">
        <is>
          <t>Trench bank disposal</t>
        </is>
      </c>
      <c r="X187" t="inlineStr">
        <is>
          <t>None</t>
        </is>
      </c>
      <c r="Y187" t="inlineStr">
        <is>
          <t>None</t>
        </is>
      </c>
    </row>
    <row r="188" ht="22" customHeight="1">
      <c r="A188" s="16" t="inlineStr">
        <is>
          <t>Foundation &amp; Pipeline Trenching</t>
        </is>
      </c>
      <c r="B188" s="76" t="inlineStr">
        <is>
          <t>All kinds of soil</t>
        </is>
      </c>
      <c r="C188" s="76" t="inlineStr">
        <is>
          <t>Manual labor (depth ≤1.5m)</t>
        </is>
      </c>
      <c r="D188" s="76" t="inlineStr">
        <is>
          <t>Pipe / Cable trenches (dia 80-300 mm)</t>
        </is>
      </c>
      <c r="E188" s="28" t="inlineStr">
        <is>
          <t>1 m</t>
        </is>
      </c>
      <c r="F188" s="32" t="inlineStr">
        <is>
          <t>Sundries &amp; Allowances</t>
        </is>
      </c>
      <c r="G188" s="21" t="inlineStr">
        <is>
          <t>2.25</t>
        </is>
      </c>
      <c r="H188" s="76" t="inlineStr">
        <is>
          <t>Rate item 2.25 – Filling excavated earth</t>
        </is>
      </c>
      <c r="I188" s="86" t="n">
        <v>0.7717000000000001</v>
      </c>
      <c r="J188" s="50" t="inlineStr">
        <is>
          <t>cum</t>
        </is>
      </c>
      <c r="K188" s="51" t="n">
        <v>219.65</v>
      </c>
      <c r="L188" s="84" t="n">
        <v>169.5</v>
      </c>
      <c r="M188" s="52" t="n">
        <v>46.5</v>
      </c>
      <c r="N188" s="32" t="inlineStr"/>
      <c r="O188" s="39" t="inlineStr"/>
      <c r="P188" t="inlineStr">
        <is>
          <t>Foundation &amp; Pipeline Trenching|All kinds of soil|Manual labor (depth ≤1.5m)|Pipe / Cable trenches (dia 80-300 mm)|2</t>
        </is>
      </c>
      <c r="Q188" t="n">
        <v>2</v>
      </c>
      <c r="R188" t="n">
        <v>1</v>
      </c>
      <c r="S188" t="inlineStr">
        <is>
          <t>m</t>
        </is>
      </c>
      <c r="T188" t="n">
        <v>364.2</v>
      </c>
      <c r="U188" t="inlineStr">
        <is>
          <t>Narrow trench spade / pickaxe</t>
        </is>
      </c>
      <c r="V188" t="inlineStr">
        <is>
          <t>Basket Coolie along trench edge</t>
        </is>
      </c>
      <c r="W188" t="inlineStr">
        <is>
          <t>Trench bank disposal</t>
        </is>
      </c>
      <c r="X188" t="inlineStr">
        <is>
          <t>None</t>
        </is>
      </c>
      <c r="Y188" t="inlineStr">
        <is>
          <t>None</t>
        </is>
      </c>
    </row>
    <row r="189" ht="22" customHeight="1">
      <c r="A189" s="16" t="inlineStr">
        <is>
          <t>Foundation &amp; Pipeline Trenching</t>
        </is>
      </c>
      <c r="B189" s="76" t="inlineStr">
        <is>
          <t>All kinds of soil</t>
        </is>
      </c>
      <c r="C189" s="76" t="inlineStr">
        <is>
          <t>Manual labor (depth ≤1.5m)</t>
        </is>
      </c>
      <c r="D189" s="76" t="inlineStr">
        <is>
          <t>Pipe / Cable trenches (dia &gt; 300 mm)</t>
        </is>
      </c>
      <c r="E189" s="28" t="inlineStr">
        <is>
          <t>1 m</t>
        </is>
      </c>
      <c r="F189" s="32" t="inlineStr">
        <is>
          <t>Sundries &amp; Allowances</t>
        </is>
      </c>
      <c r="G189" s="21" t="inlineStr">
        <is>
          <t>2.8.1</t>
        </is>
      </c>
      <c r="H189" s="76" t="inlineStr">
        <is>
          <t>Rate item 2.8.1 – Mech exca foundation all soil</t>
        </is>
      </c>
      <c r="I189" s="86" t="n">
        <v>1.2048</v>
      </c>
      <c r="J189" s="50" t="inlineStr">
        <is>
          <t>cum</t>
        </is>
      </c>
      <c r="K189" s="51" t="n">
        <v>252.3</v>
      </c>
      <c r="L189" s="84" t="n">
        <v>303.97</v>
      </c>
      <c r="M189" s="52" t="n">
        <v>53.5</v>
      </c>
      <c r="N189" s="32" t="inlineStr"/>
      <c r="O189" s="39" t="inlineStr">
        <is>
          <t>72.29 cum per 60 m</t>
        </is>
      </c>
      <c r="P189" t="inlineStr">
        <is>
          <t>Foundation &amp; Pipeline Trenching|All kinds of soil|Manual labor (depth ≤1.5m)|Pipe / Cable trenches (dia &gt; 300 mm)|1</t>
        </is>
      </c>
      <c r="Q189" t="n">
        <v>1</v>
      </c>
      <c r="R189" t="n">
        <v>1</v>
      </c>
      <c r="S189" t="inlineStr">
        <is>
          <t>m</t>
        </is>
      </c>
      <c r="T189" t="n">
        <v>568.8</v>
      </c>
      <c r="U189" t="inlineStr">
        <is>
          <t>Pickaxe &amp; shovel Beldar</t>
        </is>
      </c>
      <c r="V189" t="inlineStr">
        <is>
          <t>Basket Coolie along trench edge</t>
        </is>
      </c>
      <c r="W189" t="inlineStr">
        <is>
          <t>Trench bank disposal</t>
        </is>
      </c>
      <c r="X189" t="inlineStr">
        <is>
          <t>None</t>
        </is>
      </c>
      <c r="Y189" t="inlineStr">
        <is>
          <t>None</t>
        </is>
      </c>
    </row>
    <row r="190" ht="22" customHeight="1">
      <c r="A190" s="16" t="inlineStr">
        <is>
          <t>Foundation &amp; Pipeline Trenching</t>
        </is>
      </c>
      <c r="B190" s="76" t="inlineStr">
        <is>
          <t>All kinds of soil</t>
        </is>
      </c>
      <c r="C190" s="76" t="inlineStr">
        <is>
          <t>Manual labor (depth ≤1.5m)</t>
        </is>
      </c>
      <c r="D190" s="76" t="inlineStr">
        <is>
          <t>Pipe / Cable trenches (dia &gt; 300 mm)</t>
        </is>
      </c>
      <c r="E190" s="28" t="inlineStr">
        <is>
          <t>1 m</t>
        </is>
      </c>
      <c r="F190" s="32" t="inlineStr">
        <is>
          <t>Sundries &amp; Allowances</t>
        </is>
      </c>
      <c r="G190" s="21" t="inlineStr">
        <is>
          <t>2.25</t>
        </is>
      </c>
      <c r="H190" s="76" t="inlineStr">
        <is>
          <t>Rate item 2.25 – Filling excavated earth</t>
        </is>
      </c>
      <c r="I190" s="86" t="n">
        <v>1.2048</v>
      </c>
      <c r="J190" s="50" t="inlineStr">
        <is>
          <t>cum</t>
        </is>
      </c>
      <c r="K190" s="51" t="n">
        <v>219.65</v>
      </c>
      <c r="L190" s="84" t="n">
        <v>264.63</v>
      </c>
      <c r="M190" s="52" t="n">
        <v>46.5</v>
      </c>
      <c r="N190" s="32" t="inlineStr"/>
      <c r="O190" s="39" t="inlineStr"/>
      <c r="P190" t="inlineStr">
        <is>
          <t>Foundation &amp; Pipeline Trenching|All kinds of soil|Manual labor (depth ≤1.5m)|Pipe / Cable trenches (dia &gt; 300 mm)|2</t>
        </is>
      </c>
      <c r="Q190" t="n">
        <v>2</v>
      </c>
      <c r="R190" t="n">
        <v>1</v>
      </c>
      <c r="S190" t="inlineStr">
        <is>
          <t>m</t>
        </is>
      </c>
      <c r="T190" t="n">
        <v>568.8</v>
      </c>
      <c r="U190" t="inlineStr">
        <is>
          <t>Pickaxe &amp; shovel Beldar</t>
        </is>
      </c>
      <c r="V190" t="inlineStr">
        <is>
          <t>Basket Coolie along trench edge</t>
        </is>
      </c>
      <c r="W190" t="inlineStr">
        <is>
          <t>Trench bank disposal</t>
        </is>
      </c>
      <c r="X190" t="inlineStr">
        <is>
          <t>None</t>
        </is>
      </c>
      <c r="Y190" t="inlineStr">
        <is>
          <t>None</t>
        </is>
      </c>
    </row>
    <row r="191" ht="22" customHeight="1">
      <c r="A191" s="16" t="inlineStr">
        <is>
          <t>Foundation &amp; Pipeline Trenching</t>
        </is>
      </c>
      <c r="B191" s="76" t="inlineStr">
        <is>
          <t>All kinds of soil</t>
        </is>
      </c>
      <c r="C191" s="76" t="inlineStr">
        <is>
          <t>Extra depth &gt;1.5m to 3.0m</t>
        </is>
      </c>
      <c r="D191" s="76" t="inlineStr">
        <is>
          <t>Extra for pipe trench depth 1.5m to 3.0m</t>
        </is>
      </c>
      <c r="E191" s="28" t="inlineStr">
        <is>
          <t>1 m</t>
        </is>
      </c>
      <c r="F191" s="32" t="inlineStr">
        <is>
          <t>Sundries &amp; Allowances</t>
        </is>
      </c>
      <c r="G191" s="21" t="inlineStr">
        <is>
          <t>2.10.1.2</t>
        </is>
      </c>
      <c r="H191" s="76" t="inlineStr">
        <is>
          <t>Base: Rate item 2.10.1.2 (soil trench 80-300mm)</t>
        </is>
      </c>
      <c r="I191" s="86" t="n">
        <v>1.27</v>
      </c>
      <c r="J191" s="50" t="inlineStr">
        <is>
          <t>pct</t>
        </is>
      </c>
      <c r="K191" s="51" t="n">
        <v>364.2</v>
      </c>
      <c r="L191" s="84" t="n">
        <v>462.53</v>
      </c>
      <c r="M191" s="52" t="n">
        <v>100</v>
      </c>
      <c r="N191" s="32" t="inlineStr"/>
      <c r="O191" s="39" t="inlineStr">
        <is>
          <t>127% of 2.10.1.2 rate; extra for depth 1.5-3m</t>
        </is>
      </c>
      <c r="P191" t="inlineStr">
        <is>
          <t>Foundation &amp; Pipeline Trenching|All kinds of soil|Extra depth &gt;1.5m to 3.0m|Extra for pipe trench depth 1.5m to 3.0m|1</t>
        </is>
      </c>
      <c r="Q191" t="n">
        <v>1</v>
      </c>
      <c r="R191" t="n">
        <v>1</v>
      </c>
      <c r="S191" t="inlineStr">
        <is>
          <t>m</t>
        </is>
      </c>
      <c r="T191" t="n">
        <v>127</v>
      </c>
      <c r="U191" t="inlineStr">
        <is>
          <t>Deep trench pickaxe</t>
        </is>
      </c>
      <c r="V191" t="inlineStr">
        <is>
          <t>Double handling stage lift</t>
        </is>
      </c>
      <c r="W191" t="inlineStr">
        <is>
          <t>Trench bank disposal</t>
        </is>
      </c>
      <c r="X191" t="inlineStr">
        <is>
          <t>None</t>
        </is>
      </c>
      <c r="Y191" t="inlineStr">
        <is>
          <t>None</t>
        </is>
      </c>
    </row>
    <row r="192" ht="22" customHeight="1">
      <c r="A192" s="16" t="inlineStr">
        <is>
          <t>Foundation &amp; Pipeline Trenching</t>
        </is>
      </c>
      <c r="B192" s="76" t="inlineStr">
        <is>
          <t>All kinds of soil</t>
        </is>
      </c>
      <c r="C192" s="76" t="inlineStr">
        <is>
          <t>Extra depth &gt;3.0m to 4.5m</t>
        </is>
      </c>
      <c r="D192" s="76" t="inlineStr">
        <is>
          <t>Extra for pipe trench depth 3.0m to 4.5m</t>
        </is>
      </c>
      <c r="E192" s="28" t="inlineStr">
        <is>
          <t>1 m</t>
        </is>
      </c>
      <c r="F192" s="32" t="inlineStr">
        <is>
          <t>Sundries &amp; Allowances</t>
        </is>
      </c>
      <c r="G192" s="21" t="inlineStr">
        <is>
          <t>2.10.1.2</t>
        </is>
      </c>
      <c r="H192" s="76" t="inlineStr">
        <is>
          <t>Base: Rate item 2.10.1.2 (soil trench 80-300mm)</t>
        </is>
      </c>
      <c r="I192" s="86" t="n">
        <v>3.1504</v>
      </c>
      <c r="J192" s="50" t="inlineStr">
        <is>
          <t>pct</t>
        </is>
      </c>
      <c r="K192" s="51" t="n">
        <v>364.2</v>
      </c>
      <c r="L192" s="84" t="n">
        <v>1147.38</v>
      </c>
      <c r="M192" s="52" t="n">
        <v>100</v>
      </c>
      <c r="N192" s="32" t="inlineStr"/>
      <c r="O192" s="39" t="inlineStr">
        <is>
          <t>315.04% of 2.10.1.2 rate; extra for depth 3-4.5m</t>
        </is>
      </c>
      <c r="P192" t="inlineStr">
        <is>
          <t>Foundation &amp; Pipeline Trenching|All kinds of soil|Extra depth &gt;3.0m to 4.5m|Extra for pipe trench depth 3.0m to 4.5m|1</t>
        </is>
      </c>
      <c r="Q192" t="n">
        <v>1</v>
      </c>
      <c r="R192" t="n">
        <v>1</v>
      </c>
      <c r="S192" t="inlineStr">
        <is>
          <t>m</t>
        </is>
      </c>
      <c r="T192" t="n">
        <v>315.05</v>
      </c>
      <c r="U192" t="inlineStr">
        <is>
          <t>Deep trench pickaxe</t>
        </is>
      </c>
      <c r="V192" t="inlineStr">
        <is>
          <t>Triple stage hoist / lift</t>
        </is>
      </c>
      <c r="W192" t="inlineStr">
        <is>
          <t>Trench bank disposal</t>
        </is>
      </c>
      <c r="X192" t="inlineStr">
        <is>
          <t>None</t>
        </is>
      </c>
      <c r="Y192" t="inlineStr">
        <is>
          <t>None</t>
        </is>
      </c>
    </row>
    <row r="193" ht="22" customHeight="1">
      <c r="A193" s="16" t="inlineStr">
        <is>
          <t>Foundation &amp; Pipeline Trenching</t>
        </is>
      </c>
      <c r="B193" s="76" t="inlineStr">
        <is>
          <t>Ordinary rock</t>
        </is>
      </c>
      <c r="C193" s="76" t="inlineStr">
        <is>
          <t>Manual labor (depth ≤1.5m)</t>
        </is>
      </c>
      <c r="D193" s="76" t="inlineStr">
        <is>
          <t>Pipe trenches in ordinary rock (≤80mm)</t>
        </is>
      </c>
      <c r="E193" s="28" t="inlineStr">
        <is>
          <t>1 m</t>
        </is>
      </c>
      <c r="F193" s="32" t="inlineStr">
        <is>
          <t>Sundries &amp; Allowances</t>
        </is>
      </c>
      <c r="G193" s="21" t="inlineStr">
        <is>
          <t>2.9.1</t>
        </is>
      </c>
      <c r="H193" s="76" t="inlineStr">
        <is>
          <t>Rate item 2.9.1 – Foundation trench ordinary rock</t>
        </is>
      </c>
      <c r="I193" s="86" t="n">
        <v>0.4725</v>
      </c>
      <c r="J193" s="50" t="inlineStr">
        <is>
          <t>cum</t>
        </is>
      </c>
      <c r="K193" s="51" t="n">
        <v>448.15</v>
      </c>
      <c r="L193" s="84" t="n">
        <v>211.75</v>
      </c>
      <c r="M193" s="52" t="n">
        <v>65.8</v>
      </c>
      <c r="N193" s="32" t="inlineStr"/>
      <c r="O193" s="39" t="inlineStr"/>
      <c r="P193" t="inlineStr">
        <is>
          <t>Foundation &amp; Pipeline Trenching|Ordinary rock|Manual labor (depth ≤1.5m)|Pipe trenches in ordinary rock (≤80mm)|1</t>
        </is>
      </c>
      <c r="Q193" t="n">
        <v>1</v>
      </c>
      <c r="R193" t="n">
        <v>1</v>
      </c>
      <c r="S193" t="inlineStr">
        <is>
          <t>m</t>
        </is>
      </c>
      <c r="T193" t="n">
        <v>323.85</v>
      </c>
      <c r="U193" t="inlineStr">
        <is>
          <t>Crowbar &amp; sledge hammer</t>
        </is>
      </c>
      <c r="V193" t="inlineStr">
        <is>
          <t>Basket Coolie along trench edge</t>
        </is>
      </c>
      <c r="W193" t="inlineStr">
        <is>
          <t>Trench bank disposal</t>
        </is>
      </c>
      <c r="X193" t="inlineStr">
        <is>
          <t>None</t>
        </is>
      </c>
      <c r="Y193" t="inlineStr">
        <is>
          <t>None</t>
        </is>
      </c>
    </row>
    <row r="194" ht="22" customHeight="1">
      <c r="A194" s="16" t="inlineStr">
        <is>
          <t>Foundation &amp; Pipeline Trenching</t>
        </is>
      </c>
      <c r="B194" s="76" t="inlineStr">
        <is>
          <t>Ordinary rock</t>
        </is>
      </c>
      <c r="C194" s="76" t="inlineStr">
        <is>
          <t>Manual labor (depth ≤1.5m)</t>
        </is>
      </c>
      <c r="D194" s="76" t="inlineStr">
        <is>
          <t>Pipe trenches in ordinary rock (≤80mm)</t>
        </is>
      </c>
      <c r="E194" s="28" t="inlineStr">
        <is>
          <t>1 m</t>
        </is>
      </c>
      <c r="F194" s="32" t="inlineStr">
        <is>
          <t>Sundries &amp; Allowances</t>
        </is>
      </c>
      <c r="G194" s="21" t="inlineStr">
        <is>
          <t>2.25</t>
        </is>
      </c>
      <c r="H194" s="76" t="inlineStr">
        <is>
          <t>Rate item 2.25 – Filling excavated earth</t>
        </is>
      </c>
      <c r="I194" s="86" t="n">
        <v>0.4725</v>
      </c>
      <c r="J194" s="50" t="inlineStr">
        <is>
          <t>cum</t>
        </is>
      </c>
      <c r="K194" s="51" t="n">
        <v>219.65</v>
      </c>
      <c r="L194" s="84" t="n">
        <v>103.78</v>
      </c>
      <c r="M194" s="52" t="n">
        <v>32.3</v>
      </c>
      <c r="N194" s="32" t="inlineStr"/>
      <c r="O194" s="39" t="inlineStr"/>
      <c r="P194" t="inlineStr">
        <is>
          <t>Foundation &amp; Pipeline Trenching|Ordinary rock|Manual labor (depth ≤1.5m)|Pipe trenches in ordinary rock (≤80mm)|2</t>
        </is>
      </c>
      <c r="Q194" t="n">
        <v>2</v>
      </c>
      <c r="R194" t="n">
        <v>1</v>
      </c>
      <c r="S194" t="inlineStr">
        <is>
          <t>m</t>
        </is>
      </c>
      <c r="T194" t="n">
        <v>323.85</v>
      </c>
      <c r="U194" t="inlineStr">
        <is>
          <t>Crowbar &amp; sledge hammer</t>
        </is>
      </c>
      <c r="V194" t="inlineStr">
        <is>
          <t>Basket Coolie along trench edge</t>
        </is>
      </c>
      <c r="W194" t="inlineStr">
        <is>
          <t>Trench bank disposal</t>
        </is>
      </c>
      <c r="X194" t="inlineStr">
        <is>
          <t>None</t>
        </is>
      </c>
      <c r="Y194" t="inlineStr">
        <is>
          <t>None</t>
        </is>
      </c>
    </row>
    <row r="195" ht="22" customHeight="1">
      <c r="A195" s="16" t="inlineStr">
        <is>
          <t>Foundation &amp; Pipeline Trenching</t>
        </is>
      </c>
      <c r="B195" s="76" t="inlineStr">
        <is>
          <t>Ordinary rock</t>
        </is>
      </c>
      <c r="C195" s="76" t="inlineStr">
        <is>
          <t>Manual labor (depth ≤1.5m)</t>
        </is>
      </c>
      <c r="D195" s="76" t="inlineStr">
        <is>
          <t>Pipe trenches in ordinary rock (≤80mm)</t>
        </is>
      </c>
      <c r="E195" s="28" t="inlineStr">
        <is>
          <t>1 m</t>
        </is>
      </c>
      <c r="F195" s="32" t="inlineStr">
        <is>
          <t>Labour (Semi-Skilled / Operational)</t>
        </is>
      </c>
      <c r="G195" s="21" t="inlineStr">
        <is>
          <t>0114</t>
        </is>
      </c>
      <c r="H195" s="76" t="inlineStr">
        <is>
          <t>Beldar – extra for ramming rock fragments</t>
        </is>
      </c>
      <c r="I195" s="86" t="n">
        <v>0.01111</v>
      </c>
      <c r="J195" s="50" t="inlineStr">
        <is>
          <t>day</t>
        </is>
      </c>
      <c r="K195" s="51" t="n">
        <v>558</v>
      </c>
      <c r="L195" s="84" t="n">
        <v>6.2</v>
      </c>
      <c r="M195" s="52" t="n">
        <v>1.9</v>
      </c>
      <c r="N195" s="90" t="n">
        <v>90.00900090009002</v>
      </c>
      <c r="O195" s="39" t="inlineStr">
        <is>
          <t>2 bd per 180 m</t>
        </is>
      </c>
      <c r="P195" t="inlineStr">
        <is>
          <t>Foundation &amp; Pipeline Trenching|Ordinary rock|Manual labor (depth ≤1.5m)|Pipe trenches in ordinary rock (≤80mm)|3</t>
        </is>
      </c>
      <c r="Q195" t="n">
        <v>3</v>
      </c>
      <c r="R195" t="n">
        <v>1</v>
      </c>
      <c r="S195" t="inlineStr">
        <is>
          <t>m</t>
        </is>
      </c>
      <c r="T195" t="n">
        <v>323.85</v>
      </c>
      <c r="U195" t="inlineStr">
        <is>
          <t>Crowbar &amp; sledge hammer</t>
        </is>
      </c>
      <c r="V195" t="inlineStr">
        <is>
          <t>Basket Coolie along trench edge</t>
        </is>
      </c>
      <c r="W195" t="inlineStr">
        <is>
          <t>Trench bank disposal</t>
        </is>
      </c>
      <c r="X195" t="inlineStr">
        <is>
          <t>None</t>
        </is>
      </c>
      <c r="Y195" t="inlineStr">
        <is>
          <t>None</t>
        </is>
      </c>
    </row>
    <row r="196" ht="22" customHeight="1">
      <c r="A196" s="16" t="inlineStr">
        <is>
          <t>Foundation &amp; Pipeline Trenching</t>
        </is>
      </c>
      <c r="B196" s="76" t="inlineStr">
        <is>
          <t>All kinds of soil</t>
        </is>
      </c>
      <c r="C196" s="76" t="inlineStr">
        <is>
          <t>Manual labor (depth ≤1.5m)</t>
        </is>
      </c>
      <c r="D196" s="76" t="inlineStr">
        <is>
          <t>Extra for wet/water position (+20%)</t>
        </is>
      </c>
      <c r="E196" s="28" t="inlineStr">
        <is>
          <t>1 m-depth</t>
        </is>
      </c>
      <c r="F196" s="32" t="inlineStr">
        <is>
          <t>Sundries &amp; Allowances</t>
        </is>
      </c>
      <c r="G196" s="21" t="inlineStr">
        <is>
          <t>BASE</t>
        </is>
      </c>
      <c r="H196" s="76" t="inlineStr">
        <is>
          <t>Extra 20% over applicable depth item rate</t>
        </is>
      </c>
      <c r="I196" s="86" t="n">
        <v>0.2</v>
      </c>
      <c r="J196" s="50" t="inlineStr">
        <is>
          <t>pct</t>
        </is>
      </c>
      <c r="K196" s="51" t="n">
        <v>0</v>
      </c>
      <c r="L196" s="84" t="n">
        <v>0</v>
      </c>
      <c r="M196" s="52" t="n">
        <v>0</v>
      </c>
      <c r="N196" s="32" t="inlineStr"/>
      <c r="O196" s="39" t="inlineStr">
        <is>
          <t>Work executed in/under water or liquid mud</t>
        </is>
      </c>
      <c r="P196" t="inlineStr">
        <is>
          <t>Foundation &amp; Pipeline Trenching|All kinds of soil|Manual labor (depth ≤1.5m)|Extra for wet/water position (+20%)|1</t>
        </is>
      </c>
      <c r="Q196" t="n">
        <v>1</v>
      </c>
      <c r="R196" t="n">
        <v>1</v>
      </c>
      <c r="S196" t="inlineStr">
        <is>
          <t>m-depth</t>
        </is>
      </c>
      <c r="T196" t="n">
        <v>20</v>
      </c>
      <c r="U196" t="inlineStr">
        <is>
          <t>Excavation under wet / foul conditions</t>
        </is>
      </c>
      <c r="V196" t="inlineStr">
        <is>
          <t>Mud / slush bailing &amp; haulage</t>
        </is>
      </c>
      <c r="W196" t="inlineStr">
        <is>
          <t>Disposal</t>
        </is>
      </c>
      <c r="X196" t="inlineStr">
        <is>
          <t>Submerged / wet</t>
        </is>
      </c>
      <c r="Y196" t="inlineStr">
        <is>
          <t>None</t>
        </is>
      </c>
    </row>
    <row r="197" ht="22" customHeight="1">
      <c r="A197" s="16" t="inlineStr">
        <is>
          <t>Foundation &amp; Pipeline Trenching</t>
        </is>
      </c>
      <c r="B197" s="76" t="inlineStr">
        <is>
          <t>All kinds of soil</t>
        </is>
      </c>
      <c r="C197" s="76" t="inlineStr">
        <is>
          <t>Manual labor (depth ≤1.5m)</t>
        </is>
      </c>
      <c r="D197" s="76" t="inlineStr">
        <is>
          <t>Extra for foul position (+25%)</t>
        </is>
      </c>
      <c r="E197" s="28" t="inlineStr">
        <is>
          <t>1 m-depth</t>
        </is>
      </c>
      <c r="F197" s="32" t="inlineStr">
        <is>
          <t>Sundries &amp; Allowances</t>
        </is>
      </c>
      <c r="G197" s="21" t="inlineStr">
        <is>
          <t>BASE</t>
        </is>
      </c>
      <c r="H197" s="76" t="inlineStr">
        <is>
          <t>Extra 25% over applicable depth item rate</t>
        </is>
      </c>
      <c r="I197" s="86" t="n">
        <v>0.25</v>
      </c>
      <c r="J197" s="50" t="inlineStr">
        <is>
          <t>pct</t>
        </is>
      </c>
      <c r="K197" s="51" t="n">
        <v>0</v>
      </c>
      <c r="L197" s="84" t="n">
        <v>0</v>
      </c>
      <c r="M197" s="52" t="n">
        <v>0</v>
      </c>
      <c r="N197" s="32" t="inlineStr"/>
      <c r="O197" s="39" t="inlineStr">
        <is>
          <t>Work in foul position</t>
        </is>
      </c>
      <c r="P197" t="inlineStr">
        <is>
          <t>Foundation &amp; Pipeline Trenching|All kinds of soil|Manual labor (depth ≤1.5m)|Extra for foul position (+25%)|1</t>
        </is>
      </c>
      <c r="Q197" t="n">
        <v>1</v>
      </c>
      <c r="R197" t="n">
        <v>1</v>
      </c>
      <c r="S197" t="inlineStr">
        <is>
          <t>m-depth</t>
        </is>
      </c>
      <c r="T197" t="n">
        <v>25</v>
      </c>
      <c r="U197" t="inlineStr">
        <is>
          <t>Excavation under wet / foul conditions</t>
        </is>
      </c>
      <c r="V197" t="inlineStr">
        <is>
          <t>Mud / slush bailing &amp; haulage</t>
        </is>
      </c>
      <c r="W197" t="inlineStr">
        <is>
          <t>Disposal</t>
        </is>
      </c>
      <c r="X197" t="inlineStr">
        <is>
          <t>Submerged / wet</t>
        </is>
      </c>
      <c r="Y197" t="inlineStr">
        <is>
          <t>None</t>
        </is>
      </c>
    </row>
    <row r="198" ht="22" customHeight="1">
      <c r="A198" s="16" t="inlineStr">
        <is>
          <t>Backfilling &amp; Compaction</t>
        </is>
      </c>
      <c r="B198" s="76" t="inlineStr">
        <is>
          <t>All kinds of soil</t>
        </is>
      </c>
      <c r="C198" s="76" t="inlineStr">
        <is>
          <t>Manual labor (depth ≤1.5m)</t>
        </is>
      </c>
      <c r="D198" s="76" t="inlineStr">
        <is>
          <t>Filling available excavated earth in plinth/trenches</t>
        </is>
      </c>
      <c r="E198" s="28" t="inlineStr">
        <is>
          <t>10 cum</t>
        </is>
      </c>
      <c r="F198" s="32" t="inlineStr">
        <is>
          <t>Labour (Supervisory / Mate)</t>
        </is>
      </c>
      <c r="G198" s="21" t="inlineStr">
        <is>
          <t>0128</t>
        </is>
      </c>
      <c r="H198" s="76" t="inlineStr">
        <is>
          <t>Mate</t>
        </is>
      </c>
      <c r="I198" s="86" t="n">
        <v>0.2</v>
      </c>
      <c r="J198" s="50" t="inlineStr">
        <is>
          <t>day</t>
        </is>
      </c>
      <c r="K198" s="51" t="n">
        <v>617</v>
      </c>
      <c r="L198" s="84" t="n">
        <v>123.4</v>
      </c>
      <c r="M198" s="52" t="n">
        <v>7.5</v>
      </c>
      <c r="N198" s="89" t="n">
        <v>50</v>
      </c>
      <c r="O198" s="39" t="inlineStr">
        <is>
          <t>2 men × 6.80 h = 13.60 man-hrs ÷ 8 = 1.70 cd. Hauling from heaps within 50m lead: 5.882 cum/8-hr day (1.36 hr/cum).</t>
        </is>
      </c>
      <c r="P198" t="inlineStr">
        <is>
          <t>Backfilling &amp; Compaction|All kinds of soil|Manual labor (depth ≤1.5m)|Filling available excavated earth in plinth/trenches|1</t>
        </is>
      </c>
      <c r="Q198" t="n">
        <v>1</v>
      </c>
      <c r="R198" t="n">
        <v>10</v>
      </c>
      <c r="S198" t="inlineStr">
        <is>
          <t>cum</t>
        </is>
      </c>
      <c r="T198" t="n">
        <v>219.65</v>
      </c>
      <c r="U198" t="inlineStr">
        <is>
          <t>Available excavated spoil (no digging)</t>
        </is>
      </c>
      <c r="V198" t="inlineStr">
        <is>
          <t>Basket Coolie return lead ≤50m</t>
        </is>
      </c>
      <c r="W198" t="inlineStr">
        <is>
          <t>Spreading in layers ≤20 cm</t>
        </is>
      </c>
      <c r="X198" t="inlineStr">
        <is>
          <t>Watering each layer</t>
        </is>
      </c>
      <c r="Y198" t="inlineStr">
        <is>
          <t>Durmat ramming / hand compaction</t>
        </is>
      </c>
    </row>
    <row r="199" ht="22" customHeight="1">
      <c r="A199" s="16" t="inlineStr">
        <is>
          <t>Backfilling &amp; Compaction</t>
        </is>
      </c>
      <c r="B199" s="76" t="inlineStr">
        <is>
          <t>All kinds of soil</t>
        </is>
      </c>
      <c r="C199" s="76" t="inlineStr">
        <is>
          <t>Manual labor (depth ≤1.5m)</t>
        </is>
      </c>
      <c r="D199" s="76" t="inlineStr">
        <is>
          <t>Filling available excavated earth in plinth/trenches</t>
        </is>
      </c>
      <c r="E199" s="28" t="inlineStr">
        <is>
          <t>10 cum</t>
        </is>
      </c>
      <c r="F199" s="32" t="inlineStr">
        <is>
          <t>Labour (Unskilled / Haulage)</t>
        </is>
      </c>
      <c r="G199" s="21" t="inlineStr">
        <is>
          <t>0115</t>
        </is>
      </c>
      <c r="H199" s="76" t="inlineStr">
        <is>
          <t>Coolie</t>
        </is>
      </c>
      <c r="I199" s="86" t="n">
        <v>2.5</v>
      </c>
      <c r="J199" s="50" t="inlineStr">
        <is>
          <t>day</t>
        </is>
      </c>
      <c r="K199" s="51" t="n">
        <v>558</v>
      </c>
      <c r="L199" s="84" t="n">
        <v>1395</v>
      </c>
      <c r="M199" s="52" t="n">
        <v>85</v>
      </c>
      <c r="N199" s="89" t="n">
        <v>4</v>
      </c>
      <c r="O199" s="39" t="inlineStr">
        <is>
          <t>1 man × 6.40 h = 6.40 man-hrs ÷ 8 = 0.80 bd. Spreading in 20cm layers &amp; durmat ramming: 12.50 cum/8-hr day (0.64 hr/cum).</t>
        </is>
      </c>
      <c r="P199" t="inlineStr">
        <is>
          <t>Backfilling &amp; Compaction|All kinds of soil|Manual labor (depth ≤1.5m)|Filling available excavated earth in plinth/trenches|2</t>
        </is>
      </c>
      <c r="Q199" t="n">
        <v>2</v>
      </c>
      <c r="R199" t="n">
        <v>10</v>
      </c>
      <c r="S199" t="inlineStr">
        <is>
          <t>cum</t>
        </is>
      </c>
      <c r="T199" t="n">
        <v>219.65</v>
      </c>
      <c r="U199" t="inlineStr">
        <is>
          <t>Available excavated spoil (no digging)</t>
        </is>
      </c>
      <c r="V199" t="inlineStr">
        <is>
          <t>Basket Coolie return lead ≤50m</t>
        </is>
      </c>
      <c r="W199" t="inlineStr">
        <is>
          <t>Spreading in layers ≤20 cm</t>
        </is>
      </c>
      <c r="X199" t="inlineStr">
        <is>
          <t>Watering each layer</t>
        </is>
      </c>
      <c r="Y199" t="inlineStr">
        <is>
          <t>Durmat ramming / hand compaction</t>
        </is>
      </c>
    </row>
    <row r="200" ht="22" customHeight="1">
      <c r="A200" s="16" t="inlineStr">
        <is>
          <t>Backfilling &amp; Compaction</t>
        </is>
      </c>
      <c r="B200" s="76" t="inlineStr">
        <is>
          <t>All kinds of soil</t>
        </is>
      </c>
      <c r="C200" s="76" t="inlineStr">
        <is>
          <t>Manual labor (depth ≤1.5m)</t>
        </is>
      </c>
      <c r="D200" s="76" t="inlineStr">
        <is>
          <t>Filling available excavated earth in plinth/trenches</t>
        </is>
      </c>
      <c r="E200" s="28" t="inlineStr">
        <is>
          <t>10 cum</t>
        </is>
      </c>
      <c r="F200" s="32" t="inlineStr">
        <is>
          <t>Labour (Operational / Bhishti)</t>
        </is>
      </c>
      <c r="G200" s="21" t="inlineStr">
        <is>
          <t>0101</t>
        </is>
      </c>
      <c r="H200" s="76" t="inlineStr">
        <is>
          <t>Bhisti</t>
        </is>
      </c>
      <c r="I200" s="86" t="n">
        <v>0.2</v>
      </c>
      <c r="J200" s="50" t="inlineStr">
        <is>
          <t>day</t>
        </is>
      </c>
      <c r="K200" s="51" t="n">
        <v>617</v>
      </c>
      <c r="L200" s="84" t="n">
        <v>123.4</v>
      </c>
      <c r="M200" s="52" t="n">
        <v>7.5</v>
      </c>
      <c r="N200" s="89" t="n">
        <v>50</v>
      </c>
      <c r="O200" s="39" t="inlineStr">
        <is>
          <t>1 man × 1.60 h = 1.60 man-hrs ÷ 8 = 0.20 bhisti-day. Consolidation watering: 50 cum/8-hr day (0.16 hr/cum).</t>
        </is>
      </c>
      <c r="P200" t="inlineStr">
        <is>
          <t>Backfilling &amp; Compaction|All kinds of soil|Manual labor (depth ≤1.5m)|Filling available excavated earth in plinth/trenches|3</t>
        </is>
      </c>
      <c r="Q200" t="n">
        <v>3</v>
      </c>
      <c r="R200" t="n">
        <v>10</v>
      </c>
      <c r="S200" t="inlineStr">
        <is>
          <t>cum</t>
        </is>
      </c>
      <c r="T200" t="n">
        <v>219.65</v>
      </c>
      <c r="U200" t="inlineStr">
        <is>
          <t>Available excavated spoil (no digging)</t>
        </is>
      </c>
      <c r="V200" t="inlineStr">
        <is>
          <t>Basket Coolie return lead ≤50m</t>
        </is>
      </c>
      <c r="W200" t="inlineStr">
        <is>
          <t>Spreading in layers ≤20 cm</t>
        </is>
      </c>
      <c r="X200" t="inlineStr">
        <is>
          <t>Watering each layer</t>
        </is>
      </c>
      <c r="Y200" t="inlineStr">
        <is>
          <t>Durmat ramming / hand compaction</t>
        </is>
      </c>
    </row>
    <row r="201" ht="22" customHeight="1">
      <c r="A201" s="16" t="inlineStr">
        <is>
          <t>Foundation &amp; Pipeline Trenching</t>
        </is>
      </c>
      <c r="B201" s="76" t="inlineStr">
        <is>
          <t>All kinds of soil</t>
        </is>
      </c>
      <c r="C201" s="76" t="inlineStr">
        <is>
          <t>Extra depth &gt;1.5m to 3.0m</t>
        </is>
      </c>
      <c r="D201" s="76" t="inlineStr">
        <is>
          <t>Extra lift for every additional 1.5m</t>
        </is>
      </c>
      <c r="E201" s="28" t="inlineStr">
        <is>
          <t>10 cum</t>
        </is>
      </c>
      <c r="F201" s="32" t="inlineStr">
        <is>
          <t>Labour (Supervisory / Mate)</t>
        </is>
      </c>
      <c r="G201" s="21" t="inlineStr">
        <is>
          <t>0128</t>
        </is>
      </c>
      <c r="H201" s="76" t="inlineStr">
        <is>
          <t>Mate</t>
        </is>
      </c>
      <c r="I201" s="86" t="n">
        <v>0.1</v>
      </c>
      <c r="J201" s="50" t="inlineStr">
        <is>
          <t>day</t>
        </is>
      </c>
      <c r="K201" s="51" t="n">
        <v>617</v>
      </c>
      <c r="L201" s="84" t="n">
        <v>61.7</v>
      </c>
      <c r="M201" s="52" t="n">
        <v>9.1</v>
      </c>
      <c r="N201" s="89" t="n">
        <v>100</v>
      </c>
      <c r="O201" s="39" t="inlineStr">
        <is>
          <t>Extra lift per 1.5m: Staging platform relay: 0.60 Coolie-day (16.67 cum/8-hr day).</t>
        </is>
      </c>
      <c r="P201" t="inlineStr">
        <is>
          <t>Foundation &amp; Pipeline Trenching|All kinds of soil|Extra depth &gt;1.5m to 3.0m|Extra lift for every additional 1.5m|1</t>
        </is>
      </c>
      <c r="Q201" t="n">
        <v>1</v>
      </c>
      <c r="R201" t="n">
        <v>10</v>
      </c>
      <c r="S201" t="inlineStr">
        <is>
          <t>cum</t>
        </is>
      </c>
      <c r="T201" t="n">
        <v>90.40000000000001</v>
      </c>
      <c r="U201" t="inlineStr">
        <is>
          <t>Deep excavation lift</t>
        </is>
      </c>
      <c r="V201" t="inlineStr">
        <is>
          <t>Staged manual lifting per 1.5m</t>
        </is>
      </c>
      <c r="W201" t="inlineStr">
        <is>
          <t>Disposal</t>
        </is>
      </c>
      <c r="X201" t="inlineStr">
        <is>
          <t>None</t>
        </is>
      </c>
      <c r="Y201" t="inlineStr">
        <is>
          <t>None</t>
        </is>
      </c>
    </row>
    <row r="202" ht="22" customHeight="1">
      <c r="A202" s="16" t="inlineStr">
        <is>
          <t>Foundation &amp; Pipeline Trenching</t>
        </is>
      </c>
      <c r="B202" s="76" t="inlineStr">
        <is>
          <t>All kinds of soil</t>
        </is>
      </c>
      <c r="C202" s="76" t="inlineStr">
        <is>
          <t>Extra depth &gt;1.5m to 3.0m</t>
        </is>
      </c>
      <c r="D202" s="76" t="inlineStr">
        <is>
          <t>Extra lift for every additional 1.5m</t>
        </is>
      </c>
      <c r="E202" s="28" t="inlineStr">
        <is>
          <t>10 cum</t>
        </is>
      </c>
      <c r="F202" s="32" t="inlineStr">
        <is>
          <t>Labour (Semi-Skilled / Operational)</t>
        </is>
      </c>
      <c r="G202" s="21" t="inlineStr">
        <is>
          <t>0114</t>
        </is>
      </c>
      <c r="H202" s="76" t="inlineStr">
        <is>
          <t>Beldar</t>
        </is>
      </c>
      <c r="I202" s="86" t="n">
        <v>1.1</v>
      </c>
      <c r="J202" s="50" t="inlineStr">
        <is>
          <t>day</t>
        </is>
      </c>
      <c r="K202" s="51" t="n">
        <v>558</v>
      </c>
      <c r="L202" s="84" t="n">
        <v>613.8</v>
      </c>
      <c r="M202" s="52" t="n">
        <v>90.90000000000001</v>
      </c>
      <c r="N202" s="89" t="n">
        <v>9.09090909090909</v>
      </c>
      <c r="O202" s="39" t="inlineStr">
        <is>
          <t>Extra lift per 1.5m: Re-handling on stage: 0.35 Beldar-day (28.57 cum/8-hr day).</t>
        </is>
      </c>
      <c r="P202" t="inlineStr">
        <is>
          <t>Foundation &amp; Pipeline Trenching|All kinds of soil|Extra depth &gt;1.5m to 3.0m|Extra lift for every additional 1.5m|2</t>
        </is>
      </c>
      <c r="Q202" t="n">
        <v>2</v>
      </c>
      <c r="R202" t="n">
        <v>10</v>
      </c>
      <c r="S202" t="inlineStr">
        <is>
          <t>cum</t>
        </is>
      </c>
      <c r="T202" t="n">
        <v>90.40000000000001</v>
      </c>
      <c r="U202" t="inlineStr">
        <is>
          <t>Deep excavation lift</t>
        </is>
      </c>
      <c r="V202" t="inlineStr">
        <is>
          <t>Staged manual lifting per 1.5m</t>
        </is>
      </c>
      <c r="W202" t="inlineStr">
        <is>
          <t>Disposal</t>
        </is>
      </c>
      <c r="X202" t="inlineStr">
        <is>
          <t>None</t>
        </is>
      </c>
      <c r="Y202" t="inlineStr">
        <is>
          <t>None</t>
        </is>
      </c>
    </row>
    <row r="203" ht="22" customHeight="1">
      <c r="A203" s="16" t="inlineStr">
        <is>
          <t>Foundation &amp; Pipeline Trenching</t>
        </is>
      </c>
      <c r="B203" s="76" t="inlineStr">
        <is>
          <t>Ordinary rock</t>
        </is>
      </c>
      <c r="C203" s="76" t="inlineStr">
        <is>
          <t>Extra depth &gt;1.5m to 3.0m</t>
        </is>
      </c>
      <c r="D203" s="76" t="inlineStr">
        <is>
          <t>Extra lift for every additional 1.5m</t>
        </is>
      </c>
      <c r="E203" s="28" t="inlineStr">
        <is>
          <t>10 cum</t>
        </is>
      </c>
      <c r="F203" s="32" t="inlineStr">
        <is>
          <t>Labour (Supervisory / Mate)</t>
        </is>
      </c>
      <c r="G203" s="21" t="inlineStr">
        <is>
          <t>0128</t>
        </is>
      </c>
      <c r="H203" s="76" t="inlineStr">
        <is>
          <t>Mate</t>
        </is>
      </c>
      <c r="I203" s="86" t="n">
        <v>0.2</v>
      </c>
      <c r="J203" s="50" t="inlineStr">
        <is>
          <t>day</t>
        </is>
      </c>
      <c r="K203" s="51" t="n">
        <v>617</v>
      </c>
      <c r="L203" s="84" t="n">
        <v>123.4</v>
      </c>
      <c r="M203" s="52" t="n">
        <v>10.2</v>
      </c>
      <c r="N203" s="89" t="n">
        <v>50</v>
      </c>
      <c r="O203" s="39" t="inlineStr"/>
      <c r="P203" t="inlineStr">
        <is>
          <t>Foundation &amp; Pipeline Trenching|Ordinary rock|Extra depth &gt;1.5m to 3.0m|Extra lift for every additional 1.5m|1</t>
        </is>
      </c>
      <c r="Q203" t="n">
        <v>1</v>
      </c>
      <c r="R203" t="n">
        <v>10</v>
      </c>
      <c r="S203" t="inlineStr">
        <is>
          <t>cum</t>
        </is>
      </c>
      <c r="T203" t="n">
        <v>162.1</v>
      </c>
      <c r="U203" t="inlineStr">
        <is>
          <t>Deep excavation lift</t>
        </is>
      </c>
      <c r="V203" t="inlineStr">
        <is>
          <t>Staged manual lifting per 1.5m</t>
        </is>
      </c>
      <c r="W203" t="inlineStr">
        <is>
          <t>Disposal</t>
        </is>
      </c>
      <c r="X203" t="inlineStr">
        <is>
          <t>None</t>
        </is>
      </c>
      <c r="Y203" t="inlineStr">
        <is>
          <t>None</t>
        </is>
      </c>
    </row>
    <row r="204" ht="22" customHeight="1">
      <c r="A204" s="16" t="inlineStr">
        <is>
          <t>Foundation &amp; Pipeline Trenching</t>
        </is>
      </c>
      <c r="B204" s="76" t="inlineStr">
        <is>
          <t>Ordinary rock</t>
        </is>
      </c>
      <c r="C204" s="76" t="inlineStr">
        <is>
          <t>Extra depth &gt;1.5m to 3.0m</t>
        </is>
      </c>
      <c r="D204" s="76" t="inlineStr">
        <is>
          <t>Extra lift for every additional 1.5m</t>
        </is>
      </c>
      <c r="E204" s="28" t="inlineStr">
        <is>
          <t>10 cum</t>
        </is>
      </c>
      <c r="F204" s="32" t="inlineStr">
        <is>
          <t>Labour (Semi-Skilled / Operational)</t>
        </is>
      </c>
      <c r="G204" s="21" t="inlineStr">
        <is>
          <t>0114</t>
        </is>
      </c>
      <c r="H204" s="76" t="inlineStr">
        <is>
          <t>Beldar</t>
        </is>
      </c>
      <c r="I204" s="86" t="n">
        <v>1.95</v>
      </c>
      <c r="J204" s="50" t="inlineStr">
        <is>
          <t>day</t>
        </is>
      </c>
      <c r="K204" s="51" t="n">
        <v>558</v>
      </c>
      <c r="L204" s="84" t="n">
        <v>1088.1</v>
      </c>
      <c r="M204" s="52" t="n">
        <v>89.8</v>
      </c>
      <c r="N204" s="89" t="n">
        <v>5.128205128205129</v>
      </c>
      <c r="O204" s="39" t="inlineStr"/>
      <c r="P204" t="inlineStr">
        <is>
          <t>Foundation &amp; Pipeline Trenching|Ordinary rock|Extra depth &gt;1.5m to 3.0m|Extra lift for every additional 1.5m|2</t>
        </is>
      </c>
      <c r="Q204" t="n">
        <v>2</v>
      </c>
      <c r="R204" t="n">
        <v>10</v>
      </c>
      <c r="S204" t="inlineStr">
        <is>
          <t>cum</t>
        </is>
      </c>
      <c r="T204" t="n">
        <v>162.1</v>
      </c>
      <c r="U204" t="inlineStr">
        <is>
          <t>Deep excavation lift</t>
        </is>
      </c>
      <c r="V204" t="inlineStr">
        <is>
          <t>Staged manual lifting per 1.5m</t>
        </is>
      </c>
      <c r="W204" t="inlineStr">
        <is>
          <t>Disposal</t>
        </is>
      </c>
      <c r="X204" t="inlineStr">
        <is>
          <t>None</t>
        </is>
      </c>
      <c r="Y204" t="inlineStr">
        <is>
          <t>None</t>
        </is>
      </c>
    </row>
    <row r="205" ht="22" customHeight="1">
      <c r="A205" s="16" t="inlineStr">
        <is>
          <t>Backfilling &amp; Compaction</t>
        </is>
      </c>
      <c r="B205" s="76" t="inlineStr">
        <is>
          <t>Ordinary rock</t>
        </is>
      </c>
      <c r="C205" s="76" t="inlineStr">
        <is>
          <t>Manual labor (depth ≤1.5m)</t>
        </is>
      </c>
      <c r="D205" s="76" t="inlineStr">
        <is>
          <t>Supplying and filling quarry moorum</t>
        </is>
      </c>
      <c r="E205" s="28" t="inlineStr">
        <is>
          <t>10 cum</t>
        </is>
      </c>
      <c r="F205" s="32" t="inlineStr">
        <is>
          <t>Material &amp; Consumables</t>
        </is>
      </c>
      <c r="G205" s="21" t="inlineStr">
        <is>
          <t>6501</t>
        </is>
      </c>
      <c r="H205" s="76" t="inlineStr">
        <is>
          <t>Sand zone V (Jamuna) at source</t>
        </is>
      </c>
      <c r="I205" s="86" t="n">
        <v>10</v>
      </c>
      <c r="J205" s="50" t="inlineStr">
        <is>
          <t>cum</t>
        </is>
      </c>
      <c r="K205" s="51" t="n">
        <v>1225</v>
      </c>
      <c r="L205" s="84" t="n">
        <v>12250</v>
      </c>
      <c r="M205" s="52" t="n">
        <v>83.90000000000001</v>
      </c>
      <c r="N205" s="32" t="inlineStr"/>
      <c r="O205" s="39" t="inlineStr"/>
      <c r="P205" t="inlineStr">
        <is>
          <t>Backfilling &amp; Compaction|Ordinary rock|Manual labor (depth ≤1.5m)|Supplying and filling quarry moorum|1</t>
        </is>
      </c>
      <c r="Q205" t="n">
        <v>1</v>
      </c>
      <c r="R205" t="n">
        <v>10</v>
      </c>
      <c r="S205" t="inlineStr">
        <is>
          <t>cum</t>
        </is>
      </c>
      <c r="T205" t="n">
        <v>1953.05</v>
      </c>
      <c r="U205" t="inlineStr">
        <is>
          <t>Material supply (quarry moorum)</t>
        </is>
      </c>
      <c r="V205" t="inlineStr">
        <is>
          <t>Carriage to plinth &amp; wheeling</t>
        </is>
      </c>
      <c r="W205" t="inlineStr">
        <is>
          <t>Spreading in layers ≤20 cm</t>
        </is>
      </c>
      <c r="X205" t="inlineStr">
        <is>
          <t>Watering each layer</t>
        </is>
      </c>
      <c r="Y205" t="inlineStr">
        <is>
          <t>Durmat ramming / hand compaction</t>
        </is>
      </c>
    </row>
    <row r="206" ht="22" customHeight="1">
      <c r="A206" s="16" t="inlineStr">
        <is>
          <t>Backfilling &amp; Compaction</t>
        </is>
      </c>
      <c r="B206" s="76" t="inlineStr">
        <is>
          <t>Ordinary rock</t>
        </is>
      </c>
      <c r="C206" s="76" t="inlineStr">
        <is>
          <t>Manual labor (depth ≤1.5m)</t>
        </is>
      </c>
      <c r="D206" s="76" t="inlineStr">
        <is>
          <t>Supplying and filling quarry moorum</t>
        </is>
      </c>
      <c r="E206" s="28" t="inlineStr">
        <is>
          <t>10 cum</t>
        </is>
      </c>
      <c r="F206" s="32" t="inlineStr">
        <is>
          <t>Material &amp; Consumables</t>
        </is>
      </c>
      <c r="G206" s="21" t="inlineStr">
        <is>
          <t>2335</t>
        </is>
      </c>
      <c r="H206" s="76" t="inlineStr">
        <is>
          <t>Carriage of sand</t>
        </is>
      </c>
      <c r="I206" s="86" t="n">
        <v>10</v>
      </c>
      <c r="J206" s="50" t="inlineStr">
        <is>
          <t>cum</t>
        </is>
      </c>
      <c r="K206" s="51" t="n">
        <v>103.77</v>
      </c>
      <c r="L206" s="84" t="n">
        <v>1037.7</v>
      </c>
      <c r="M206" s="52" t="n">
        <v>7.1</v>
      </c>
      <c r="N206" s="32" t="inlineStr"/>
      <c r="O206" s="39" t="inlineStr"/>
      <c r="P206" t="inlineStr">
        <is>
          <t>Backfilling &amp; Compaction|Ordinary rock|Manual labor (depth ≤1.5m)|Supplying and filling quarry moorum|2</t>
        </is>
      </c>
      <c r="Q206" t="n">
        <v>2</v>
      </c>
      <c r="R206" t="n">
        <v>10</v>
      </c>
      <c r="S206" t="inlineStr">
        <is>
          <t>cum</t>
        </is>
      </c>
      <c r="T206" t="n">
        <v>1953.05</v>
      </c>
      <c r="U206" t="inlineStr">
        <is>
          <t>Material supply (quarry moorum)</t>
        </is>
      </c>
      <c r="V206" t="inlineStr">
        <is>
          <t>Carriage to plinth &amp; wheeling</t>
        </is>
      </c>
      <c r="W206" t="inlineStr">
        <is>
          <t>Spreading in layers ≤20 cm</t>
        </is>
      </c>
      <c r="X206" t="inlineStr">
        <is>
          <t>Watering each layer</t>
        </is>
      </c>
      <c r="Y206" t="inlineStr">
        <is>
          <t>Durmat ramming / hand compaction</t>
        </is>
      </c>
    </row>
    <row r="207" ht="22" customHeight="1">
      <c r="A207" s="16" t="inlineStr">
        <is>
          <t>Backfilling &amp; Compaction</t>
        </is>
      </c>
      <c r="B207" s="76" t="inlineStr">
        <is>
          <t>Ordinary rock</t>
        </is>
      </c>
      <c r="C207" s="76" t="inlineStr">
        <is>
          <t>Manual labor (depth ≤1.5m)</t>
        </is>
      </c>
      <c r="D207" s="76" t="inlineStr">
        <is>
          <t>Supplying and filling quarry moorum</t>
        </is>
      </c>
      <c r="E207" s="28" t="inlineStr">
        <is>
          <t>10 cum</t>
        </is>
      </c>
      <c r="F207" s="32" t="inlineStr">
        <is>
          <t>Labour (Semi-Skilled / Operational)</t>
        </is>
      </c>
      <c r="G207" s="21" t="inlineStr">
        <is>
          <t>0114</t>
        </is>
      </c>
      <c r="H207" s="76" t="inlineStr">
        <is>
          <t>Beldar</t>
        </is>
      </c>
      <c r="I207" s="86" t="n">
        <v>0.89</v>
      </c>
      <c r="J207" s="50" t="inlineStr">
        <is>
          <t>day</t>
        </is>
      </c>
      <c r="K207" s="51" t="n">
        <v>558</v>
      </c>
      <c r="L207" s="84" t="n">
        <v>496.62</v>
      </c>
      <c r="M207" s="52" t="n">
        <v>3.4</v>
      </c>
      <c r="N207" s="89" t="n">
        <v>11.23595505617977</v>
      </c>
      <c r="O207" s="39" t="inlineStr"/>
      <c r="P207" t="inlineStr">
        <is>
          <t>Backfilling &amp; Compaction|Ordinary rock|Manual labor (depth ≤1.5m)|Supplying and filling quarry moorum|3</t>
        </is>
      </c>
      <c r="Q207" t="n">
        <v>3</v>
      </c>
      <c r="R207" t="n">
        <v>10</v>
      </c>
      <c r="S207" t="inlineStr">
        <is>
          <t>cum</t>
        </is>
      </c>
      <c r="T207" t="n">
        <v>1953.05</v>
      </c>
      <c r="U207" t="inlineStr">
        <is>
          <t>Material supply (quarry moorum)</t>
        </is>
      </c>
      <c r="V207" t="inlineStr">
        <is>
          <t>Carriage to plinth &amp; wheeling</t>
        </is>
      </c>
      <c r="W207" t="inlineStr">
        <is>
          <t>Spreading in layers ≤20 cm</t>
        </is>
      </c>
      <c r="X207" t="inlineStr">
        <is>
          <t>Watering each layer</t>
        </is>
      </c>
      <c r="Y207" t="inlineStr">
        <is>
          <t>Durmat ramming / hand compaction</t>
        </is>
      </c>
    </row>
    <row r="208" ht="22" customHeight="1">
      <c r="A208" s="16" t="inlineStr">
        <is>
          <t>Backfilling &amp; Compaction</t>
        </is>
      </c>
      <c r="B208" s="76" t="inlineStr">
        <is>
          <t>Ordinary rock</t>
        </is>
      </c>
      <c r="C208" s="76" t="inlineStr">
        <is>
          <t>Manual labor (depth ≤1.5m)</t>
        </is>
      </c>
      <c r="D208" s="76" t="inlineStr">
        <is>
          <t>Supplying and filling quarry moorum</t>
        </is>
      </c>
      <c r="E208" s="28" t="inlineStr">
        <is>
          <t>10 cum</t>
        </is>
      </c>
      <c r="F208" s="32" t="inlineStr">
        <is>
          <t>Labour (Unskilled / Haulage)</t>
        </is>
      </c>
      <c r="G208" s="21" t="inlineStr">
        <is>
          <t>0115</t>
        </is>
      </c>
      <c r="H208" s="76" t="inlineStr">
        <is>
          <t>Coolie</t>
        </is>
      </c>
      <c r="I208" s="86" t="n">
        <v>1.07</v>
      </c>
      <c r="J208" s="50" t="inlineStr">
        <is>
          <t>day</t>
        </is>
      </c>
      <c r="K208" s="51" t="n">
        <v>558</v>
      </c>
      <c r="L208" s="84" t="n">
        <v>597.0599999999999</v>
      </c>
      <c r="M208" s="52" t="n">
        <v>4.1</v>
      </c>
      <c r="N208" s="89" t="n">
        <v>9.345794392523365</v>
      </c>
      <c r="O208" s="39" t="inlineStr"/>
      <c r="P208" t="inlineStr">
        <is>
          <t>Backfilling &amp; Compaction|Ordinary rock|Manual labor (depth ≤1.5m)|Supplying and filling quarry moorum|4</t>
        </is>
      </c>
      <c r="Q208" t="n">
        <v>4</v>
      </c>
      <c r="R208" t="n">
        <v>10</v>
      </c>
      <c r="S208" t="inlineStr">
        <is>
          <t>cum</t>
        </is>
      </c>
      <c r="T208" t="n">
        <v>1953.05</v>
      </c>
      <c r="U208" t="inlineStr">
        <is>
          <t>Material supply (quarry moorum)</t>
        </is>
      </c>
      <c r="V208" t="inlineStr">
        <is>
          <t>Carriage to plinth &amp; wheeling</t>
        </is>
      </c>
      <c r="W208" t="inlineStr">
        <is>
          <t>Spreading in layers ≤20 cm</t>
        </is>
      </c>
      <c r="X208" t="inlineStr">
        <is>
          <t>Watering each layer</t>
        </is>
      </c>
      <c r="Y208" t="inlineStr">
        <is>
          <t>Durmat ramming / hand compaction</t>
        </is>
      </c>
    </row>
    <row r="209" ht="22" customHeight="1">
      <c r="A209" s="16" t="inlineStr">
        <is>
          <t>Backfilling &amp; Compaction</t>
        </is>
      </c>
      <c r="B209" s="76" t="inlineStr">
        <is>
          <t>Ordinary rock</t>
        </is>
      </c>
      <c r="C209" s="76" t="inlineStr">
        <is>
          <t>Manual labor (depth ≤1.5m)</t>
        </is>
      </c>
      <c r="D209" s="76" t="inlineStr">
        <is>
          <t>Supplying and filling quarry moorum</t>
        </is>
      </c>
      <c r="E209" s="28" t="inlineStr">
        <is>
          <t>10 cum</t>
        </is>
      </c>
      <c r="F209" s="32" t="inlineStr">
        <is>
          <t>Labour (Operational / Bhishti)</t>
        </is>
      </c>
      <c r="G209" s="21" t="inlineStr">
        <is>
          <t>0101</t>
        </is>
      </c>
      <c r="H209" s="76" t="inlineStr">
        <is>
          <t>Bhisti</t>
        </is>
      </c>
      <c r="I209" s="86" t="n">
        <v>0.35</v>
      </c>
      <c r="J209" s="50" t="inlineStr">
        <is>
          <t>day</t>
        </is>
      </c>
      <c r="K209" s="51" t="n">
        <v>617</v>
      </c>
      <c r="L209" s="84" t="n">
        <v>215.95</v>
      </c>
      <c r="M209" s="52" t="n">
        <v>1.5</v>
      </c>
      <c r="N209" s="89" t="n">
        <v>28.57142857142857</v>
      </c>
      <c r="O209" s="39" t="inlineStr"/>
      <c r="P209" t="inlineStr">
        <is>
          <t>Backfilling &amp; Compaction|Ordinary rock|Manual labor (depth ≤1.5m)|Supplying and filling quarry moorum|5</t>
        </is>
      </c>
      <c r="Q209" t="n">
        <v>5</v>
      </c>
      <c r="R209" t="n">
        <v>10</v>
      </c>
      <c r="S209" t="inlineStr">
        <is>
          <t>cum</t>
        </is>
      </c>
      <c r="T209" t="n">
        <v>1953.05</v>
      </c>
      <c r="U209" t="inlineStr">
        <is>
          <t>Material supply (quarry moorum)</t>
        </is>
      </c>
      <c r="V209" t="inlineStr">
        <is>
          <t>Carriage to plinth &amp; wheeling</t>
        </is>
      </c>
      <c r="W209" t="inlineStr">
        <is>
          <t>Spreading in layers ≤20 cm</t>
        </is>
      </c>
      <c r="X209" t="inlineStr">
        <is>
          <t>Watering each layer</t>
        </is>
      </c>
      <c r="Y209" t="inlineStr">
        <is>
          <t>Durmat ramming / hand compaction</t>
        </is>
      </c>
    </row>
    <row r="210" ht="22" customHeight="1">
      <c r="A210" s="16" t="inlineStr">
        <is>
          <t>Surface Excavation (≤30 cm)</t>
        </is>
      </c>
      <c r="B210" s="76" t="inlineStr">
        <is>
          <t>All kinds of soil</t>
        </is>
      </c>
      <c r="C210" s="76" t="inlineStr">
        <is>
          <t>Manual labor (depth ≤1.5m)</t>
        </is>
      </c>
      <c r="D210" s="76" t="inlineStr">
        <is>
          <t>Surface dressing (≤15 cm depth)</t>
        </is>
      </c>
      <c r="E210" s="28" t="inlineStr">
        <is>
          <t>100 sqm</t>
        </is>
      </c>
      <c r="F210" s="32" t="inlineStr">
        <is>
          <t>Labour (Semi-Skilled / Operational)</t>
        </is>
      </c>
      <c r="G210" s="21" t="inlineStr">
        <is>
          <t>0114</t>
        </is>
      </c>
      <c r="H210" s="76" t="inlineStr">
        <is>
          <t>Beldar</t>
        </is>
      </c>
      <c r="I210" s="86" t="n">
        <v>1.97</v>
      </c>
      <c r="J210" s="50" t="inlineStr">
        <is>
          <t>day</t>
        </is>
      </c>
      <c r="K210" s="51" t="n">
        <v>558</v>
      </c>
      <c r="L210" s="84" t="n">
        <v>1099.26</v>
      </c>
      <c r="M210" s="52" t="n">
        <v>60.4</v>
      </c>
      <c r="N210" s="87" t="n">
        <v>50.76142131979695</v>
      </c>
      <c r="O210" s="39" t="inlineStr">
        <is>
          <t>1 man × 7.20 h ÷ 8 = 0.90 bd. Leveling surface humps/hollows &lt;= 15cm: 111.11 sqm/8-hr day (0.072 hr/sqm).</t>
        </is>
      </c>
      <c r="P210" t="inlineStr">
        <is>
          <t>Surface Excavation (≤30 cm)|All kinds of soil|Manual labor (depth ≤1.5m)|Surface dressing (≤15 cm depth)|1</t>
        </is>
      </c>
      <c r="Q210" t="n">
        <v>1</v>
      </c>
      <c r="R210" t="n">
        <v>100</v>
      </c>
      <c r="S210" t="inlineStr">
        <is>
          <t>sqm</t>
        </is>
      </c>
      <c r="T210" t="n">
        <v>24.35</v>
      </c>
      <c r="U210" t="inlineStr">
        <is>
          <t>Manual Beldar skimming</t>
        </is>
      </c>
      <c r="V210" t="inlineStr">
        <is>
          <t>Removal to 50m</t>
        </is>
      </c>
      <c r="W210" t="inlineStr">
        <is>
          <t>Level dressing</t>
        </is>
      </c>
      <c r="X210" t="inlineStr">
        <is>
          <t>None</t>
        </is>
      </c>
      <c r="Y210" t="inlineStr">
        <is>
          <t>None</t>
        </is>
      </c>
    </row>
    <row r="211" ht="22" customHeight="1">
      <c r="A211" s="16" t="inlineStr">
        <is>
          <t>Surface Excavation (≤30 cm)</t>
        </is>
      </c>
      <c r="B211" s="76" t="inlineStr">
        <is>
          <t>All kinds of soil</t>
        </is>
      </c>
      <c r="C211" s="76" t="inlineStr">
        <is>
          <t>Manual labor (depth ≤1.5m)</t>
        </is>
      </c>
      <c r="D211" s="76" t="inlineStr">
        <is>
          <t>Surface dressing (≤15 cm depth)</t>
        </is>
      </c>
      <c r="E211" s="28" t="inlineStr">
        <is>
          <t>100 sqm</t>
        </is>
      </c>
      <c r="F211" s="32" t="inlineStr">
        <is>
          <t>Labour (Unskilled / Haulage)</t>
        </is>
      </c>
      <c r="G211" s="21" t="inlineStr">
        <is>
          <t>0115</t>
        </is>
      </c>
      <c r="H211" s="76" t="inlineStr">
        <is>
          <t>Coolie</t>
        </is>
      </c>
      <c r="I211" s="86" t="n">
        <v>1.29</v>
      </c>
      <c r="J211" s="50" t="inlineStr">
        <is>
          <t>day</t>
        </is>
      </c>
      <c r="K211" s="51" t="n">
        <v>558</v>
      </c>
      <c r="L211" s="84" t="n">
        <v>719.8200000000001</v>
      </c>
      <c r="M211" s="52" t="n">
        <v>39.6</v>
      </c>
      <c r="N211" s="87" t="n">
        <v>77.51937984496124</v>
      </c>
      <c r="O211" s="39" t="inlineStr">
        <is>
          <t>1 man × 5.60 h ÷ 8 = 0.70 cd. Rubbish &amp; weed disposal up to 50m: 142.86 sqm/8-hr day (0.056 hr/sqm).</t>
        </is>
      </c>
      <c r="P211" t="inlineStr">
        <is>
          <t>Surface Excavation (≤30 cm)|All kinds of soil|Manual labor (depth ≤1.5m)|Surface dressing (≤15 cm depth)|2</t>
        </is>
      </c>
      <c r="Q211" t="n">
        <v>2</v>
      </c>
      <c r="R211" t="n">
        <v>100</v>
      </c>
      <c r="S211" t="inlineStr">
        <is>
          <t>sqm</t>
        </is>
      </c>
      <c r="T211" t="n">
        <v>24.35</v>
      </c>
      <c r="U211" t="inlineStr">
        <is>
          <t>Manual Beldar skimming</t>
        </is>
      </c>
      <c r="V211" t="inlineStr">
        <is>
          <t>Removal to 50m</t>
        </is>
      </c>
      <c r="W211" t="inlineStr">
        <is>
          <t>Level dressing</t>
        </is>
      </c>
      <c r="X211" t="inlineStr">
        <is>
          <t>None</t>
        </is>
      </c>
      <c r="Y211" t="inlineStr">
        <is>
          <t>None</t>
        </is>
      </c>
    </row>
    <row r="212" ht="22" customHeight="1">
      <c r="A212" s="16" t="inlineStr">
        <is>
          <t>Surface Excavation (≤30 cm)</t>
        </is>
      </c>
      <c r="B212" s="76" t="inlineStr">
        <is>
          <t>All kinds of soil</t>
        </is>
      </c>
      <c r="C212" s="76" t="inlineStr">
        <is>
          <t>Manual labor (depth ≤1.5m)</t>
        </is>
      </c>
      <c r="D212" s="76" t="inlineStr">
        <is>
          <t>Ploughing ground (15-25 cm) &amp; watering</t>
        </is>
      </c>
      <c r="E212" s="28" t="inlineStr">
        <is>
          <t>100 sqm</t>
        </is>
      </c>
      <c r="F212" s="32" t="inlineStr">
        <is>
          <t>Labour (Semi-Skilled / Operational)</t>
        </is>
      </c>
      <c r="G212" s="21" t="inlineStr">
        <is>
          <t>0114</t>
        </is>
      </c>
      <c r="H212" s="76" t="inlineStr">
        <is>
          <t>Beldar</t>
        </is>
      </c>
      <c r="I212" s="86" t="n">
        <v>2.75</v>
      </c>
      <c r="J212" s="50" t="inlineStr">
        <is>
          <t>day</t>
        </is>
      </c>
      <c r="K212" s="51" t="n">
        <v>558</v>
      </c>
      <c r="L212" s="84" t="n">
        <v>1534.5</v>
      </c>
      <c r="M212" s="52" t="n">
        <v>83.3</v>
      </c>
      <c r="N212" s="87" t="n">
        <v>36.36363636363637</v>
      </c>
      <c r="O212" s="39" t="inlineStr"/>
      <c r="P212" t="inlineStr">
        <is>
          <t>Surface Excavation (≤30 cm)|All kinds of soil|Manual labor (depth ≤1.5m)|Ploughing ground (15-25 cm) &amp; watering|1</t>
        </is>
      </c>
      <c r="Q212" t="n">
        <v>1</v>
      </c>
      <c r="R212" t="n">
        <v>100</v>
      </c>
      <c r="S212" t="inlineStr">
        <is>
          <t>sqm</t>
        </is>
      </c>
      <c r="T212" t="n">
        <v>24.65</v>
      </c>
      <c r="U212" t="inlineStr">
        <is>
          <t>Plough / Beldar</t>
        </is>
      </c>
      <c r="V212" t="inlineStr">
        <is>
          <t>On-site</t>
        </is>
      </c>
      <c r="W212" t="inlineStr">
        <is>
          <t>Rough furrows</t>
        </is>
      </c>
      <c r="X212" t="inlineStr">
        <is>
          <t>Watering by Bhishti</t>
        </is>
      </c>
      <c r="Y212" t="inlineStr">
        <is>
          <t>None</t>
        </is>
      </c>
    </row>
    <row r="213" ht="22" customHeight="1">
      <c r="A213" s="16" t="inlineStr">
        <is>
          <t>Surface Excavation (≤30 cm)</t>
        </is>
      </c>
      <c r="B213" s="76" t="inlineStr">
        <is>
          <t>All kinds of soil</t>
        </is>
      </c>
      <c r="C213" s="76" t="inlineStr">
        <is>
          <t>Manual labor (depth ≤1.5m)</t>
        </is>
      </c>
      <c r="D213" s="76" t="inlineStr">
        <is>
          <t>Ploughing ground (15-25 cm) &amp; watering</t>
        </is>
      </c>
      <c r="E213" s="28" t="inlineStr">
        <is>
          <t>100 sqm</t>
        </is>
      </c>
      <c r="F213" s="32" t="inlineStr">
        <is>
          <t>Labour (Operational / Bhishti)</t>
        </is>
      </c>
      <c r="G213" s="21" t="inlineStr">
        <is>
          <t>0101</t>
        </is>
      </c>
      <c r="H213" s="76" t="inlineStr">
        <is>
          <t>Bhisti</t>
        </is>
      </c>
      <c r="I213" s="86" t="n">
        <v>0.5</v>
      </c>
      <c r="J213" s="50" t="inlineStr">
        <is>
          <t>day</t>
        </is>
      </c>
      <c r="K213" s="51" t="n">
        <v>617</v>
      </c>
      <c r="L213" s="84" t="n">
        <v>308.5</v>
      </c>
      <c r="M213" s="52" t="n">
        <v>16.7</v>
      </c>
      <c r="N213" s="87" t="n">
        <v>200</v>
      </c>
      <c r="O213" s="39" t="inlineStr"/>
      <c r="P213" t="inlineStr">
        <is>
          <t>Surface Excavation (≤30 cm)|All kinds of soil|Manual labor (depth ≤1.5m)|Ploughing ground (15-25 cm) &amp; watering|2</t>
        </is>
      </c>
      <c r="Q213" t="n">
        <v>2</v>
      </c>
      <c r="R213" t="n">
        <v>100</v>
      </c>
      <c r="S213" t="inlineStr">
        <is>
          <t>sqm</t>
        </is>
      </c>
      <c r="T213" t="n">
        <v>24.65</v>
      </c>
      <c r="U213" t="inlineStr">
        <is>
          <t>Plough / Beldar</t>
        </is>
      </c>
      <c r="V213" t="inlineStr">
        <is>
          <t>On-site</t>
        </is>
      </c>
      <c r="W213" t="inlineStr">
        <is>
          <t>Rough furrows</t>
        </is>
      </c>
      <c r="X213" t="inlineStr">
        <is>
          <t>Watering by Bhishti</t>
        </is>
      </c>
      <c r="Y213" t="inlineStr">
        <is>
          <t>None</t>
        </is>
      </c>
    </row>
    <row r="214" ht="22" customHeight="1">
      <c r="A214" s="16" t="inlineStr">
        <is>
          <t>Foundation &amp; Pipeline Trenching</t>
        </is>
      </c>
      <c r="B214" s="76" t="inlineStr">
        <is>
          <t>All kinds of soil</t>
        </is>
      </c>
      <c r="C214" s="76" t="inlineStr">
        <is>
          <t>Manual labor (depth ≤1.5m)</t>
        </is>
      </c>
      <c r="D214" s="76" t="inlineStr">
        <is>
          <t>Excavating post holes 0.1-0.5 cum in soil</t>
        </is>
      </c>
      <c r="E214" s="28" t="inlineStr">
        <is>
          <t>10 hole</t>
        </is>
      </c>
      <c r="F214" s="32" t="inlineStr">
        <is>
          <t>Sundries &amp; Allowances</t>
        </is>
      </c>
      <c r="G214" s="21" t="inlineStr">
        <is>
          <t>2.8.1</t>
        </is>
      </c>
      <c r="H214" s="76" t="inlineStr">
        <is>
          <t>Rate item 2.8.1 – Foundation trench all soil</t>
        </is>
      </c>
      <c r="I214" s="86" t="n">
        <v>3</v>
      </c>
      <c r="J214" s="50" t="inlineStr">
        <is>
          <t>cum</t>
        </is>
      </c>
      <c r="K214" s="51" t="n">
        <v>252.3</v>
      </c>
      <c r="L214" s="84" t="n">
        <v>756.9</v>
      </c>
      <c r="M214" s="52" t="n">
        <v>96.59999999999999</v>
      </c>
      <c r="N214" s="32" t="inlineStr"/>
      <c r="O214" s="39" t="inlineStr">
        <is>
          <t>3 cum avg per hole</t>
        </is>
      </c>
      <c r="P214" t="inlineStr">
        <is>
          <t>Foundation &amp; Pipeline Trenching|All kinds of soil|Manual labor (depth ≤1.5m)|Excavating post holes 0.1-0.5 cum in soil|1</t>
        </is>
      </c>
      <c r="Q214" t="n">
        <v>1</v>
      </c>
      <c r="R214" t="n">
        <v>10</v>
      </c>
      <c r="S214" t="inlineStr">
        <is>
          <t>hole</t>
        </is>
      </c>
      <c r="T214" t="n">
        <v>79.3</v>
      </c>
      <c r="U214" t="inlineStr">
        <is>
          <t>Post hole auger / crowbar</t>
        </is>
      </c>
      <c r="V214" t="inlineStr">
        <is>
          <t>Hand shovel around hole</t>
        </is>
      </c>
      <c r="W214" t="inlineStr">
        <is>
          <t>Neat collar stacking</t>
        </is>
      </c>
      <c r="X214" t="inlineStr">
        <is>
          <t>None</t>
        </is>
      </c>
      <c r="Y214" t="inlineStr">
        <is>
          <t>None</t>
        </is>
      </c>
    </row>
    <row r="215" ht="22" customHeight="1">
      <c r="A215" s="16" t="inlineStr">
        <is>
          <t>Foundation &amp; Pipeline Trenching</t>
        </is>
      </c>
      <c r="B215" s="76" t="inlineStr">
        <is>
          <t>All kinds of soil</t>
        </is>
      </c>
      <c r="C215" s="76" t="inlineStr">
        <is>
          <t>Manual labor (depth ≤1.5m)</t>
        </is>
      </c>
      <c r="D215" s="76" t="inlineStr">
        <is>
          <t>Excavating post holes 0.1-0.5 cum in soil</t>
        </is>
      </c>
      <c r="E215" s="28" t="inlineStr">
        <is>
          <t>10 hole</t>
        </is>
      </c>
      <c r="F215" s="32" t="inlineStr">
        <is>
          <t>Sundries &amp; Allowances</t>
        </is>
      </c>
      <c r="G215" s="21" t="inlineStr">
        <is>
          <t>9999</t>
        </is>
      </c>
      <c r="H215" s="76" t="inlineStr">
        <is>
          <t>Sundries – filling, ramming</t>
        </is>
      </c>
      <c r="I215" s="86" t="n">
        <v>13.52</v>
      </c>
      <c r="J215" s="50" t="inlineStr">
        <is>
          <t>L.S.</t>
        </is>
      </c>
      <c r="K215" s="51" t="n">
        <v>2</v>
      </c>
      <c r="L215" s="84" t="n">
        <v>27.04</v>
      </c>
      <c r="M215" s="52" t="n">
        <v>3.4</v>
      </c>
      <c r="N215" s="32" t="inlineStr"/>
      <c r="O215" s="39" t="inlineStr"/>
      <c r="P215" t="inlineStr">
        <is>
          <t>Foundation &amp; Pipeline Trenching|All kinds of soil|Manual labor (depth ≤1.5m)|Excavating post holes 0.1-0.5 cum in soil|2</t>
        </is>
      </c>
      <c r="Q215" t="n">
        <v>2</v>
      </c>
      <c r="R215" t="n">
        <v>10</v>
      </c>
      <c r="S215" t="inlineStr">
        <is>
          <t>hole</t>
        </is>
      </c>
      <c r="T215" t="n">
        <v>79.3</v>
      </c>
      <c r="U215" t="inlineStr">
        <is>
          <t>Post hole auger / crowbar</t>
        </is>
      </c>
      <c r="V215" t="inlineStr">
        <is>
          <t>Hand shovel around hole</t>
        </is>
      </c>
      <c r="W215" t="inlineStr">
        <is>
          <t>Neat collar stacking</t>
        </is>
      </c>
      <c r="X215" t="inlineStr">
        <is>
          <t>None</t>
        </is>
      </c>
      <c r="Y215" t="inlineStr">
        <is>
          <t>None</t>
        </is>
      </c>
    </row>
    <row r="216" ht="22" customHeight="1">
      <c r="A216" s="16" t="inlineStr">
        <is>
          <t>Foundation &amp; Pipeline Trenching</t>
        </is>
      </c>
      <c r="B216" s="76" t="inlineStr">
        <is>
          <t>Ordinary rock</t>
        </is>
      </c>
      <c r="C216" s="76" t="inlineStr">
        <is>
          <t>Manual labor (depth ≤1.5m)</t>
        </is>
      </c>
      <c r="D216" s="76" t="inlineStr">
        <is>
          <t>Excavating post holes 0.1-0.5 cum in ord rock</t>
        </is>
      </c>
      <c r="E216" s="28" t="inlineStr">
        <is>
          <t>10 hole</t>
        </is>
      </c>
      <c r="F216" s="32" t="inlineStr">
        <is>
          <t>Sundries &amp; Allowances</t>
        </is>
      </c>
      <c r="G216" s="21" t="inlineStr">
        <is>
          <t>2.9.1</t>
        </is>
      </c>
      <c r="H216" s="76" t="inlineStr">
        <is>
          <t>Rate item 2.9.1 – Foundation trench ord rock</t>
        </is>
      </c>
      <c r="I216" s="86" t="n">
        <v>3</v>
      </c>
      <c r="J216" s="50" t="inlineStr">
        <is>
          <t>cum</t>
        </is>
      </c>
      <c r="K216" s="51" t="n">
        <v>448.15</v>
      </c>
      <c r="L216" s="84" t="n">
        <v>1344.45</v>
      </c>
      <c r="M216" s="52" t="n">
        <v>98</v>
      </c>
      <c r="N216" s="32" t="inlineStr"/>
      <c r="O216" s="39" t="inlineStr"/>
      <c r="P216" t="inlineStr">
        <is>
          <t>Foundation &amp; Pipeline Trenching|Ordinary rock|Manual labor (depth ≤1.5m)|Excavating post holes 0.1-0.5 cum in ord rock|1</t>
        </is>
      </c>
      <c r="Q216" t="n">
        <v>1</v>
      </c>
      <c r="R216" t="n">
        <v>10</v>
      </c>
      <c r="S216" t="inlineStr">
        <is>
          <t>hole</t>
        </is>
      </c>
      <c r="T216" t="n">
        <v>138.05</v>
      </c>
      <c r="U216" t="inlineStr">
        <is>
          <t>Post hole auger / crowbar</t>
        </is>
      </c>
      <c r="V216" t="inlineStr">
        <is>
          <t>Hand shovel around hole</t>
        </is>
      </c>
      <c r="W216" t="inlineStr">
        <is>
          <t>Neat collar stacking</t>
        </is>
      </c>
      <c r="X216" t="inlineStr">
        <is>
          <t>None</t>
        </is>
      </c>
      <c r="Y216" t="inlineStr">
        <is>
          <t>None</t>
        </is>
      </c>
    </row>
    <row r="217" ht="22" customHeight="1">
      <c r="A217" s="16" t="inlineStr">
        <is>
          <t>Foundation &amp; Pipeline Trenching</t>
        </is>
      </c>
      <c r="B217" s="76" t="inlineStr">
        <is>
          <t>Ordinary rock</t>
        </is>
      </c>
      <c r="C217" s="76" t="inlineStr">
        <is>
          <t>Manual labor (depth ≤1.5m)</t>
        </is>
      </c>
      <c r="D217" s="76" t="inlineStr">
        <is>
          <t>Excavating post holes 0.1-0.5 cum in ord rock</t>
        </is>
      </c>
      <c r="E217" s="28" t="inlineStr">
        <is>
          <t>10 hole</t>
        </is>
      </c>
      <c r="F217" s="32" t="inlineStr">
        <is>
          <t>Sundries &amp; Allowances</t>
        </is>
      </c>
      <c r="G217" s="21" t="inlineStr">
        <is>
          <t>9999</t>
        </is>
      </c>
      <c r="H217" s="76" t="inlineStr">
        <is>
          <t>Sundries</t>
        </is>
      </c>
      <c r="I217" s="86" t="n">
        <v>13.52</v>
      </c>
      <c r="J217" s="50" t="inlineStr">
        <is>
          <t>L.S.</t>
        </is>
      </c>
      <c r="K217" s="51" t="n">
        <v>2</v>
      </c>
      <c r="L217" s="84" t="n">
        <v>27.04</v>
      </c>
      <c r="M217" s="52" t="n">
        <v>2</v>
      </c>
      <c r="N217" s="32" t="inlineStr"/>
      <c r="O217" s="39" t="inlineStr"/>
      <c r="P217" t="inlineStr">
        <is>
          <t>Foundation &amp; Pipeline Trenching|Ordinary rock|Manual labor (depth ≤1.5m)|Excavating post holes 0.1-0.5 cum in ord rock|2</t>
        </is>
      </c>
      <c r="Q217" t="n">
        <v>2</v>
      </c>
      <c r="R217" t="n">
        <v>10</v>
      </c>
      <c r="S217" t="inlineStr">
        <is>
          <t>hole</t>
        </is>
      </c>
      <c r="T217" t="n">
        <v>138.05</v>
      </c>
      <c r="U217" t="inlineStr">
        <is>
          <t>Post hole auger / crowbar</t>
        </is>
      </c>
      <c r="V217" t="inlineStr">
        <is>
          <t>Hand shovel around hole</t>
        </is>
      </c>
      <c r="W217" t="inlineStr">
        <is>
          <t>Neat collar stacking</t>
        </is>
      </c>
      <c r="X217" t="inlineStr">
        <is>
          <t>None</t>
        </is>
      </c>
      <c r="Y217" t="inlineStr">
        <is>
          <t>None</t>
        </is>
      </c>
    </row>
    <row r="218" ht="22" customHeight="1">
      <c r="A218" s="16" t="inlineStr">
        <is>
          <t>Foundation &amp; Pipeline Trenching</t>
        </is>
      </c>
      <c r="B218" s="76" t="inlineStr">
        <is>
          <t>Hard rock (blasting permitted)</t>
        </is>
      </c>
      <c r="C218" s="76" t="inlineStr">
        <is>
          <t>Manual labor (depth ≤1.5m)</t>
        </is>
      </c>
      <c r="D218" s="76" t="inlineStr">
        <is>
          <t>Excavating post holes 0.1-0.5 cum in hard rock blast</t>
        </is>
      </c>
      <c r="E218" s="28" t="inlineStr">
        <is>
          <t>10 hole</t>
        </is>
      </c>
      <c r="F218" s="32" t="inlineStr">
        <is>
          <t>Sundries &amp; Allowances</t>
        </is>
      </c>
      <c r="G218" s="21" t="inlineStr">
        <is>
          <t>2.9.2</t>
        </is>
      </c>
      <c r="H218" s="76" t="inlineStr">
        <is>
          <t>Rate item 2.9.2 – Hard rock blasting</t>
        </is>
      </c>
      <c r="I218" s="86" t="n">
        <v>3</v>
      </c>
      <c r="J218" s="50" t="inlineStr">
        <is>
          <t>cum</t>
        </is>
      </c>
      <c r="K218" s="51" t="n">
        <v>729</v>
      </c>
      <c r="L218" s="84" t="n">
        <v>2187</v>
      </c>
      <c r="M218" s="52" t="n">
        <v>98.8</v>
      </c>
      <c r="N218" s="32" t="inlineStr"/>
      <c r="O218" s="39" t="inlineStr"/>
      <c r="P218" t="inlineStr">
        <is>
          <t>Foundation &amp; Pipeline Trenching|Hard rock (blasting permitted)|Manual labor (depth ≤1.5m)|Excavating post holes 0.1-0.5 cum in hard rock blast|1</t>
        </is>
      </c>
      <c r="Q218" t="n">
        <v>1</v>
      </c>
      <c r="R218" t="n">
        <v>10</v>
      </c>
      <c r="S218" t="inlineStr">
        <is>
          <t>hole</t>
        </is>
      </c>
      <c r="T218" t="n">
        <v>222.3</v>
      </c>
      <c r="U218" t="inlineStr">
        <is>
          <t>Post hole auger / crowbar</t>
        </is>
      </c>
      <c r="V218" t="inlineStr">
        <is>
          <t>Hand shovel around hole</t>
        </is>
      </c>
      <c r="W218" t="inlineStr">
        <is>
          <t>Neat collar stacking</t>
        </is>
      </c>
      <c r="X218" t="inlineStr">
        <is>
          <t>None</t>
        </is>
      </c>
      <c r="Y218" t="inlineStr">
        <is>
          <t>None</t>
        </is>
      </c>
    </row>
    <row r="219" ht="22" customHeight="1">
      <c r="A219" s="16" t="inlineStr">
        <is>
          <t>Foundation &amp; Pipeline Trenching</t>
        </is>
      </c>
      <c r="B219" s="76" t="inlineStr">
        <is>
          <t>Hard rock (blasting permitted)</t>
        </is>
      </c>
      <c r="C219" s="76" t="inlineStr">
        <is>
          <t>Manual labor (depth ≤1.5m)</t>
        </is>
      </c>
      <c r="D219" s="76" t="inlineStr">
        <is>
          <t>Excavating post holes 0.1-0.5 cum in hard rock blast</t>
        </is>
      </c>
      <c r="E219" s="28" t="inlineStr">
        <is>
          <t>10 hole</t>
        </is>
      </c>
      <c r="F219" s="32" t="inlineStr">
        <is>
          <t>Sundries &amp; Allowances</t>
        </is>
      </c>
      <c r="G219" s="21" t="inlineStr">
        <is>
          <t>9999</t>
        </is>
      </c>
      <c r="H219" s="76" t="inlineStr">
        <is>
          <t>Sundries</t>
        </is>
      </c>
      <c r="I219" s="86" t="n">
        <v>13.52</v>
      </c>
      <c r="J219" s="50" t="inlineStr">
        <is>
          <t>L.S.</t>
        </is>
      </c>
      <c r="K219" s="51" t="n">
        <v>2</v>
      </c>
      <c r="L219" s="84" t="n">
        <v>27.04</v>
      </c>
      <c r="M219" s="52" t="n">
        <v>1.2</v>
      </c>
      <c r="N219" s="32" t="inlineStr"/>
      <c r="O219" s="39" t="inlineStr"/>
      <c r="P219" t="inlineStr">
        <is>
          <t>Foundation &amp; Pipeline Trenching|Hard rock (blasting permitted)|Manual labor (depth ≤1.5m)|Excavating post holes 0.1-0.5 cum in hard rock blast|2</t>
        </is>
      </c>
      <c r="Q219" t="n">
        <v>2</v>
      </c>
      <c r="R219" t="n">
        <v>10</v>
      </c>
      <c r="S219" t="inlineStr">
        <is>
          <t>hole</t>
        </is>
      </c>
      <c r="T219" t="n">
        <v>222.3</v>
      </c>
      <c r="U219" t="inlineStr">
        <is>
          <t>Post hole auger / crowbar</t>
        </is>
      </c>
      <c r="V219" t="inlineStr">
        <is>
          <t>Hand shovel around hole</t>
        </is>
      </c>
      <c r="W219" t="inlineStr">
        <is>
          <t>Neat collar stacking</t>
        </is>
      </c>
      <c r="X219" t="inlineStr">
        <is>
          <t>None</t>
        </is>
      </c>
      <c r="Y219" t="inlineStr">
        <is>
          <t>None</t>
        </is>
      </c>
    </row>
    <row r="220" ht="22" customHeight="1">
      <c r="A220" s="16" t="inlineStr">
        <is>
          <t>Foundation &amp; Pipeline Trenching</t>
        </is>
      </c>
      <c r="B220" s="76" t="inlineStr">
        <is>
          <t>Hard rock (blasting prohibited)</t>
        </is>
      </c>
      <c r="C220" s="76" t="inlineStr">
        <is>
          <t>Manual labor (depth ≤1.5m)</t>
        </is>
      </c>
      <c r="D220" s="76" t="inlineStr">
        <is>
          <t>Excavating post holes 0.1-0.5 cum in hard rock chiseled</t>
        </is>
      </c>
      <c r="E220" s="28" t="inlineStr">
        <is>
          <t>10 hole</t>
        </is>
      </c>
      <c r="F220" s="32" t="inlineStr">
        <is>
          <t>Sundries &amp; Allowances</t>
        </is>
      </c>
      <c r="G220" s="21" t="inlineStr">
        <is>
          <t>2.9.3</t>
        </is>
      </c>
      <c r="H220" s="76" t="inlineStr">
        <is>
          <t>Rate item 2.9.3 – Hard rock no blast</t>
        </is>
      </c>
      <c r="I220" s="86" t="n">
        <v>3</v>
      </c>
      <c r="J220" s="50" t="inlineStr">
        <is>
          <t>cum</t>
        </is>
      </c>
      <c r="K220" s="51" t="n">
        <v>1080.55</v>
      </c>
      <c r="L220" s="84" t="n">
        <v>3241.65</v>
      </c>
      <c r="M220" s="52" t="n">
        <v>99.2</v>
      </c>
      <c r="N220" s="32" t="inlineStr"/>
      <c r="O220" s="39" t="inlineStr"/>
      <c r="P220" t="inlineStr">
        <is>
          <t>Foundation &amp; Pipeline Trenching|Hard rock (blasting prohibited)|Manual labor (depth ≤1.5m)|Excavating post holes 0.1-0.5 cum in hard rock chiseled|1</t>
        </is>
      </c>
      <c r="Q220" t="n">
        <v>1</v>
      </c>
      <c r="R220" t="n">
        <v>10</v>
      </c>
      <c r="S220" t="inlineStr">
        <is>
          <t>hole</t>
        </is>
      </c>
      <c r="T220" t="n">
        <v>327.8</v>
      </c>
      <c r="U220" t="inlineStr">
        <is>
          <t>Post hole auger / crowbar</t>
        </is>
      </c>
      <c r="V220" t="inlineStr">
        <is>
          <t>Hand shovel around hole</t>
        </is>
      </c>
      <c r="W220" t="inlineStr">
        <is>
          <t>Neat collar stacking</t>
        </is>
      </c>
      <c r="X220" t="inlineStr">
        <is>
          <t>None</t>
        </is>
      </c>
      <c r="Y220" t="inlineStr">
        <is>
          <t>None</t>
        </is>
      </c>
    </row>
    <row r="221" ht="22" customHeight="1">
      <c r="A221" s="16" t="inlineStr">
        <is>
          <t>Foundation &amp; Pipeline Trenching</t>
        </is>
      </c>
      <c r="B221" s="76" t="inlineStr">
        <is>
          <t>Hard rock (blasting prohibited)</t>
        </is>
      </c>
      <c r="C221" s="76" t="inlineStr">
        <is>
          <t>Manual labor (depth ≤1.5m)</t>
        </is>
      </c>
      <c r="D221" s="76" t="inlineStr">
        <is>
          <t>Excavating post holes 0.1-0.5 cum in hard rock chiseled</t>
        </is>
      </c>
      <c r="E221" s="28" t="inlineStr">
        <is>
          <t>10 hole</t>
        </is>
      </c>
      <c r="F221" s="32" t="inlineStr">
        <is>
          <t>Sundries &amp; Allowances</t>
        </is>
      </c>
      <c r="G221" s="21" t="inlineStr">
        <is>
          <t>9999</t>
        </is>
      </c>
      <c r="H221" s="76" t="inlineStr">
        <is>
          <t>Sundries</t>
        </is>
      </c>
      <c r="I221" s="86" t="n">
        <v>13.52</v>
      </c>
      <c r="J221" s="50" t="inlineStr">
        <is>
          <t>L.S.</t>
        </is>
      </c>
      <c r="K221" s="51" t="n">
        <v>2</v>
      </c>
      <c r="L221" s="84" t="n">
        <v>27.04</v>
      </c>
      <c r="M221" s="52" t="n">
        <v>0.8</v>
      </c>
      <c r="N221" s="32" t="inlineStr"/>
      <c r="O221" s="39" t="inlineStr"/>
      <c r="P221" t="inlineStr">
        <is>
          <t>Foundation &amp; Pipeline Trenching|Hard rock (blasting prohibited)|Manual labor (depth ≤1.5m)|Excavating post holes 0.1-0.5 cum in hard rock chiseled|2</t>
        </is>
      </c>
      <c r="Q221" t="n">
        <v>2</v>
      </c>
      <c r="R221" t="n">
        <v>10</v>
      </c>
      <c r="S221" t="inlineStr">
        <is>
          <t>hole</t>
        </is>
      </c>
      <c r="T221" t="n">
        <v>327.8</v>
      </c>
      <c r="U221" t="inlineStr">
        <is>
          <t>Post hole auger / crowbar</t>
        </is>
      </c>
      <c r="V221" t="inlineStr">
        <is>
          <t>Hand shovel around hole</t>
        </is>
      </c>
      <c r="W221" t="inlineStr">
        <is>
          <t>Neat collar stacking</t>
        </is>
      </c>
      <c r="X221" t="inlineStr">
        <is>
          <t>None</t>
        </is>
      </c>
      <c r="Y221" t="inlineStr">
        <is>
          <t>None</t>
        </is>
      </c>
    </row>
    <row r="222" ht="22" customHeight="1">
      <c r="A222" s="16" t="inlineStr">
        <is>
          <t>Site Clearance &amp; Tree Felling</t>
        </is>
      </c>
      <c r="B222" s="76" t="inlineStr">
        <is>
          <t>All kinds of soil</t>
        </is>
      </c>
      <c r="C222" s="76" t="inlineStr">
        <is>
          <t>Manual labor (depth ≤1.5m)</t>
        </is>
      </c>
      <c r="D222" s="76" t="inlineStr">
        <is>
          <t>Clearing jungle &amp; rank vegetation uprooting</t>
        </is>
      </c>
      <c r="E222" s="28" t="inlineStr">
        <is>
          <t>100 sqm</t>
        </is>
      </c>
      <c r="F222" s="32" t="inlineStr">
        <is>
          <t>Labour (Semi-Skilled / Operational)</t>
        </is>
      </c>
      <c r="G222" s="21" t="inlineStr">
        <is>
          <t>0114</t>
        </is>
      </c>
      <c r="H222" s="76" t="inlineStr">
        <is>
          <t>Beldar</t>
        </is>
      </c>
      <c r="I222" s="86" t="n">
        <v>1.08</v>
      </c>
      <c r="J222" s="50" t="inlineStr">
        <is>
          <t>day</t>
        </is>
      </c>
      <c r="K222" s="51" t="n">
        <v>558</v>
      </c>
      <c r="L222" s="84" t="n">
        <v>602.64</v>
      </c>
      <c r="M222" s="52" t="n">
        <v>64.3</v>
      </c>
      <c r="N222" s="87" t="n">
        <v>92.59259259259258</v>
      </c>
      <c r="O222" s="39" t="inlineStr">
        <is>
          <t>1 man × 6.40 h ÷ 8 = 0.80 bd. Cutting rank vegetation &amp; uprooting saplings &lt;= 30cm: 125 sqm/8-hr day (0.064 hr/sqm).</t>
        </is>
      </c>
      <c r="P222" t="inlineStr">
        <is>
          <t>Site Clearance &amp; Tree Felling|All kinds of soil|Manual labor (depth ≤1.5m)|Clearing jungle &amp; rank vegetation uprooting|1</t>
        </is>
      </c>
      <c r="Q222" t="n">
        <v>1</v>
      </c>
      <c r="R222" t="n">
        <v>100</v>
      </c>
      <c r="S222" t="inlineStr">
        <is>
          <t>sqm</t>
        </is>
      </c>
      <c r="T222" t="n">
        <v>12.55</v>
      </c>
      <c r="U222" t="inlineStr">
        <is>
          <t>Beldar billhook &amp; mattock</t>
        </is>
      </c>
      <c r="V222" t="inlineStr">
        <is>
          <t>Disposal rubbish up to 50m</t>
        </is>
      </c>
      <c r="W222" t="inlineStr">
        <is>
          <t>Burning / stacking</t>
        </is>
      </c>
      <c r="X222" t="inlineStr">
        <is>
          <t>None</t>
        </is>
      </c>
      <c r="Y222" t="inlineStr">
        <is>
          <t>None</t>
        </is>
      </c>
    </row>
    <row r="223" ht="22" customHeight="1">
      <c r="A223" s="16" t="inlineStr">
        <is>
          <t>Site Clearance &amp; Tree Felling</t>
        </is>
      </c>
      <c r="B223" s="76" t="inlineStr">
        <is>
          <t>All kinds of soil</t>
        </is>
      </c>
      <c r="C223" s="76" t="inlineStr">
        <is>
          <t>Manual labor (depth ≤1.5m)</t>
        </is>
      </c>
      <c r="D223" s="76" t="inlineStr">
        <is>
          <t>Clearing jungle &amp; rank vegetation uprooting</t>
        </is>
      </c>
      <c r="E223" s="28" t="inlineStr">
        <is>
          <t>100 sqm</t>
        </is>
      </c>
      <c r="F223" s="32" t="inlineStr">
        <is>
          <t>Labour (Unskilled / Haulage)</t>
        </is>
      </c>
      <c r="G223" s="21" t="inlineStr">
        <is>
          <t>0115</t>
        </is>
      </c>
      <c r="H223" s="76" t="inlineStr">
        <is>
          <t>Coolie</t>
        </is>
      </c>
      <c r="I223" s="86" t="n">
        <v>0.6</v>
      </c>
      <c r="J223" s="50" t="inlineStr">
        <is>
          <t>day</t>
        </is>
      </c>
      <c r="K223" s="51" t="n">
        <v>558</v>
      </c>
      <c r="L223" s="84" t="n">
        <v>334.8</v>
      </c>
      <c r="M223" s="52" t="n">
        <v>35.7</v>
      </c>
      <c r="N223" s="87" t="n">
        <v>166.6666666666667</v>
      </c>
      <c r="O223" s="39" t="inlineStr">
        <is>
          <t>1 man × 1.60 h ÷ 8 = 0.20 cd. Stacking &amp; carrying outside 50m periphery: 500 sqm/8-hr day (0.016 hr/sqm).</t>
        </is>
      </c>
      <c r="P223" t="inlineStr">
        <is>
          <t>Site Clearance &amp; Tree Felling|All kinds of soil|Manual labor (depth ≤1.5m)|Clearing jungle &amp; rank vegetation uprooting|2</t>
        </is>
      </c>
      <c r="Q223" t="n">
        <v>2</v>
      </c>
      <c r="R223" t="n">
        <v>100</v>
      </c>
      <c r="S223" t="inlineStr">
        <is>
          <t>sqm</t>
        </is>
      </c>
      <c r="T223" t="n">
        <v>12.55</v>
      </c>
      <c r="U223" t="inlineStr">
        <is>
          <t>Beldar billhook &amp; mattock</t>
        </is>
      </c>
      <c r="V223" t="inlineStr">
        <is>
          <t>Disposal rubbish up to 50m</t>
        </is>
      </c>
      <c r="W223" t="inlineStr">
        <is>
          <t>Burning / stacking</t>
        </is>
      </c>
      <c r="X223" t="inlineStr">
        <is>
          <t>None</t>
        </is>
      </c>
      <c r="Y223" t="inlineStr">
        <is>
          <t>None</t>
        </is>
      </c>
    </row>
    <row r="224" ht="22" customHeight="1">
      <c r="A224" s="16" t="inlineStr">
        <is>
          <t>Site Clearance &amp; Tree Felling</t>
        </is>
      </c>
      <c r="B224" s="76" t="inlineStr">
        <is>
          <t>All kinds of soil</t>
        </is>
      </c>
      <c r="C224" s="76" t="inlineStr">
        <is>
          <t>Manual labor (depth ≤1.5m)</t>
        </is>
      </c>
      <c r="D224" s="76" t="inlineStr">
        <is>
          <t>Clearing grass &amp; removal of rubbish</t>
        </is>
      </c>
      <c r="E224" s="28" t="inlineStr">
        <is>
          <t>100 sqm</t>
        </is>
      </c>
      <c r="F224" s="32" t="inlineStr">
        <is>
          <t>Labour (Semi-Skilled / Operational)</t>
        </is>
      </c>
      <c r="G224" s="21" t="inlineStr">
        <is>
          <t>0114</t>
        </is>
      </c>
      <c r="H224" s="76" t="inlineStr">
        <is>
          <t>Beldar</t>
        </is>
      </c>
      <c r="I224" s="86" t="n">
        <v>0.6</v>
      </c>
      <c r="J224" s="50" t="inlineStr">
        <is>
          <t>day</t>
        </is>
      </c>
      <c r="K224" s="51" t="n">
        <v>558</v>
      </c>
      <c r="L224" s="84" t="n">
        <v>334.8</v>
      </c>
      <c r="M224" s="52" t="n">
        <v>70.09999999999999</v>
      </c>
      <c r="N224" s="87" t="n">
        <v>166.6666666666667</v>
      </c>
      <c r="O224" s="39" t="inlineStr"/>
      <c r="P224" t="inlineStr">
        <is>
          <t>Site Clearance &amp; Tree Felling|All kinds of soil|Manual labor (depth ≤1.5m)|Clearing grass &amp; removal of rubbish|1</t>
        </is>
      </c>
      <c r="Q224" t="n">
        <v>1</v>
      </c>
      <c r="R224" t="n">
        <v>100</v>
      </c>
      <c r="S224" t="inlineStr">
        <is>
          <t>sqm</t>
        </is>
      </c>
      <c r="T224" t="n">
        <v>6.4</v>
      </c>
      <c r="U224" t="inlineStr">
        <is>
          <t>Grass sickle &amp; scraper</t>
        </is>
      </c>
      <c r="V224" t="inlineStr">
        <is>
          <t>Disposal rubbish up to 50m</t>
        </is>
      </c>
      <c r="W224" t="inlineStr">
        <is>
          <t>Disposal outside area</t>
        </is>
      </c>
      <c r="X224" t="inlineStr">
        <is>
          <t>None</t>
        </is>
      </c>
      <c r="Y224" t="inlineStr">
        <is>
          <t>None</t>
        </is>
      </c>
    </row>
    <row r="225" ht="22" customHeight="1">
      <c r="A225" s="16" t="inlineStr">
        <is>
          <t>Site Clearance &amp; Tree Felling</t>
        </is>
      </c>
      <c r="B225" s="76" t="inlineStr">
        <is>
          <t>All kinds of soil</t>
        </is>
      </c>
      <c r="C225" s="76" t="inlineStr">
        <is>
          <t>Manual labor (depth ≤1.5m)</t>
        </is>
      </c>
      <c r="D225" s="76" t="inlineStr">
        <is>
          <t>Clearing grass &amp; removal of rubbish</t>
        </is>
      </c>
      <c r="E225" s="28" t="inlineStr">
        <is>
          <t>100 sqm</t>
        </is>
      </c>
      <c r="F225" s="32" t="inlineStr">
        <is>
          <t>Labour (Unskilled / Haulage)</t>
        </is>
      </c>
      <c r="G225" s="21" t="inlineStr">
        <is>
          <t>0115</t>
        </is>
      </c>
      <c r="H225" s="76" t="inlineStr">
        <is>
          <t>Coolie</t>
        </is>
      </c>
      <c r="I225" s="86" t="n">
        <v>0.25</v>
      </c>
      <c r="J225" s="50" t="inlineStr">
        <is>
          <t>day</t>
        </is>
      </c>
      <c r="K225" s="51" t="n">
        <v>558</v>
      </c>
      <c r="L225" s="84" t="n">
        <v>139.5</v>
      </c>
      <c r="M225" s="52" t="n">
        <v>29.2</v>
      </c>
      <c r="N225" s="87" t="n">
        <v>400</v>
      </c>
      <c r="O225" s="39" t="inlineStr"/>
      <c r="P225" t="inlineStr">
        <is>
          <t>Site Clearance &amp; Tree Felling|All kinds of soil|Manual labor (depth ≤1.5m)|Clearing grass &amp; removal of rubbish|2</t>
        </is>
      </c>
      <c r="Q225" t="n">
        <v>2</v>
      </c>
      <c r="R225" t="n">
        <v>100</v>
      </c>
      <c r="S225" t="inlineStr">
        <is>
          <t>sqm</t>
        </is>
      </c>
      <c r="T225" t="n">
        <v>6.4</v>
      </c>
      <c r="U225" t="inlineStr">
        <is>
          <t>Grass sickle &amp; scraper</t>
        </is>
      </c>
      <c r="V225" t="inlineStr">
        <is>
          <t>Disposal rubbish up to 50m</t>
        </is>
      </c>
      <c r="W225" t="inlineStr">
        <is>
          <t>Disposal outside area</t>
        </is>
      </c>
      <c r="X225" t="inlineStr">
        <is>
          <t>None</t>
        </is>
      </c>
      <c r="Y225" t="inlineStr">
        <is>
          <t>None</t>
        </is>
      </c>
    </row>
    <row r="226" ht="22" customHeight="1">
      <c r="A226" s="16" t="inlineStr">
        <is>
          <t>Site Clearance &amp; Tree Felling</t>
        </is>
      </c>
      <c r="B226" s="76" t="inlineStr">
        <is>
          <t>All kinds of soil</t>
        </is>
      </c>
      <c r="C226" s="76" t="inlineStr">
        <is>
          <t>Manual labor (depth ≤1.5m)</t>
        </is>
      </c>
      <c r="D226" s="76" t="inlineStr">
        <is>
          <t>Clearing grass &amp; removal of rubbish</t>
        </is>
      </c>
      <c r="E226" s="28" t="inlineStr">
        <is>
          <t>100 sqm</t>
        </is>
      </c>
      <c r="F226" s="32" t="inlineStr">
        <is>
          <t>Sundries &amp; Allowances</t>
        </is>
      </c>
      <c r="G226" s="21" t="inlineStr">
        <is>
          <t>9999</t>
        </is>
      </c>
      <c r="H226" s="76" t="inlineStr">
        <is>
          <t>Sundries</t>
        </is>
      </c>
      <c r="I226" s="86" t="n">
        <v>1.82</v>
      </c>
      <c r="J226" s="50" t="inlineStr">
        <is>
          <t>L.S.</t>
        </is>
      </c>
      <c r="K226" s="51" t="n">
        <v>2</v>
      </c>
      <c r="L226" s="84" t="n">
        <v>3.64</v>
      </c>
      <c r="M226" s="52" t="n">
        <v>0.8</v>
      </c>
      <c r="N226" s="32" t="inlineStr"/>
      <c r="O226" s="39" t="inlineStr"/>
      <c r="P226" t="inlineStr">
        <is>
          <t>Site Clearance &amp; Tree Felling|All kinds of soil|Manual labor (depth ≤1.5m)|Clearing grass &amp; removal of rubbish|3</t>
        </is>
      </c>
      <c r="Q226" t="n">
        <v>3</v>
      </c>
      <c r="R226" t="n">
        <v>100</v>
      </c>
      <c r="S226" t="inlineStr">
        <is>
          <t>sqm</t>
        </is>
      </c>
      <c r="T226" t="n">
        <v>6.4</v>
      </c>
      <c r="U226" t="inlineStr">
        <is>
          <t>Grass sickle &amp; scraper</t>
        </is>
      </c>
      <c r="V226" t="inlineStr">
        <is>
          <t>Disposal rubbish up to 50m</t>
        </is>
      </c>
      <c r="W226" t="inlineStr">
        <is>
          <t>Disposal outside area</t>
        </is>
      </c>
      <c r="X226" t="inlineStr">
        <is>
          <t>None</t>
        </is>
      </c>
      <c r="Y226" t="inlineStr">
        <is>
          <t>None</t>
        </is>
      </c>
    </row>
    <row r="227" ht="22" customHeight="1">
      <c r="A227" s="16" t="inlineStr">
        <is>
          <t>Site Clearance &amp; Tree Felling</t>
        </is>
      </c>
      <c r="B227" s="76" t="inlineStr">
        <is>
          <t>All kinds of soil</t>
        </is>
      </c>
      <c r="C227" s="76" t="inlineStr">
        <is>
          <t>Manual labor (depth ≤1.5m)</t>
        </is>
      </c>
      <c r="D227" s="76" t="inlineStr">
        <is>
          <t>Tree felling girth 30-60 cm girth (cutting &amp; grubbing roots)</t>
        </is>
      </c>
      <c r="E227" s="28" t="inlineStr">
        <is>
          <t>1 tree</t>
        </is>
      </c>
      <c r="F227" s="32" t="inlineStr">
        <is>
          <t>Labour (Semi-Skilled / Operational)</t>
        </is>
      </c>
      <c r="G227" s="21" t="inlineStr">
        <is>
          <t>0114</t>
        </is>
      </c>
      <c r="H227" s="76" t="inlineStr">
        <is>
          <t>Beldar</t>
        </is>
      </c>
      <c r="I227" s="86" t="n">
        <v>0.33</v>
      </c>
      <c r="J227" s="50" t="inlineStr">
        <is>
          <t>day</t>
        </is>
      </c>
      <c r="K227" s="51" t="n">
        <v>558</v>
      </c>
      <c r="L227" s="84" t="n">
        <v>184.14</v>
      </c>
      <c r="M227" s="52" t="n">
        <v>64.7</v>
      </c>
      <c r="N227" s="91" t="n">
        <v>3.03030303030303</v>
      </c>
      <c r="O227" s="39" t="inlineStr">
        <is>
          <t>Girth 30-60cm; avg 15cm dia</t>
        </is>
      </c>
      <c r="P227" t="inlineStr">
        <is>
          <t>Site Clearance &amp; Tree Felling|All kinds of soil|Manual labor (depth ≤1.5m)|Tree felling girth 30-60 cm girth (cutting &amp; grubbing roots)|1</t>
        </is>
      </c>
      <c r="Q227" t="n">
        <v>1</v>
      </c>
      <c r="R227" t="n">
        <v>1</v>
      </c>
      <c r="S227" t="inlineStr">
        <is>
          <t>tree</t>
        </is>
      </c>
      <c r="T227" t="n">
        <v>380.6</v>
      </c>
      <c r="U227" t="inlineStr">
        <is>
          <t>Two-man crosscut saw, axe, rope rigging</t>
        </is>
      </c>
      <c r="V227" t="inlineStr">
        <is>
          <t>Cutting trunks into 2.5m logs &amp; stacking</t>
        </is>
      </c>
      <c r="W227" t="inlineStr">
        <is>
          <t>Grubbing roots &amp; filling hollows</t>
        </is>
      </c>
      <c r="X227" t="inlineStr">
        <is>
          <t>None</t>
        </is>
      </c>
      <c r="Y227" t="inlineStr">
        <is>
          <t>Ramming hollows</t>
        </is>
      </c>
    </row>
    <row r="228" ht="22" customHeight="1">
      <c r="A228" s="16" t="inlineStr">
        <is>
          <t>Site Clearance &amp; Tree Felling</t>
        </is>
      </c>
      <c r="B228" s="76" t="inlineStr">
        <is>
          <t>All kinds of soil</t>
        </is>
      </c>
      <c r="C228" s="76" t="inlineStr">
        <is>
          <t>Manual labor (depth ≤1.5m)</t>
        </is>
      </c>
      <c r="D228" s="76" t="inlineStr">
        <is>
          <t>Tree felling girth 30-60 cm girth (cutting &amp; grubbing roots)</t>
        </is>
      </c>
      <c r="E228" s="28" t="inlineStr">
        <is>
          <t>1 tree</t>
        </is>
      </c>
      <c r="F228" s="32" t="inlineStr">
        <is>
          <t>Labour (Unskilled / Haulage)</t>
        </is>
      </c>
      <c r="G228" s="21" t="inlineStr">
        <is>
          <t>0115</t>
        </is>
      </c>
      <c r="H228" s="76" t="inlineStr">
        <is>
          <t>Coolie</t>
        </is>
      </c>
      <c r="I228" s="86" t="n">
        <v>0.17</v>
      </c>
      <c r="J228" s="50" t="inlineStr">
        <is>
          <t>day</t>
        </is>
      </c>
      <c r="K228" s="51" t="n">
        <v>558</v>
      </c>
      <c r="L228" s="84" t="n">
        <v>94.86</v>
      </c>
      <c r="M228" s="52" t="n">
        <v>33.3</v>
      </c>
      <c r="N228" s="91" t="n">
        <v>5.88235294117647</v>
      </c>
      <c r="O228" s="39" t="inlineStr"/>
      <c r="P228" t="inlineStr">
        <is>
          <t>Site Clearance &amp; Tree Felling|All kinds of soil|Manual labor (depth ≤1.5m)|Tree felling girth 30-60 cm girth (cutting &amp; grubbing roots)|2</t>
        </is>
      </c>
      <c r="Q228" t="n">
        <v>2</v>
      </c>
      <c r="R228" t="n">
        <v>1</v>
      </c>
      <c r="S228" t="inlineStr">
        <is>
          <t>tree</t>
        </is>
      </c>
      <c r="T228" t="n">
        <v>380.6</v>
      </c>
      <c r="U228" t="inlineStr">
        <is>
          <t>Two-man crosscut saw, axe, rope rigging</t>
        </is>
      </c>
      <c r="V228" t="inlineStr">
        <is>
          <t>Cutting trunks into 2.5m logs &amp; stacking</t>
        </is>
      </c>
      <c r="W228" t="inlineStr">
        <is>
          <t>Grubbing roots &amp; filling hollows</t>
        </is>
      </c>
      <c r="X228" t="inlineStr">
        <is>
          <t>None</t>
        </is>
      </c>
      <c r="Y228" t="inlineStr">
        <is>
          <t>Ramming hollows</t>
        </is>
      </c>
    </row>
    <row r="229" ht="22" customHeight="1">
      <c r="A229" s="16" t="inlineStr">
        <is>
          <t>Site Clearance &amp; Tree Felling</t>
        </is>
      </c>
      <c r="B229" s="76" t="inlineStr">
        <is>
          <t>All kinds of soil</t>
        </is>
      </c>
      <c r="C229" s="76" t="inlineStr">
        <is>
          <t>Manual labor (depth ≤1.5m)</t>
        </is>
      </c>
      <c r="D229" s="76" t="inlineStr">
        <is>
          <t>Tree felling girth 30-60 cm girth (cutting &amp; grubbing roots)</t>
        </is>
      </c>
      <c r="E229" s="28" t="inlineStr">
        <is>
          <t>1 tree</t>
        </is>
      </c>
      <c r="F229" s="32" t="inlineStr">
        <is>
          <t>Sundries &amp; Allowances</t>
        </is>
      </c>
      <c r="G229" s="21" t="inlineStr">
        <is>
          <t>9999</t>
        </is>
      </c>
      <c r="H229" s="76" t="inlineStr">
        <is>
          <t>Sundries</t>
        </is>
      </c>
      <c r="I229" s="86" t="n">
        <v>2.73</v>
      </c>
      <c r="J229" s="50" t="inlineStr">
        <is>
          <t>L.S.</t>
        </is>
      </c>
      <c r="K229" s="51" t="n">
        <v>2</v>
      </c>
      <c r="L229" s="84" t="n">
        <v>5.46</v>
      </c>
      <c r="M229" s="52" t="n">
        <v>1.9</v>
      </c>
      <c r="N229" s="32" t="inlineStr"/>
      <c r="O229" s="39" t="inlineStr"/>
      <c r="P229" t="inlineStr">
        <is>
          <t>Site Clearance &amp; Tree Felling|All kinds of soil|Manual labor (depth ≤1.5m)|Tree felling girth 30-60 cm girth (cutting &amp; grubbing roots)|3</t>
        </is>
      </c>
      <c r="Q229" t="n">
        <v>3</v>
      </c>
      <c r="R229" t="n">
        <v>1</v>
      </c>
      <c r="S229" t="inlineStr">
        <is>
          <t>tree</t>
        </is>
      </c>
      <c r="T229" t="n">
        <v>380.6</v>
      </c>
      <c r="U229" t="inlineStr">
        <is>
          <t>Two-man crosscut saw, axe, rope rigging</t>
        </is>
      </c>
      <c r="V229" t="inlineStr">
        <is>
          <t>Cutting trunks into 2.5m logs &amp; stacking</t>
        </is>
      </c>
      <c r="W229" t="inlineStr">
        <is>
          <t>Grubbing roots &amp; filling hollows</t>
        </is>
      </c>
      <c r="X229" t="inlineStr">
        <is>
          <t>None</t>
        </is>
      </c>
      <c r="Y229" t="inlineStr">
        <is>
          <t>Ramming hollows</t>
        </is>
      </c>
    </row>
    <row r="230" ht="22" customHeight="1">
      <c r="A230" s="16" t="inlineStr">
        <is>
          <t>Site Clearance &amp; Tree Felling</t>
        </is>
      </c>
      <c r="B230" s="76" t="inlineStr">
        <is>
          <t>All kinds of soil</t>
        </is>
      </c>
      <c r="C230" s="76" t="inlineStr">
        <is>
          <t>Manual labor (depth ≤1.5m)</t>
        </is>
      </c>
      <c r="D230" s="76" t="inlineStr">
        <is>
          <t>Tree felling girth 60-120 cm girth (cutting &amp; grubbing roots)</t>
        </is>
      </c>
      <c r="E230" s="28" t="inlineStr">
        <is>
          <t>1 tree</t>
        </is>
      </c>
      <c r="F230" s="32" t="inlineStr">
        <is>
          <t>Labour (Semi-Skilled / Operational)</t>
        </is>
      </c>
      <c r="G230" s="21" t="inlineStr">
        <is>
          <t>0114</t>
        </is>
      </c>
      <c r="H230" s="76" t="inlineStr">
        <is>
          <t>Beldar</t>
        </is>
      </c>
      <c r="I230" s="86" t="n">
        <v>1.5</v>
      </c>
      <c r="J230" s="50" t="inlineStr">
        <is>
          <t>day</t>
        </is>
      </c>
      <c r="K230" s="51" t="n">
        <v>558</v>
      </c>
      <c r="L230" s="84" t="n">
        <v>837</v>
      </c>
      <c r="M230" s="52" t="n">
        <v>66.09999999999999</v>
      </c>
      <c r="N230" s="91" t="n">
        <v>0.6666666666666666</v>
      </c>
      <c r="O230" s="39" t="inlineStr">
        <is>
          <t>Girth 60-120cm</t>
        </is>
      </c>
      <c r="P230" t="inlineStr">
        <is>
          <t>Site Clearance &amp; Tree Felling|All kinds of soil|Manual labor (depth ≤1.5m)|Tree felling girth 60-120 cm girth (cutting &amp; grubbing roots)|1</t>
        </is>
      </c>
      <c r="Q230" t="n">
        <v>1</v>
      </c>
      <c r="R230" t="n">
        <v>1</v>
      </c>
      <c r="S230" t="inlineStr">
        <is>
          <t>tree</t>
        </is>
      </c>
      <c r="T230" t="n">
        <v>1694.4</v>
      </c>
      <c r="U230" t="inlineStr">
        <is>
          <t>Two-man crosscut saw, axe, rope rigging</t>
        </is>
      </c>
      <c r="V230" t="inlineStr">
        <is>
          <t>Cutting trunks into 2.5m logs &amp; stacking</t>
        </is>
      </c>
      <c r="W230" t="inlineStr">
        <is>
          <t>Grubbing roots &amp; filling hollows</t>
        </is>
      </c>
      <c r="X230" t="inlineStr">
        <is>
          <t>None</t>
        </is>
      </c>
      <c r="Y230" t="inlineStr">
        <is>
          <t>Ramming hollows</t>
        </is>
      </c>
    </row>
    <row r="231" ht="22" customHeight="1">
      <c r="A231" s="16" t="inlineStr">
        <is>
          <t>Site Clearance &amp; Tree Felling</t>
        </is>
      </c>
      <c r="B231" s="76" t="inlineStr">
        <is>
          <t>All kinds of soil</t>
        </is>
      </c>
      <c r="C231" s="76" t="inlineStr">
        <is>
          <t>Manual labor (depth ≤1.5m)</t>
        </is>
      </c>
      <c r="D231" s="76" t="inlineStr">
        <is>
          <t>Tree felling girth 60-120 cm girth (cutting &amp; grubbing roots)</t>
        </is>
      </c>
      <c r="E231" s="28" t="inlineStr">
        <is>
          <t>1 tree</t>
        </is>
      </c>
      <c r="F231" s="32" t="inlineStr">
        <is>
          <t>Labour (Unskilled / Haulage)</t>
        </is>
      </c>
      <c r="G231" s="21" t="inlineStr">
        <is>
          <t>0115</t>
        </is>
      </c>
      <c r="H231" s="76" t="inlineStr">
        <is>
          <t>Coolie</t>
        </is>
      </c>
      <c r="I231" s="86" t="n">
        <v>0.75</v>
      </c>
      <c r="J231" s="50" t="inlineStr">
        <is>
          <t>day</t>
        </is>
      </c>
      <c r="K231" s="51" t="n">
        <v>558</v>
      </c>
      <c r="L231" s="84" t="n">
        <v>418.5</v>
      </c>
      <c r="M231" s="52" t="n">
        <v>33</v>
      </c>
      <c r="N231" s="91" t="n">
        <v>1.333333333333333</v>
      </c>
      <c r="O231" s="39" t="inlineStr"/>
      <c r="P231" t="inlineStr">
        <is>
          <t>Site Clearance &amp; Tree Felling|All kinds of soil|Manual labor (depth ≤1.5m)|Tree felling girth 60-120 cm girth (cutting &amp; grubbing roots)|2</t>
        </is>
      </c>
      <c r="Q231" t="n">
        <v>2</v>
      </c>
      <c r="R231" t="n">
        <v>1</v>
      </c>
      <c r="S231" t="inlineStr">
        <is>
          <t>tree</t>
        </is>
      </c>
      <c r="T231" t="n">
        <v>1694.4</v>
      </c>
      <c r="U231" t="inlineStr">
        <is>
          <t>Two-man crosscut saw, axe, rope rigging</t>
        </is>
      </c>
      <c r="V231" t="inlineStr">
        <is>
          <t>Cutting trunks into 2.5m logs &amp; stacking</t>
        </is>
      </c>
      <c r="W231" t="inlineStr">
        <is>
          <t>Grubbing roots &amp; filling hollows</t>
        </is>
      </c>
      <c r="X231" t="inlineStr">
        <is>
          <t>None</t>
        </is>
      </c>
      <c r="Y231" t="inlineStr">
        <is>
          <t>Ramming hollows</t>
        </is>
      </c>
    </row>
    <row r="232" ht="22" customHeight="1">
      <c r="A232" s="16" t="inlineStr">
        <is>
          <t>Site Clearance &amp; Tree Felling</t>
        </is>
      </c>
      <c r="B232" s="76" t="inlineStr">
        <is>
          <t>All kinds of soil</t>
        </is>
      </c>
      <c r="C232" s="76" t="inlineStr">
        <is>
          <t>Manual labor (depth ≤1.5m)</t>
        </is>
      </c>
      <c r="D232" s="76" t="inlineStr">
        <is>
          <t>Tree felling girth 60-120 cm girth (cutting &amp; grubbing roots)</t>
        </is>
      </c>
      <c r="E232" s="28" t="inlineStr">
        <is>
          <t>1 tree</t>
        </is>
      </c>
      <c r="F232" s="32" t="inlineStr">
        <is>
          <t>Sundries &amp; Allowances</t>
        </is>
      </c>
      <c r="G232" s="21" t="inlineStr">
        <is>
          <t>9999</t>
        </is>
      </c>
      <c r="H232" s="76" t="inlineStr">
        <is>
          <t>Sundries</t>
        </is>
      </c>
      <c r="I232" s="86" t="n">
        <v>5.46</v>
      </c>
      <c r="J232" s="50" t="inlineStr">
        <is>
          <t>L.S.</t>
        </is>
      </c>
      <c r="K232" s="51" t="n">
        <v>2</v>
      </c>
      <c r="L232" s="84" t="n">
        <v>10.92</v>
      </c>
      <c r="M232" s="52" t="n">
        <v>0.9</v>
      </c>
      <c r="N232" s="32" t="inlineStr"/>
      <c r="O232" s="39" t="inlineStr"/>
      <c r="P232" t="inlineStr">
        <is>
          <t>Site Clearance &amp; Tree Felling|All kinds of soil|Manual labor (depth ≤1.5m)|Tree felling girth 60-120 cm girth (cutting &amp; grubbing roots)|3</t>
        </is>
      </c>
      <c r="Q232" t="n">
        <v>3</v>
      </c>
      <c r="R232" t="n">
        <v>1</v>
      </c>
      <c r="S232" t="inlineStr">
        <is>
          <t>tree</t>
        </is>
      </c>
      <c r="T232" t="n">
        <v>1694.4</v>
      </c>
      <c r="U232" t="inlineStr">
        <is>
          <t>Two-man crosscut saw, axe, rope rigging</t>
        </is>
      </c>
      <c r="V232" t="inlineStr">
        <is>
          <t>Cutting trunks into 2.5m logs &amp; stacking</t>
        </is>
      </c>
      <c r="W232" t="inlineStr">
        <is>
          <t>Grubbing roots &amp; filling hollows</t>
        </is>
      </c>
      <c r="X232" t="inlineStr">
        <is>
          <t>None</t>
        </is>
      </c>
      <c r="Y232" t="inlineStr">
        <is>
          <t>Ramming hollows</t>
        </is>
      </c>
    </row>
    <row r="233" ht="22" customHeight="1">
      <c r="A233" s="16" t="inlineStr">
        <is>
          <t>Site Clearance &amp; Tree Felling</t>
        </is>
      </c>
      <c r="B233" s="76" t="inlineStr">
        <is>
          <t>All kinds of soil</t>
        </is>
      </c>
      <c r="C233" s="76" t="inlineStr">
        <is>
          <t>Manual labor (depth ≤1.5m)</t>
        </is>
      </c>
      <c r="D233" s="76" t="inlineStr">
        <is>
          <t>Tree felling girth 120-240 cm girth (cutting &amp; grubbing roots)</t>
        </is>
      </c>
      <c r="E233" s="28" t="inlineStr">
        <is>
          <t>1 tree</t>
        </is>
      </c>
      <c r="F233" s="32" t="inlineStr">
        <is>
          <t>Labour (Semi-Skilled / Operational)</t>
        </is>
      </c>
      <c r="G233" s="21" t="inlineStr">
        <is>
          <t>0114</t>
        </is>
      </c>
      <c r="H233" s="76" t="inlineStr">
        <is>
          <t>Beldar</t>
        </is>
      </c>
      <c r="I233" s="86" t="n">
        <v>7</v>
      </c>
      <c r="J233" s="50" t="inlineStr">
        <is>
          <t>day</t>
        </is>
      </c>
      <c r="K233" s="51" t="n">
        <v>558</v>
      </c>
      <c r="L233" s="84" t="n">
        <v>3906</v>
      </c>
      <c r="M233" s="52" t="n">
        <v>66.5</v>
      </c>
      <c r="N233" s="91" t="n">
        <v>0.1428571428571428</v>
      </c>
      <c r="O233" s="39" t="inlineStr">
        <is>
          <t>Girth 120-240cm</t>
        </is>
      </c>
      <c r="P233" t="inlineStr">
        <is>
          <t>Site Clearance &amp; Tree Felling|All kinds of soil|Manual labor (depth ≤1.5m)|Tree felling girth 120-240 cm girth (cutting &amp; grubbing roots)|1</t>
        </is>
      </c>
      <c r="Q233" t="n">
        <v>1</v>
      </c>
      <c r="R233" t="n">
        <v>1</v>
      </c>
      <c r="S233" t="inlineStr">
        <is>
          <t>tree</t>
        </is>
      </c>
      <c r="T233" t="n">
        <v>7860.55</v>
      </c>
      <c r="U233" t="inlineStr">
        <is>
          <t>Two-man crosscut saw, axe, rope rigging</t>
        </is>
      </c>
      <c r="V233" t="inlineStr">
        <is>
          <t>Cutting trunks into 2.5m logs &amp; stacking</t>
        </is>
      </c>
      <c r="W233" t="inlineStr">
        <is>
          <t>Grubbing roots &amp; filling hollows</t>
        </is>
      </c>
      <c r="X233" t="inlineStr">
        <is>
          <t>None</t>
        </is>
      </c>
      <c r="Y233" t="inlineStr">
        <is>
          <t>Ramming hollows</t>
        </is>
      </c>
    </row>
    <row r="234" ht="22" customHeight="1">
      <c r="A234" s="16" t="inlineStr">
        <is>
          <t>Site Clearance &amp; Tree Felling</t>
        </is>
      </c>
      <c r="B234" s="76" t="inlineStr">
        <is>
          <t>All kinds of soil</t>
        </is>
      </c>
      <c r="C234" s="76" t="inlineStr">
        <is>
          <t>Manual labor (depth ≤1.5m)</t>
        </is>
      </c>
      <c r="D234" s="76" t="inlineStr">
        <is>
          <t>Tree felling girth 120-240 cm girth (cutting &amp; grubbing roots)</t>
        </is>
      </c>
      <c r="E234" s="28" t="inlineStr">
        <is>
          <t>1 tree</t>
        </is>
      </c>
      <c r="F234" s="32" t="inlineStr">
        <is>
          <t>Labour (Unskilled / Haulage)</t>
        </is>
      </c>
      <c r="G234" s="21" t="inlineStr">
        <is>
          <t>0115</t>
        </is>
      </c>
      <c r="H234" s="76" t="inlineStr">
        <is>
          <t>Coolie</t>
        </is>
      </c>
      <c r="I234" s="86" t="n">
        <v>3.5</v>
      </c>
      <c r="J234" s="50" t="inlineStr">
        <is>
          <t>day</t>
        </is>
      </c>
      <c r="K234" s="51" t="n">
        <v>558</v>
      </c>
      <c r="L234" s="84" t="n">
        <v>1953</v>
      </c>
      <c r="M234" s="52" t="n">
        <v>33.2</v>
      </c>
      <c r="N234" s="91" t="n">
        <v>0.2857142857142857</v>
      </c>
      <c r="O234" s="39" t="inlineStr"/>
      <c r="P234" t="inlineStr">
        <is>
          <t>Site Clearance &amp; Tree Felling|All kinds of soil|Manual labor (depth ≤1.5m)|Tree felling girth 120-240 cm girth (cutting &amp; grubbing roots)|2</t>
        </is>
      </c>
      <c r="Q234" t="n">
        <v>2</v>
      </c>
      <c r="R234" t="n">
        <v>1</v>
      </c>
      <c r="S234" t="inlineStr">
        <is>
          <t>tree</t>
        </is>
      </c>
      <c r="T234" t="n">
        <v>7860.55</v>
      </c>
      <c r="U234" t="inlineStr">
        <is>
          <t>Two-man crosscut saw, axe, rope rigging</t>
        </is>
      </c>
      <c r="V234" t="inlineStr">
        <is>
          <t>Cutting trunks into 2.5m logs &amp; stacking</t>
        </is>
      </c>
      <c r="W234" t="inlineStr">
        <is>
          <t>Grubbing roots &amp; filling hollows</t>
        </is>
      </c>
      <c r="X234" t="inlineStr">
        <is>
          <t>None</t>
        </is>
      </c>
      <c r="Y234" t="inlineStr">
        <is>
          <t>Ramming hollows</t>
        </is>
      </c>
    </row>
    <row r="235" ht="22" customHeight="1">
      <c r="A235" s="16" t="inlineStr">
        <is>
          <t>Site Clearance &amp; Tree Felling</t>
        </is>
      </c>
      <c r="B235" s="76" t="inlineStr">
        <is>
          <t>All kinds of soil</t>
        </is>
      </c>
      <c r="C235" s="76" t="inlineStr">
        <is>
          <t>Manual labor (depth ≤1.5m)</t>
        </is>
      </c>
      <c r="D235" s="76" t="inlineStr">
        <is>
          <t>Tree felling girth 120-240 cm girth (cutting &amp; grubbing roots)</t>
        </is>
      </c>
      <c r="E235" s="28" t="inlineStr">
        <is>
          <t>1 tree</t>
        </is>
      </c>
      <c r="F235" s="32" t="inlineStr">
        <is>
          <t>Sundries &amp; Allowances</t>
        </is>
      </c>
      <c r="G235" s="21" t="inlineStr">
        <is>
          <t>9999</t>
        </is>
      </c>
      <c r="H235" s="76" t="inlineStr">
        <is>
          <t>Sundries</t>
        </is>
      </c>
      <c r="I235" s="86" t="n">
        <v>8.06</v>
      </c>
      <c r="J235" s="50" t="inlineStr">
        <is>
          <t>L.S.</t>
        </is>
      </c>
      <c r="K235" s="51" t="n">
        <v>2</v>
      </c>
      <c r="L235" s="84" t="n">
        <v>16.12</v>
      </c>
      <c r="M235" s="52" t="n">
        <v>0.3</v>
      </c>
      <c r="N235" s="32" t="inlineStr"/>
      <c r="O235" s="39" t="inlineStr"/>
      <c r="P235" t="inlineStr">
        <is>
          <t>Site Clearance &amp; Tree Felling|All kinds of soil|Manual labor (depth ≤1.5m)|Tree felling girth 120-240 cm girth (cutting &amp; grubbing roots)|3</t>
        </is>
      </c>
      <c r="Q235" t="n">
        <v>3</v>
      </c>
      <c r="R235" t="n">
        <v>1</v>
      </c>
      <c r="S235" t="inlineStr">
        <is>
          <t>tree</t>
        </is>
      </c>
      <c r="T235" t="n">
        <v>7860.55</v>
      </c>
      <c r="U235" t="inlineStr">
        <is>
          <t>Two-man crosscut saw, axe, rope rigging</t>
        </is>
      </c>
      <c r="V235" t="inlineStr">
        <is>
          <t>Cutting trunks into 2.5m logs &amp; stacking</t>
        </is>
      </c>
      <c r="W235" t="inlineStr">
        <is>
          <t>Grubbing roots &amp; filling hollows</t>
        </is>
      </c>
      <c r="X235" t="inlineStr">
        <is>
          <t>None</t>
        </is>
      </c>
      <c r="Y235" t="inlineStr">
        <is>
          <t>Ramming hollows</t>
        </is>
      </c>
    </row>
    <row r="236" ht="22" customHeight="1">
      <c r="A236" s="16" t="inlineStr">
        <is>
          <t>Site Clearance &amp; Tree Felling</t>
        </is>
      </c>
      <c r="B236" s="76" t="inlineStr">
        <is>
          <t>All kinds of soil</t>
        </is>
      </c>
      <c r="C236" s="76" t="inlineStr">
        <is>
          <t>Manual labor (depth ≤1.5m)</t>
        </is>
      </c>
      <c r="D236" s="76" t="inlineStr">
        <is>
          <t>Tree felling girth above 240 cm girth (cutting &amp; grubbing roots)</t>
        </is>
      </c>
      <c r="E236" s="28" t="inlineStr">
        <is>
          <t>1 tree</t>
        </is>
      </c>
      <c r="F236" s="32" t="inlineStr">
        <is>
          <t>Labour (Semi-Skilled / Operational)</t>
        </is>
      </c>
      <c r="G236" s="21" t="inlineStr">
        <is>
          <t>0114</t>
        </is>
      </c>
      <c r="H236" s="76" t="inlineStr">
        <is>
          <t>Beldar</t>
        </is>
      </c>
      <c r="I236" s="86" t="n">
        <v>14</v>
      </c>
      <c r="J236" s="50" t="inlineStr">
        <is>
          <t>day</t>
        </is>
      </c>
      <c r="K236" s="51" t="n">
        <v>558</v>
      </c>
      <c r="L236" s="84" t="n">
        <v>7812</v>
      </c>
      <c r="M236" s="52" t="n">
        <v>66.40000000000001</v>
      </c>
      <c r="N236" s="91" t="n">
        <v>0.07142857142857142</v>
      </c>
      <c r="O236" s="39" t="inlineStr">
        <is>
          <t>Girth &gt;240cm</t>
        </is>
      </c>
      <c r="P236" t="inlineStr">
        <is>
          <t>Site Clearance &amp; Tree Felling|All kinds of soil|Manual labor (depth ≤1.5m)|Tree felling girth above 240 cm girth (cutting &amp; grubbing roots)|1</t>
        </is>
      </c>
      <c r="Q236" t="n">
        <v>1</v>
      </c>
      <c r="R236" t="n">
        <v>1</v>
      </c>
      <c r="S236" t="inlineStr">
        <is>
          <t>tree</t>
        </is>
      </c>
      <c r="T236" t="n">
        <v>15749.95</v>
      </c>
      <c r="U236" t="inlineStr">
        <is>
          <t>Two-man crosscut saw, axe, rope rigging</t>
        </is>
      </c>
      <c r="V236" t="inlineStr">
        <is>
          <t>Cutting trunks into 2.5m logs &amp; stacking</t>
        </is>
      </c>
      <c r="W236" t="inlineStr">
        <is>
          <t>Grubbing roots &amp; filling hollows</t>
        </is>
      </c>
      <c r="X236" t="inlineStr">
        <is>
          <t>None</t>
        </is>
      </c>
      <c r="Y236" t="inlineStr">
        <is>
          <t>Ramming hollows</t>
        </is>
      </c>
    </row>
    <row r="237" ht="22" customHeight="1">
      <c r="A237" s="16" t="inlineStr">
        <is>
          <t>Site Clearance &amp; Tree Felling</t>
        </is>
      </c>
      <c r="B237" s="76" t="inlineStr">
        <is>
          <t>All kinds of soil</t>
        </is>
      </c>
      <c r="C237" s="76" t="inlineStr">
        <is>
          <t>Manual labor (depth ≤1.5m)</t>
        </is>
      </c>
      <c r="D237" s="76" t="inlineStr">
        <is>
          <t>Tree felling girth above 240 cm girth (cutting &amp; grubbing roots)</t>
        </is>
      </c>
      <c r="E237" s="28" t="inlineStr">
        <is>
          <t>1 tree</t>
        </is>
      </c>
      <c r="F237" s="32" t="inlineStr">
        <is>
          <t>Labour (Unskilled / Haulage)</t>
        </is>
      </c>
      <c r="G237" s="21" t="inlineStr">
        <is>
          <t>0115</t>
        </is>
      </c>
      <c r="H237" s="76" t="inlineStr">
        <is>
          <t>Coolie</t>
        </is>
      </c>
      <c r="I237" s="86" t="n">
        <v>7</v>
      </c>
      <c r="J237" s="50" t="inlineStr">
        <is>
          <t>day</t>
        </is>
      </c>
      <c r="K237" s="51" t="n">
        <v>558</v>
      </c>
      <c r="L237" s="84" t="n">
        <v>3906</v>
      </c>
      <c r="M237" s="52" t="n">
        <v>33.2</v>
      </c>
      <c r="N237" s="91" t="n">
        <v>0.1428571428571428</v>
      </c>
      <c r="O237" s="39" t="inlineStr"/>
      <c r="P237" t="inlineStr">
        <is>
          <t>Site Clearance &amp; Tree Felling|All kinds of soil|Manual labor (depth ≤1.5m)|Tree felling girth above 240 cm girth (cutting &amp; grubbing roots)|2</t>
        </is>
      </c>
      <c r="Q237" t="n">
        <v>2</v>
      </c>
      <c r="R237" t="n">
        <v>1</v>
      </c>
      <c r="S237" t="inlineStr">
        <is>
          <t>tree</t>
        </is>
      </c>
      <c r="T237" t="n">
        <v>15749.95</v>
      </c>
      <c r="U237" t="inlineStr">
        <is>
          <t>Two-man crosscut saw, axe, rope rigging</t>
        </is>
      </c>
      <c r="V237" t="inlineStr">
        <is>
          <t>Cutting trunks into 2.5m logs &amp; stacking</t>
        </is>
      </c>
      <c r="W237" t="inlineStr">
        <is>
          <t>Grubbing roots &amp; filling hollows</t>
        </is>
      </c>
      <c r="X237" t="inlineStr">
        <is>
          <t>None</t>
        </is>
      </c>
      <c r="Y237" t="inlineStr">
        <is>
          <t>Ramming hollows</t>
        </is>
      </c>
    </row>
    <row r="238" ht="22" customHeight="1">
      <c r="A238" s="16" t="inlineStr">
        <is>
          <t>Site Clearance &amp; Tree Felling</t>
        </is>
      </c>
      <c r="B238" s="76" t="inlineStr">
        <is>
          <t>All kinds of soil</t>
        </is>
      </c>
      <c r="C238" s="76" t="inlineStr">
        <is>
          <t>Manual labor (depth ≤1.5m)</t>
        </is>
      </c>
      <c r="D238" s="76" t="inlineStr">
        <is>
          <t>Tree felling girth above 240 cm girth (cutting &amp; grubbing roots)</t>
        </is>
      </c>
      <c r="E238" s="28" t="inlineStr">
        <is>
          <t>1 tree</t>
        </is>
      </c>
      <c r="F238" s="32" t="inlineStr">
        <is>
          <t>Sundries &amp; Allowances</t>
        </is>
      </c>
      <c r="G238" s="21" t="inlineStr">
        <is>
          <t>9999</t>
        </is>
      </c>
      <c r="H238" s="76" t="inlineStr">
        <is>
          <t>Sundries</t>
        </is>
      </c>
      <c r="I238" s="86" t="n">
        <v>26.91</v>
      </c>
      <c r="J238" s="50" t="inlineStr">
        <is>
          <t>L.S.</t>
        </is>
      </c>
      <c r="K238" s="51" t="n">
        <v>2</v>
      </c>
      <c r="L238" s="84" t="n">
        <v>53.82</v>
      </c>
      <c r="M238" s="52" t="n">
        <v>0.5</v>
      </c>
      <c r="N238" s="32" t="inlineStr"/>
      <c r="O238" s="39" t="inlineStr"/>
      <c r="P238" t="inlineStr">
        <is>
          <t>Site Clearance &amp; Tree Felling|All kinds of soil|Manual labor (depth ≤1.5m)|Tree felling girth above 240 cm girth (cutting &amp; grubbing roots)|3</t>
        </is>
      </c>
      <c r="Q238" t="n">
        <v>3</v>
      </c>
      <c r="R238" t="n">
        <v>1</v>
      </c>
      <c r="S238" t="inlineStr">
        <is>
          <t>tree</t>
        </is>
      </c>
      <c r="T238" t="n">
        <v>15749.95</v>
      </c>
      <c r="U238" t="inlineStr">
        <is>
          <t>Two-man crosscut saw, axe, rope rigging</t>
        </is>
      </c>
      <c r="V238" t="inlineStr">
        <is>
          <t>Cutting trunks into 2.5m logs &amp; stacking</t>
        </is>
      </c>
      <c r="W238" t="inlineStr">
        <is>
          <t>Grubbing roots &amp; filling hollows</t>
        </is>
      </c>
      <c r="X238" t="inlineStr">
        <is>
          <t>None</t>
        </is>
      </c>
      <c r="Y238" t="inlineStr">
        <is>
          <t>Ramming hollows</t>
        </is>
      </c>
    </row>
    <row r="239" ht="22" customHeight="1">
      <c r="A239" s="16" t="inlineStr">
        <is>
          <t>Chemical Anti-Termite Treatment</t>
        </is>
      </c>
      <c r="B239" s="76" t="inlineStr">
        <is>
          <t>All kinds of soil</t>
        </is>
      </c>
      <c r="C239" s="76" t="inlineStr">
        <is>
          <t>Manual labor (depth ≤1.5m)</t>
        </is>
      </c>
      <c r="D239" s="76" t="inlineStr">
        <is>
          <t>Supply chemical emulsion (Chlorpyrifos 20% EC)</t>
        </is>
      </c>
      <c r="E239" s="28" t="inlineStr">
        <is>
          <t>100 litre</t>
        </is>
      </c>
      <c r="F239" s="32" t="inlineStr">
        <is>
          <t>Material &amp; Consumables</t>
        </is>
      </c>
      <c r="G239" s="21" t="inlineStr">
        <is>
          <t>7022</t>
        </is>
      </c>
      <c r="H239" s="76" t="inlineStr">
        <is>
          <t>Chlorpyriphos 20% E.C. emulsion</t>
        </is>
      </c>
      <c r="I239" s="86" t="n">
        <v>100</v>
      </c>
      <c r="J239" s="50" t="inlineStr">
        <is>
          <t>litre</t>
        </is>
      </c>
      <c r="K239" s="51" t="n">
        <v>150</v>
      </c>
      <c r="L239" s="84" t="n">
        <v>15000</v>
      </c>
      <c r="M239" s="52" t="n">
        <v>99.90000000000001</v>
      </c>
      <c r="N239" s="32" t="inlineStr"/>
      <c r="O239" s="39" t="inlineStr"/>
      <c r="P239" t="inlineStr">
        <is>
          <t>Chemical Anti-Termite Treatment|All kinds of soil|Manual labor (depth ≤1.5m)|Supply chemical emulsion (Chlorpyrifos 20% EC)|1</t>
        </is>
      </c>
      <c r="Q239" t="n">
        <v>1</v>
      </c>
      <c r="R239" t="n">
        <v>100</v>
      </c>
      <c r="S239" t="inlineStr">
        <is>
          <t>litre</t>
        </is>
      </c>
      <c r="T239" t="n">
        <v>200.85</v>
      </c>
      <c r="U239" t="inlineStr">
        <is>
          <t>Material supply (100 Litres emulsion)</t>
        </is>
      </c>
      <c r="V239" t="inlineStr">
        <is>
          <t>Sealed drums site storage</t>
        </is>
      </c>
      <c r="W239" t="inlineStr">
        <is>
          <t>Chemical dilution preparation</t>
        </is>
      </c>
      <c r="X239" t="inlineStr">
        <is>
          <t>Water dilution</t>
        </is>
      </c>
      <c r="Y239" t="inlineStr">
        <is>
          <t>None</t>
        </is>
      </c>
    </row>
    <row r="240" ht="22" customHeight="1">
      <c r="A240" s="16" t="inlineStr">
        <is>
          <t>Chemical Anti-Termite Treatment</t>
        </is>
      </c>
      <c r="B240" s="76" t="inlineStr">
        <is>
          <t>All kinds of soil</t>
        </is>
      </c>
      <c r="C240" s="76" t="inlineStr">
        <is>
          <t>Manual labor (depth ≤1.5m)</t>
        </is>
      </c>
      <c r="D240" s="76" t="inlineStr">
        <is>
          <t>Supply chemical emulsion (Chlorpyrifos 20% EC)</t>
        </is>
      </c>
      <c r="E240" s="28" t="inlineStr">
        <is>
          <t>100 litre</t>
        </is>
      </c>
      <c r="F240" s="32" t="inlineStr">
        <is>
          <t>Material &amp; Consumables</t>
        </is>
      </c>
      <c r="G240" s="21" t="inlineStr">
        <is>
          <t>2342</t>
        </is>
      </c>
      <c r="H240" s="76" t="inlineStr">
        <is>
          <t>Carriage of chemical</t>
        </is>
      </c>
      <c r="I240" s="86" t="n">
        <v>1</v>
      </c>
      <c r="J240" s="50" t="inlineStr">
        <is>
          <t>quintal</t>
        </is>
      </c>
      <c r="K240" s="51" t="n">
        <v>10.38</v>
      </c>
      <c r="L240" s="84" t="n">
        <v>10.38</v>
      </c>
      <c r="M240" s="52" t="n">
        <v>0.1</v>
      </c>
      <c r="N240" s="32" t="inlineStr"/>
      <c r="O240" s="39" t="inlineStr"/>
      <c r="P240" t="inlineStr">
        <is>
          <t>Chemical Anti-Termite Treatment|All kinds of soil|Manual labor (depth ≤1.5m)|Supply chemical emulsion (Chlorpyrifos 20% EC)|2</t>
        </is>
      </c>
      <c r="Q240" t="n">
        <v>2</v>
      </c>
      <c r="R240" t="n">
        <v>100</v>
      </c>
      <c r="S240" t="inlineStr">
        <is>
          <t>litre</t>
        </is>
      </c>
      <c r="T240" t="n">
        <v>200.85</v>
      </c>
      <c r="U240" t="inlineStr">
        <is>
          <t>Material supply (100 Litres emulsion)</t>
        </is>
      </c>
      <c r="V240" t="inlineStr">
        <is>
          <t>Sealed drums site storage</t>
        </is>
      </c>
      <c r="W240" t="inlineStr">
        <is>
          <t>Chemical dilution preparation</t>
        </is>
      </c>
      <c r="X240" t="inlineStr">
        <is>
          <t>Water dilution</t>
        </is>
      </c>
      <c r="Y240" t="inlineStr">
        <is>
          <t>None</t>
        </is>
      </c>
    </row>
    <row r="241" ht="22" customHeight="1">
      <c r="A241" s="16" t="inlineStr">
        <is>
          <t>Chemical Anti-Termite Treatment</t>
        </is>
      </c>
      <c r="B241" s="76" t="inlineStr">
        <is>
          <t>All kinds of soil</t>
        </is>
      </c>
      <c r="C241" s="76" t="inlineStr">
        <is>
          <t>Manual labor (depth ≤1.5m)</t>
        </is>
      </c>
      <c r="D241" s="76" t="inlineStr">
        <is>
          <t>Treatment to bottom &amp; sides of foundation trenches</t>
        </is>
      </c>
      <c r="E241" s="28" t="inlineStr">
        <is>
          <t>10 m</t>
        </is>
      </c>
      <c r="F241" s="32" t="inlineStr">
        <is>
          <t>Labour (Semi-Skilled / Operational)</t>
        </is>
      </c>
      <c r="G241" s="21" t="inlineStr">
        <is>
          <t>0114</t>
        </is>
      </c>
      <c r="H241" s="76" t="inlineStr">
        <is>
          <t>Beldar (excavate channel, rod, spray, refill)</t>
        </is>
      </c>
      <c r="I241" s="86" t="n">
        <v>0.33</v>
      </c>
      <c r="J241" s="50" t="inlineStr">
        <is>
          <t>day</t>
        </is>
      </c>
      <c r="K241" s="51" t="n">
        <v>558</v>
      </c>
      <c r="L241" s="84" t="n">
        <v>184.14</v>
      </c>
      <c r="M241" s="52" t="n">
        <v>87.2</v>
      </c>
      <c r="N241" s="90" t="n">
        <v>30.3030303030303</v>
      </c>
      <c r="O241" s="39" t="inlineStr">
        <is>
          <t>Chemical supplied free</t>
        </is>
      </c>
      <c r="P241" t="inlineStr">
        <is>
          <t>Chemical Anti-Termite Treatment|All kinds of soil|Manual labor (depth ≤1.5m)|Treatment to bottom &amp; sides of foundation trenches|1</t>
        </is>
      </c>
      <c r="Q241" t="n">
        <v>1</v>
      </c>
      <c r="R241" t="n">
        <v>10</v>
      </c>
      <c r="S241" t="inlineStr">
        <is>
          <t>m</t>
        </is>
      </c>
      <c r="T241" t="n">
        <v>28.25</v>
      </c>
      <c r="U241" t="inlineStr">
        <is>
          <t>Chemical pressure pump &amp; spray lance</t>
        </is>
      </c>
      <c r="V241" t="inlineStr">
        <is>
          <t>Lance application 5 L/sqm</t>
        </is>
      </c>
      <c r="W241" t="inlineStr">
        <is>
          <t>Uniform ground saturation</t>
        </is>
      </c>
      <c r="X241" t="inlineStr">
        <is>
          <t>Chemical emulsion</t>
        </is>
      </c>
      <c r="Y241" t="inlineStr">
        <is>
          <t>None</t>
        </is>
      </c>
    </row>
    <row r="242" ht="22" customHeight="1">
      <c r="A242" s="16" t="inlineStr">
        <is>
          <t>Chemical Anti-Termite Treatment</t>
        </is>
      </c>
      <c r="B242" s="76" t="inlineStr">
        <is>
          <t>All kinds of soil</t>
        </is>
      </c>
      <c r="C242" s="76" t="inlineStr">
        <is>
          <t>Manual labor (depth ≤1.5m)</t>
        </is>
      </c>
      <c r="D242" s="76" t="inlineStr">
        <is>
          <t>Treatment to bottom &amp; sides of foundation trenches</t>
        </is>
      </c>
      <c r="E242" s="28" t="inlineStr">
        <is>
          <t>10 m</t>
        </is>
      </c>
      <c r="F242" s="32" t="inlineStr">
        <is>
          <t>Sundries &amp; Allowances</t>
        </is>
      </c>
      <c r="G242" s="21" t="inlineStr">
        <is>
          <t>9999</t>
        </is>
      </c>
      <c r="H242" s="76" t="inlineStr">
        <is>
          <t>Sundries – sprayer rent etc.</t>
        </is>
      </c>
      <c r="I242" s="86" t="n">
        <v>13.52</v>
      </c>
      <c r="J242" s="50" t="inlineStr">
        <is>
          <t>L.S.</t>
        </is>
      </c>
      <c r="K242" s="51" t="n">
        <v>2</v>
      </c>
      <c r="L242" s="84" t="n">
        <v>27.04</v>
      </c>
      <c r="M242" s="52" t="n">
        <v>12.8</v>
      </c>
      <c r="N242" s="32" t="inlineStr"/>
      <c r="O242" s="39" t="inlineStr"/>
      <c r="P242" t="inlineStr">
        <is>
          <t>Chemical Anti-Termite Treatment|All kinds of soil|Manual labor (depth ≤1.5m)|Treatment to bottom &amp; sides of foundation trenches|2</t>
        </is>
      </c>
      <c r="Q242" t="n">
        <v>2</v>
      </c>
      <c r="R242" t="n">
        <v>10</v>
      </c>
      <c r="S242" t="inlineStr">
        <is>
          <t>m</t>
        </is>
      </c>
      <c r="T242" t="n">
        <v>28.25</v>
      </c>
      <c r="U242" t="inlineStr">
        <is>
          <t>Chemical pressure pump &amp; spray lance</t>
        </is>
      </c>
      <c r="V242" t="inlineStr">
        <is>
          <t>Lance application 5 L/sqm</t>
        </is>
      </c>
      <c r="W242" t="inlineStr">
        <is>
          <t>Uniform ground saturation</t>
        </is>
      </c>
      <c r="X242" t="inlineStr">
        <is>
          <t>Chemical emulsion</t>
        </is>
      </c>
      <c r="Y242" t="inlineStr">
        <is>
          <t>None</t>
        </is>
      </c>
    </row>
    <row r="243" ht="22" customHeight="1">
      <c r="A243" s="16" t="inlineStr">
        <is>
          <t>Chemical Anti-Termite Treatment</t>
        </is>
      </c>
      <c r="B243" s="76" t="inlineStr">
        <is>
          <t>All kinds of soil</t>
        </is>
      </c>
      <c r="C243" s="76" t="inlineStr">
        <is>
          <t>Manual labor (depth ≤1.5m)</t>
        </is>
      </c>
      <c r="D243" s="76" t="inlineStr">
        <is>
          <t>Treatment to backfill earth in contact with walls</t>
        </is>
      </c>
      <c r="E243" s="28" t="inlineStr">
        <is>
          <t>10 m</t>
        </is>
      </c>
      <c r="F243" s="32" t="inlineStr">
        <is>
          <t>Labour (Semi-Skilled / Operational)</t>
        </is>
      </c>
      <c r="G243" s="21" t="inlineStr">
        <is>
          <t>0114</t>
        </is>
      </c>
      <c r="H243" s="76" t="inlineStr">
        <is>
          <t>Beldar (drill &amp; inject)</t>
        </is>
      </c>
      <c r="I243" s="86" t="n">
        <v>0.4</v>
      </c>
      <c r="J243" s="50" t="inlineStr">
        <is>
          <t>day</t>
        </is>
      </c>
      <c r="K243" s="51" t="n">
        <v>558</v>
      </c>
      <c r="L243" s="84" t="n">
        <v>223.2</v>
      </c>
      <c r="M243" s="52" t="n">
        <v>75.7</v>
      </c>
      <c r="N243" s="90" t="n">
        <v>25</v>
      </c>
      <c r="O243" s="39" t="inlineStr">
        <is>
          <t>Chemical supplied free</t>
        </is>
      </c>
      <c r="P243" t="inlineStr">
        <is>
          <t>Chemical Anti-Termite Treatment|All kinds of soil|Manual labor (depth ≤1.5m)|Treatment to backfill earth in contact with walls|1</t>
        </is>
      </c>
      <c r="Q243" t="n">
        <v>1</v>
      </c>
      <c r="R243" t="n">
        <v>10</v>
      </c>
      <c r="S243" t="inlineStr">
        <is>
          <t>m</t>
        </is>
      </c>
      <c r="T243" t="n">
        <v>39.45</v>
      </c>
      <c r="U243" t="inlineStr">
        <is>
          <t>Chemical pressure injection into backfill</t>
        </is>
      </c>
      <c r="V243" t="inlineStr">
        <is>
          <t>Lance rodding 7.5 L/sqm</t>
        </is>
      </c>
      <c r="W243" t="inlineStr">
        <is>
          <t>Contact zone injection</t>
        </is>
      </c>
      <c r="X243" t="inlineStr">
        <is>
          <t>Chemical emulsion</t>
        </is>
      </c>
      <c r="Y243" t="inlineStr">
        <is>
          <t>None</t>
        </is>
      </c>
    </row>
    <row r="244" ht="22" customHeight="1">
      <c r="A244" s="16" t="inlineStr">
        <is>
          <t>Chemical Anti-Termite Treatment</t>
        </is>
      </c>
      <c r="B244" s="76" t="inlineStr">
        <is>
          <t>All kinds of soil</t>
        </is>
      </c>
      <c r="C244" s="76" t="inlineStr">
        <is>
          <t>Manual labor (depth ≤1.5m)</t>
        </is>
      </c>
      <c r="D244" s="76" t="inlineStr">
        <is>
          <t>Treatment to backfill earth in contact with walls</t>
        </is>
      </c>
      <c r="E244" s="28" t="inlineStr">
        <is>
          <t>10 m</t>
        </is>
      </c>
      <c r="F244" s="32" t="inlineStr">
        <is>
          <t>Sundries &amp; Allowances</t>
        </is>
      </c>
      <c r="G244" s="21" t="inlineStr">
        <is>
          <t>9999</t>
        </is>
      </c>
      <c r="H244" s="76" t="inlineStr">
        <is>
          <t>Sundries – sprayer, mortar, making good holes</t>
        </is>
      </c>
      <c r="I244" s="86" t="n">
        <v>35.88</v>
      </c>
      <c r="J244" s="50" t="inlineStr">
        <is>
          <t>L.S.</t>
        </is>
      </c>
      <c r="K244" s="51" t="n">
        <v>2</v>
      </c>
      <c r="L244" s="84" t="n">
        <v>71.76000000000001</v>
      </c>
      <c r="M244" s="52" t="n">
        <v>24.3</v>
      </c>
      <c r="N244" s="32" t="inlineStr"/>
      <c r="O244" s="39" t="inlineStr"/>
      <c r="P244" t="inlineStr">
        <is>
          <t>Chemical Anti-Termite Treatment|All kinds of soil|Manual labor (depth ≤1.5m)|Treatment to backfill earth in contact with walls|2</t>
        </is>
      </c>
      <c r="Q244" t="n">
        <v>2</v>
      </c>
      <c r="R244" t="n">
        <v>10</v>
      </c>
      <c r="S244" t="inlineStr">
        <is>
          <t>m</t>
        </is>
      </c>
      <c r="T244" t="n">
        <v>39.45</v>
      </c>
      <c r="U244" t="inlineStr">
        <is>
          <t>Chemical pressure injection into backfill</t>
        </is>
      </c>
      <c r="V244" t="inlineStr">
        <is>
          <t>Lance rodding 7.5 L/sqm</t>
        </is>
      </c>
      <c r="W244" t="inlineStr">
        <is>
          <t>Contact zone injection</t>
        </is>
      </c>
      <c r="X244" t="inlineStr">
        <is>
          <t>Chemical emulsion</t>
        </is>
      </c>
      <c r="Y244" t="inlineStr">
        <is>
          <t>None</t>
        </is>
      </c>
    </row>
    <row r="245" ht="22" customHeight="1">
      <c r="A245" s="16" t="inlineStr">
        <is>
          <t>Chemical Anti-Termite Treatment</t>
        </is>
      </c>
      <c r="B245" s="76" t="inlineStr">
        <is>
          <t>All kinds of soil</t>
        </is>
      </c>
      <c r="C245" s="76" t="inlineStr">
        <is>
          <t>Manual labor (depth ≤1.5m)</t>
        </is>
      </c>
      <c r="D245" s="76" t="inlineStr">
        <is>
          <t>Treatment to subgrade under floors</t>
        </is>
      </c>
      <c r="E245" s="28" t="inlineStr">
        <is>
          <t>9 sqm</t>
        </is>
      </c>
      <c r="F245" s="32" t="inlineStr">
        <is>
          <t>Labour (Semi-Skilled / Operational)</t>
        </is>
      </c>
      <c r="G245" s="21" t="inlineStr">
        <is>
          <t>0114</t>
        </is>
      </c>
      <c r="H245" s="76" t="inlineStr">
        <is>
          <t>Beldar (drill &amp; spray)</t>
        </is>
      </c>
      <c r="I245" s="86" t="n">
        <v>2</v>
      </c>
      <c r="J245" s="50" t="inlineStr">
        <is>
          <t>day</t>
        </is>
      </c>
      <c r="K245" s="51" t="n">
        <v>558</v>
      </c>
      <c r="L245" s="84" t="n">
        <v>1116</v>
      </c>
      <c r="M245" s="52" t="n">
        <v>73.09999999999999</v>
      </c>
      <c r="N245" s="87" t="n">
        <v>4.5</v>
      </c>
      <c r="O245" s="39" t="inlineStr">
        <is>
          <t>9 sqm = 3x3m; 100 holes; chemical free</t>
        </is>
      </c>
      <c r="P245" t="inlineStr">
        <is>
          <t>Chemical Anti-Termite Treatment|All kinds of soil|Manual labor (depth ≤1.5m)|Treatment to subgrade under floors|1</t>
        </is>
      </c>
      <c r="Q245" t="n">
        <v>1</v>
      </c>
      <c r="R245" t="n">
        <v>9</v>
      </c>
      <c r="S245" t="inlineStr">
        <is>
          <t>sqm</t>
        </is>
      </c>
      <c r="T245" t="n">
        <v>227.05</v>
      </c>
      <c r="U245" t="inlineStr">
        <is>
          <t>Grid perforations &amp; pressure spraying</t>
        </is>
      </c>
      <c r="V245" t="inlineStr">
        <is>
          <t>Pressure spray 5 L/sqm</t>
        </is>
      </c>
      <c r="W245" t="inlineStr">
        <is>
          <t>Full plinth floor saturation</t>
        </is>
      </c>
      <c r="X245" t="inlineStr">
        <is>
          <t>Chemical emulsion</t>
        </is>
      </c>
      <c r="Y245" t="inlineStr">
        <is>
          <t>None</t>
        </is>
      </c>
    </row>
    <row r="246" ht="22" customHeight="1">
      <c r="A246" s="16" t="inlineStr">
        <is>
          <t>Chemical Anti-Termite Treatment</t>
        </is>
      </c>
      <c r="B246" s="76" t="inlineStr">
        <is>
          <t>All kinds of soil</t>
        </is>
      </c>
      <c r="C246" s="76" t="inlineStr">
        <is>
          <t>Manual labor (depth ≤1.5m)</t>
        </is>
      </c>
      <c r="D246" s="76" t="inlineStr">
        <is>
          <t>Treatment to subgrade under floors</t>
        </is>
      </c>
      <c r="E246" s="28" t="inlineStr">
        <is>
          <t>9 sqm</t>
        </is>
      </c>
      <c r="F246" s="32" t="inlineStr">
        <is>
          <t>Sundries &amp; Allowances</t>
        </is>
      </c>
      <c r="G246" s="21" t="inlineStr">
        <is>
          <t>0124</t>
        </is>
      </c>
      <c r="H246" s="76" t="inlineStr">
        <is>
          <t>Mason 2nd class (plug holes)</t>
        </is>
      </c>
      <c r="I246" s="86" t="n">
        <v>0.5</v>
      </c>
      <c r="J246" s="50" t="inlineStr">
        <is>
          <t>day</t>
        </is>
      </c>
      <c r="K246" s="51" t="n">
        <v>679</v>
      </c>
      <c r="L246" s="84" t="n">
        <v>339.5</v>
      </c>
      <c r="M246" s="52" t="n">
        <v>22.2</v>
      </c>
      <c r="N246" s="87" t="n">
        <v>18</v>
      </c>
      <c r="O246" s="39" t="inlineStr"/>
      <c r="P246" t="inlineStr">
        <is>
          <t>Chemical Anti-Termite Treatment|All kinds of soil|Manual labor (depth ≤1.5m)|Treatment to subgrade under floors|2</t>
        </is>
      </c>
      <c r="Q246" t="n">
        <v>2</v>
      </c>
      <c r="R246" t="n">
        <v>9</v>
      </c>
      <c r="S246" t="inlineStr">
        <is>
          <t>sqm</t>
        </is>
      </c>
      <c r="T246" t="n">
        <v>227.05</v>
      </c>
      <c r="U246" t="inlineStr">
        <is>
          <t>Grid perforations &amp; pressure spraying</t>
        </is>
      </c>
      <c r="V246" t="inlineStr">
        <is>
          <t>Pressure spray 5 L/sqm</t>
        </is>
      </c>
      <c r="W246" t="inlineStr">
        <is>
          <t>Full plinth floor saturation</t>
        </is>
      </c>
      <c r="X246" t="inlineStr">
        <is>
          <t>Chemical emulsion</t>
        </is>
      </c>
      <c r="Y246" t="inlineStr">
        <is>
          <t>None</t>
        </is>
      </c>
    </row>
    <row r="247" ht="22" customHeight="1">
      <c r="A247" s="16" t="inlineStr">
        <is>
          <t>Chemical Anti-Termite Treatment</t>
        </is>
      </c>
      <c r="B247" s="76" t="inlineStr">
        <is>
          <t>All kinds of soil</t>
        </is>
      </c>
      <c r="C247" s="76" t="inlineStr">
        <is>
          <t>Manual labor (depth ≤1.5m)</t>
        </is>
      </c>
      <c r="D247" s="76" t="inlineStr">
        <is>
          <t>Treatment to subgrade under floors</t>
        </is>
      </c>
      <c r="E247" s="28" t="inlineStr">
        <is>
          <t>9 sqm</t>
        </is>
      </c>
      <c r="F247" s="32" t="inlineStr">
        <is>
          <t>Sundries &amp; Allowances</t>
        </is>
      </c>
      <c r="G247" s="21" t="inlineStr">
        <is>
          <t>9999</t>
        </is>
      </c>
      <c r="H247" s="76" t="inlineStr">
        <is>
          <t>Sundries – sprayer &amp; mortar</t>
        </is>
      </c>
      <c r="I247" s="86" t="n">
        <v>35.88</v>
      </c>
      <c r="J247" s="50" t="inlineStr">
        <is>
          <t>L.S.</t>
        </is>
      </c>
      <c r="K247" s="51" t="n">
        <v>2</v>
      </c>
      <c r="L247" s="84" t="n">
        <v>71.76000000000001</v>
      </c>
      <c r="M247" s="52" t="n">
        <v>4.7</v>
      </c>
      <c r="N247" s="32" t="inlineStr"/>
      <c r="O247" s="39" t="inlineStr"/>
      <c r="P247" t="inlineStr">
        <is>
          <t>Chemical Anti-Termite Treatment|All kinds of soil|Manual labor (depth ≤1.5m)|Treatment to subgrade under floors|3</t>
        </is>
      </c>
      <c r="Q247" t="n">
        <v>3</v>
      </c>
      <c r="R247" t="n">
        <v>9</v>
      </c>
      <c r="S247" t="inlineStr">
        <is>
          <t>sqm</t>
        </is>
      </c>
      <c r="T247" t="n">
        <v>227.05</v>
      </c>
      <c r="U247" t="inlineStr">
        <is>
          <t>Grid perforations &amp; pressure spraying</t>
        </is>
      </c>
      <c r="V247" t="inlineStr">
        <is>
          <t>Pressure spray 5 L/sqm</t>
        </is>
      </c>
      <c r="W247" t="inlineStr">
        <is>
          <t>Full plinth floor saturation</t>
        </is>
      </c>
      <c r="X247" t="inlineStr">
        <is>
          <t>Chemical emulsion</t>
        </is>
      </c>
      <c r="Y247" t="inlineStr">
        <is>
          <t>None</t>
        </is>
      </c>
    </row>
    <row r="248" ht="22" customHeight="1">
      <c r="A248" s="16" t="inlineStr">
        <is>
          <t>Chemical Anti-Termite Treatment</t>
        </is>
      </c>
      <c r="B248" s="76" t="inlineStr">
        <is>
          <t>All kinds of soil</t>
        </is>
      </c>
      <c r="C248" s="76" t="inlineStr">
        <is>
          <t>Manual labor (depth ≤1.5m)</t>
        </is>
      </c>
      <c r="D248" s="76" t="inlineStr">
        <is>
          <t>Treatment at junction of wall &amp; floor</t>
        </is>
      </c>
      <c r="E248" s="28" t="inlineStr">
        <is>
          <t>10 m</t>
        </is>
      </c>
      <c r="F248" s="32" t="inlineStr">
        <is>
          <t>Labour (Semi-Skilled / Operational)</t>
        </is>
      </c>
      <c r="G248" s="21" t="inlineStr">
        <is>
          <t>0114</t>
        </is>
      </c>
      <c r="H248" s="76" t="inlineStr">
        <is>
          <t>Beldar (inject chemical)</t>
        </is>
      </c>
      <c r="I248" s="86" t="n">
        <v>0.3</v>
      </c>
      <c r="J248" s="50" t="inlineStr">
        <is>
          <t>day</t>
        </is>
      </c>
      <c r="K248" s="51" t="n">
        <v>558</v>
      </c>
      <c r="L248" s="84" t="n">
        <v>167.4</v>
      </c>
      <c r="M248" s="52" t="n">
        <v>70.59999999999999</v>
      </c>
      <c r="N248" s="90" t="n">
        <v>33.33333333333334</v>
      </c>
      <c r="O248" s="39" t="inlineStr">
        <is>
          <t>34 holes per 10 m; chemical free</t>
        </is>
      </c>
      <c r="P248" t="inlineStr">
        <is>
          <t>Chemical Anti-Termite Treatment|All kinds of soil|Manual labor (depth ≤1.5m)|Treatment at junction of wall &amp; floor|1</t>
        </is>
      </c>
      <c r="Q248" t="n">
        <v>1</v>
      </c>
      <c r="R248" t="n">
        <v>10</v>
      </c>
      <c r="S248" t="inlineStr">
        <is>
          <t>m</t>
        </is>
      </c>
      <c r="T248" t="n">
        <v>31.75</v>
      </c>
      <c r="U248" t="inlineStr">
        <is>
          <t>12mm rod channel punching</t>
        </is>
      </c>
      <c r="V248" t="inlineStr">
        <is>
          <t>Channel chemical filling</t>
        </is>
      </c>
      <c r="W248" t="inlineStr">
        <is>
          <t>Junction barrier</t>
        </is>
      </c>
      <c r="X248" t="inlineStr">
        <is>
          <t>Chemical emulsion</t>
        </is>
      </c>
      <c r="Y248" t="inlineStr">
        <is>
          <t>None</t>
        </is>
      </c>
    </row>
    <row r="249" ht="22" customHeight="1">
      <c r="A249" s="16" t="inlineStr">
        <is>
          <t>Chemical Anti-Termite Treatment</t>
        </is>
      </c>
      <c r="B249" s="76" t="inlineStr">
        <is>
          <t>All kinds of soil</t>
        </is>
      </c>
      <c r="C249" s="76" t="inlineStr">
        <is>
          <t>Manual labor (depth ≤1.5m)</t>
        </is>
      </c>
      <c r="D249" s="76" t="inlineStr">
        <is>
          <t>Treatment at junction of wall &amp; floor</t>
        </is>
      </c>
      <c r="E249" s="28" t="inlineStr">
        <is>
          <t>10 m</t>
        </is>
      </c>
      <c r="F249" s="32" t="inlineStr">
        <is>
          <t>Sundries &amp; Allowances</t>
        </is>
      </c>
      <c r="G249" s="21" t="inlineStr">
        <is>
          <t>0124</t>
        </is>
      </c>
      <c r="H249" s="76" t="inlineStr">
        <is>
          <t>Mason 2nd class (drill &amp; plug holes)</t>
        </is>
      </c>
      <c r="I249" s="86" t="n">
        <v>0.05</v>
      </c>
      <c r="J249" s="50" t="inlineStr">
        <is>
          <t>day</t>
        </is>
      </c>
      <c r="K249" s="51" t="n">
        <v>679</v>
      </c>
      <c r="L249" s="84" t="n">
        <v>33.95</v>
      </c>
      <c r="M249" s="52" t="n">
        <v>14.3</v>
      </c>
      <c r="N249" s="90" t="n">
        <v>200</v>
      </c>
      <c r="O249" s="39" t="inlineStr"/>
      <c r="P249" t="inlineStr">
        <is>
          <t>Chemical Anti-Termite Treatment|All kinds of soil|Manual labor (depth ≤1.5m)|Treatment at junction of wall &amp; floor|2</t>
        </is>
      </c>
      <c r="Q249" t="n">
        <v>2</v>
      </c>
      <c r="R249" t="n">
        <v>10</v>
      </c>
      <c r="S249" t="inlineStr">
        <is>
          <t>m</t>
        </is>
      </c>
      <c r="T249" t="n">
        <v>31.75</v>
      </c>
      <c r="U249" t="inlineStr">
        <is>
          <t>12mm rod channel punching</t>
        </is>
      </c>
      <c r="V249" t="inlineStr">
        <is>
          <t>Channel chemical filling</t>
        </is>
      </c>
      <c r="W249" t="inlineStr">
        <is>
          <t>Junction barrier</t>
        </is>
      </c>
      <c r="X249" t="inlineStr">
        <is>
          <t>Chemical emulsion</t>
        </is>
      </c>
      <c r="Y249" t="inlineStr">
        <is>
          <t>None</t>
        </is>
      </c>
    </row>
    <row r="250" ht="22" customHeight="1">
      <c r="A250" s="16" t="inlineStr">
        <is>
          <t>Chemical Anti-Termite Treatment</t>
        </is>
      </c>
      <c r="B250" s="76" t="inlineStr">
        <is>
          <t>All kinds of soil</t>
        </is>
      </c>
      <c r="C250" s="76" t="inlineStr">
        <is>
          <t>Manual labor (depth ≤1.5m)</t>
        </is>
      </c>
      <c r="D250" s="76" t="inlineStr">
        <is>
          <t>Treatment at junction of wall &amp; floor</t>
        </is>
      </c>
      <c r="E250" s="28" t="inlineStr">
        <is>
          <t>10 m</t>
        </is>
      </c>
      <c r="F250" s="32" t="inlineStr">
        <is>
          <t>Sundries &amp; Allowances</t>
        </is>
      </c>
      <c r="G250" s="21" t="inlineStr">
        <is>
          <t>9999</t>
        </is>
      </c>
      <c r="H250" s="76" t="inlineStr">
        <is>
          <t>Sundries – pump etc.</t>
        </is>
      </c>
      <c r="I250" s="86" t="n">
        <v>17.94</v>
      </c>
      <c r="J250" s="50" t="inlineStr">
        <is>
          <t>L.S.</t>
        </is>
      </c>
      <c r="K250" s="51" t="n">
        <v>2</v>
      </c>
      <c r="L250" s="84" t="n">
        <v>35.88</v>
      </c>
      <c r="M250" s="52" t="n">
        <v>15.1</v>
      </c>
      <c r="N250" s="32" t="inlineStr"/>
      <c r="O250" s="39" t="inlineStr"/>
      <c r="P250" t="inlineStr">
        <is>
          <t>Chemical Anti-Termite Treatment|All kinds of soil|Manual labor (depth ≤1.5m)|Treatment at junction of wall &amp; floor|3</t>
        </is>
      </c>
      <c r="Q250" t="n">
        <v>3</v>
      </c>
      <c r="R250" t="n">
        <v>10</v>
      </c>
      <c r="S250" t="inlineStr">
        <is>
          <t>m</t>
        </is>
      </c>
      <c r="T250" t="n">
        <v>31.75</v>
      </c>
      <c r="U250" t="inlineStr">
        <is>
          <t>12mm rod channel punching</t>
        </is>
      </c>
      <c r="V250" t="inlineStr">
        <is>
          <t>Channel chemical filling</t>
        </is>
      </c>
      <c r="W250" t="inlineStr">
        <is>
          <t>Junction barrier</t>
        </is>
      </c>
      <c r="X250" t="inlineStr">
        <is>
          <t>Chemical emulsion</t>
        </is>
      </c>
      <c r="Y250" t="inlineStr">
        <is>
          <t>None</t>
        </is>
      </c>
    </row>
    <row r="251" ht="22" customHeight="1">
      <c r="A251" s="16" t="inlineStr">
        <is>
          <t>Chemical Anti-Termite Treatment</t>
        </is>
      </c>
      <c r="B251" s="76" t="inlineStr">
        <is>
          <t>All kinds of soil</t>
        </is>
      </c>
      <c r="C251" s="76" t="inlineStr">
        <is>
          <t>Manual labor (depth ≤1.5m)</t>
        </is>
      </c>
      <c r="D251" s="76" t="inlineStr">
        <is>
          <t>POST-CONSTRUCTION: drilling 12mm holes &amp; injecting</t>
        </is>
      </c>
      <c r="E251" s="28" t="inlineStr">
        <is>
          <t>10 m</t>
        </is>
      </c>
      <c r="F251" s="32" t="inlineStr">
        <is>
          <t>Material &amp; Consumables</t>
        </is>
      </c>
      <c r="G251" s="21" t="inlineStr">
        <is>
          <t>0771</t>
        </is>
      </c>
      <c r="H251" s="76" t="inlineStr">
        <is>
          <t>Kerosene oil</t>
        </is>
      </c>
      <c r="I251" s="86" t="n">
        <v>32.3</v>
      </c>
      <c r="J251" s="50" t="inlineStr">
        <is>
          <t>litre</t>
        </is>
      </c>
      <c r="K251" s="51" t="n">
        <v>50</v>
      </c>
      <c r="L251" s="84" t="n">
        <v>1615</v>
      </c>
      <c r="M251" s="52" t="n">
        <v>85.09999999999999</v>
      </c>
      <c r="N251" s="32" t="inlineStr"/>
      <c r="O251" s="39" t="inlineStr">
        <is>
          <t>68 holes @ 150mm c/c; 34 L solution</t>
        </is>
      </c>
      <c r="P251" t="inlineStr">
        <is>
          <t>Chemical Anti-Termite Treatment|All kinds of soil|Manual labor (depth ≤1.5m)|POST-CONSTRUCTION: drilling 12mm holes &amp; injecting|1</t>
        </is>
      </c>
      <c r="Q251" t="n">
        <v>1</v>
      </c>
      <c r="R251" t="n">
        <v>10</v>
      </c>
      <c r="S251" t="inlineStr">
        <is>
          <t>m</t>
        </is>
      </c>
      <c r="T251" t="n">
        <v>254</v>
      </c>
      <c r="U251" t="inlineStr">
        <is>
          <t>Electric rotary hammer drilling 12mm dia</t>
        </is>
      </c>
      <c r="V251" t="inlineStr">
        <is>
          <t>Chemical pressure injection into masonry</t>
        </is>
      </c>
      <c r="W251" t="inlineStr">
        <is>
          <t>Sealing holes with cement mortar</t>
        </is>
      </c>
      <c r="X251" t="inlineStr">
        <is>
          <t>Chemical emulsion</t>
        </is>
      </c>
      <c r="Y251" t="inlineStr">
        <is>
          <t>Mortar plug compaction</t>
        </is>
      </c>
    </row>
    <row r="252" ht="22" customHeight="1">
      <c r="A252" s="16" t="inlineStr">
        <is>
          <t>Chemical Anti-Termite Treatment</t>
        </is>
      </c>
      <c r="B252" s="76" t="inlineStr">
        <is>
          <t>All kinds of soil</t>
        </is>
      </c>
      <c r="C252" s="76" t="inlineStr">
        <is>
          <t>Manual labor (depth ≤1.5m)</t>
        </is>
      </c>
      <c r="D252" s="76" t="inlineStr">
        <is>
          <t>POST-CONSTRUCTION: drilling 12mm holes &amp; injecting</t>
        </is>
      </c>
      <c r="E252" s="28" t="inlineStr">
        <is>
          <t>10 m</t>
        </is>
      </c>
      <c r="F252" s="32" t="inlineStr">
        <is>
          <t>Labour (Skilled Tradesman)</t>
        </is>
      </c>
      <c r="G252" s="21" t="inlineStr">
        <is>
          <t>0112</t>
        </is>
      </c>
      <c r="H252" s="76" t="inlineStr">
        <is>
          <t>Carpenter 2nd class (drill &amp; plug)</t>
        </is>
      </c>
      <c r="I252" s="86" t="n">
        <v>0.2</v>
      </c>
      <c r="J252" s="50" t="inlineStr">
        <is>
          <t>day</t>
        </is>
      </c>
      <c r="K252" s="51" t="n">
        <v>679</v>
      </c>
      <c r="L252" s="84" t="n">
        <v>135.8</v>
      </c>
      <c r="M252" s="52" t="n">
        <v>7.2</v>
      </c>
      <c r="N252" s="90" t="n">
        <v>50</v>
      </c>
      <c r="O252" s="39" t="inlineStr"/>
      <c r="P252" t="inlineStr">
        <is>
          <t>Chemical Anti-Termite Treatment|All kinds of soil|Manual labor (depth ≤1.5m)|POST-CONSTRUCTION: drilling 12mm holes &amp; injecting|2</t>
        </is>
      </c>
      <c r="Q252" t="n">
        <v>2</v>
      </c>
      <c r="R252" t="n">
        <v>10</v>
      </c>
      <c r="S252" t="inlineStr">
        <is>
          <t>m</t>
        </is>
      </c>
      <c r="T252" t="n">
        <v>254</v>
      </c>
      <c r="U252" t="inlineStr">
        <is>
          <t>Electric rotary hammer drilling 12mm dia</t>
        </is>
      </c>
      <c r="V252" t="inlineStr">
        <is>
          <t>Chemical pressure injection into masonry</t>
        </is>
      </c>
      <c r="W252" t="inlineStr">
        <is>
          <t>Sealing holes with cement mortar</t>
        </is>
      </c>
      <c r="X252" t="inlineStr">
        <is>
          <t>Chemical emulsion</t>
        </is>
      </c>
      <c r="Y252" t="inlineStr">
        <is>
          <t>Mortar plug compaction</t>
        </is>
      </c>
    </row>
    <row r="253" ht="22" customHeight="1">
      <c r="A253" s="16" t="inlineStr">
        <is>
          <t>Chemical Anti-Termite Treatment</t>
        </is>
      </c>
      <c r="B253" s="76" t="inlineStr">
        <is>
          <t>All kinds of soil</t>
        </is>
      </c>
      <c r="C253" s="76" t="inlineStr">
        <is>
          <t>Manual labor (depth ≤1.5m)</t>
        </is>
      </c>
      <c r="D253" s="76" t="inlineStr">
        <is>
          <t>POST-CONSTRUCTION: drilling 12mm holes &amp; injecting</t>
        </is>
      </c>
      <c r="E253" s="28" t="inlineStr">
        <is>
          <t>10 m</t>
        </is>
      </c>
      <c r="F253" s="32" t="inlineStr">
        <is>
          <t>Labour (Semi-Skilled / Operational)</t>
        </is>
      </c>
      <c r="G253" s="21" t="inlineStr">
        <is>
          <t>0114</t>
        </is>
      </c>
      <c r="H253" s="76" t="inlineStr">
        <is>
          <t>Beldar (inject)</t>
        </is>
      </c>
      <c r="I253" s="86" t="n">
        <v>0.2</v>
      </c>
      <c r="J253" s="50" t="inlineStr">
        <is>
          <t>day</t>
        </is>
      </c>
      <c r="K253" s="51" t="n">
        <v>558</v>
      </c>
      <c r="L253" s="84" t="n">
        <v>111.6</v>
      </c>
      <c r="M253" s="52" t="n">
        <v>5.9</v>
      </c>
      <c r="N253" s="90" t="n">
        <v>50</v>
      </c>
      <c r="O253" s="39" t="inlineStr"/>
      <c r="P253" t="inlineStr">
        <is>
          <t>Chemical Anti-Termite Treatment|All kinds of soil|Manual labor (depth ≤1.5m)|POST-CONSTRUCTION: drilling 12mm holes &amp; injecting|3</t>
        </is>
      </c>
      <c r="Q253" t="n">
        <v>3</v>
      </c>
      <c r="R253" t="n">
        <v>10</v>
      </c>
      <c r="S253" t="inlineStr">
        <is>
          <t>m</t>
        </is>
      </c>
      <c r="T253" t="n">
        <v>254</v>
      </c>
      <c r="U253" t="inlineStr">
        <is>
          <t>Electric rotary hammer drilling 12mm dia</t>
        </is>
      </c>
      <c r="V253" t="inlineStr">
        <is>
          <t>Chemical pressure injection into masonry</t>
        </is>
      </c>
      <c r="W253" t="inlineStr">
        <is>
          <t>Sealing holes with cement mortar</t>
        </is>
      </c>
      <c r="X253" t="inlineStr">
        <is>
          <t>Chemical emulsion</t>
        </is>
      </c>
      <c r="Y253" t="inlineStr">
        <is>
          <t>Mortar plug compaction</t>
        </is>
      </c>
    </row>
    <row r="254" ht="22" customHeight="1">
      <c r="A254" s="16" t="inlineStr">
        <is>
          <t>Chemical Anti-Termite Treatment</t>
        </is>
      </c>
      <c r="B254" s="76" t="inlineStr">
        <is>
          <t>All kinds of soil</t>
        </is>
      </c>
      <c r="C254" s="76" t="inlineStr">
        <is>
          <t>Manual labor (depth ≤1.5m)</t>
        </is>
      </c>
      <c r="D254" s="76" t="inlineStr">
        <is>
          <t>POST-CONSTRUCTION: drilling 12mm holes &amp; injecting</t>
        </is>
      </c>
      <c r="E254" s="28" t="inlineStr">
        <is>
          <t>10 m</t>
        </is>
      </c>
      <c r="F254" s="32" t="inlineStr">
        <is>
          <t>Sundries &amp; Allowances</t>
        </is>
      </c>
      <c r="G254" s="21" t="inlineStr">
        <is>
          <t>9999</t>
        </is>
      </c>
      <c r="H254" s="76" t="inlineStr">
        <is>
          <t>Sundries</t>
        </is>
      </c>
      <c r="I254" s="86" t="n">
        <v>17.94</v>
      </c>
      <c r="J254" s="50" t="inlineStr">
        <is>
          <t>L.S.</t>
        </is>
      </c>
      <c r="K254" s="51" t="n">
        <v>2</v>
      </c>
      <c r="L254" s="84" t="n">
        <v>35.88</v>
      </c>
      <c r="M254" s="52" t="n">
        <v>1.9</v>
      </c>
      <c r="N254" s="32" t="inlineStr"/>
      <c r="O254" s="39" t="inlineStr"/>
      <c r="P254" t="inlineStr">
        <is>
          <t>Chemical Anti-Termite Treatment|All kinds of soil|Manual labor (depth ≤1.5m)|POST-CONSTRUCTION: drilling 12mm holes &amp; injecting|4</t>
        </is>
      </c>
      <c r="Q254" t="n">
        <v>4</v>
      </c>
      <c r="R254" t="n">
        <v>10</v>
      </c>
      <c r="S254" t="inlineStr">
        <is>
          <t>m</t>
        </is>
      </c>
      <c r="T254" t="n">
        <v>254</v>
      </c>
      <c r="U254" t="inlineStr">
        <is>
          <t>Electric rotary hammer drilling 12mm dia</t>
        </is>
      </c>
      <c r="V254" t="inlineStr">
        <is>
          <t>Chemical pressure injection into masonry</t>
        </is>
      </c>
      <c r="W254" t="inlineStr">
        <is>
          <t>Sealing holes with cement mortar</t>
        </is>
      </c>
      <c r="X254" t="inlineStr">
        <is>
          <t>Chemical emulsion</t>
        </is>
      </c>
      <c r="Y254" t="inlineStr">
        <is>
          <t>Mortar plug compaction</t>
        </is>
      </c>
    </row>
    <row r="255" ht="22" customHeight="1">
      <c r="A255" s="16" t="inlineStr">
        <is>
          <t>Surface Excavation (≤30 cm)</t>
        </is>
      </c>
      <c r="B255" s="76" t="inlineStr">
        <is>
          <t>All kinds of soil</t>
        </is>
      </c>
      <c r="C255" s="76" t="inlineStr">
        <is>
          <t>Manual labor (depth ≤1.5m)</t>
        </is>
      </c>
      <c r="D255" s="76" t="inlineStr">
        <is>
          <t>Levelling &amp; neatly dressing disposed soil</t>
        </is>
      </c>
      <c r="E255" s="28" t="inlineStr">
        <is>
          <t>10 cum</t>
        </is>
      </c>
      <c r="F255" s="32" t="inlineStr">
        <is>
          <t>Labour (Supervisory / Mate)</t>
        </is>
      </c>
      <c r="G255" s="21" t="inlineStr">
        <is>
          <t>0128</t>
        </is>
      </c>
      <c r="H255" s="76" t="inlineStr">
        <is>
          <t>Mate</t>
        </is>
      </c>
      <c r="I255" s="86" t="n">
        <v>0.08</v>
      </c>
      <c r="J255" s="50" t="inlineStr">
        <is>
          <t>day</t>
        </is>
      </c>
      <c r="K255" s="51" t="n">
        <v>617</v>
      </c>
      <c r="L255" s="84" t="n">
        <v>49.36</v>
      </c>
      <c r="M255" s="52" t="n">
        <v>10</v>
      </c>
      <c r="N255" s="89" t="n">
        <v>125</v>
      </c>
      <c r="O255" s="39" t="inlineStr"/>
      <c r="P255" t="inlineStr">
        <is>
          <t>Surface Excavation (≤30 cm)|All kinds of soil|Manual labor (depth ≤1.5m)|Levelling &amp; neatly dressing disposed soil|1</t>
        </is>
      </c>
      <c r="Q255" t="n">
        <v>1</v>
      </c>
      <c r="R255" t="n">
        <v>10</v>
      </c>
      <c r="S255" t="inlineStr">
        <is>
          <t>cum</t>
        </is>
      </c>
      <c r="T255" t="n">
        <v>66.34999999999999</v>
      </c>
      <c r="U255" t="inlineStr">
        <is>
          <t>Beldar rake &amp; spade</t>
        </is>
      </c>
      <c r="V255" t="inlineStr">
        <is>
          <t>On-site dressing</t>
        </is>
      </c>
      <c r="W255" t="inlineStr">
        <is>
          <t>Neat contouring</t>
        </is>
      </c>
      <c r="X255" t="inlineStr">
        <is>
          <t>None</t>
        </is>
      </c>
      <c r="Y255" t="inlineStr">
        <is>
          <t>Light ramming</t>
        </is>
      </c>
    </row>
    <row r="256" ht="22" customHeight="1">
      <c r="A256" s="16" t="inlineStr">
        <is>
          <t>Surface Excavation (≤30 cm)</t>
        </is>
      </c>
      <c r="B256" s="76" t="inlineStr">
        <is>
          <t>All kinds of soil</t>
        </is>
      </c>
      <c r="C256" s="76" t="inlineStr">
        <is>
          <t>Manual labor (depth ≤1.5m)</t>
        </is>
      </c>
      <c r="D256" s="76" t="inlineStr">
        <is>
          <t>Levelling &amp; neatly dressing disposed soil</t>
        </is>
      </c>
      <c r="E256" s="28" t="inlineStr">
        <is>
          <t>10 cum</t>
        </is>
      </c>
      <c r="F256" s="32" t="inlineStr">
        <is>
          <t>Labour (Unskilled / Haulage)</t>
        </is>
      </c>
      <c r="G256" s="21" t="inlineStr">
        <is>
          <t>0115</t>
        </is>
      </c>
      <c r="H256" s="76" t="inlineStr">
        <is>
          <t>Coolie</t>
        </is>
      </c>
      <c r="I256" s="86" t="n">
        <v>0.8</v>
      </c>
      <c r="J256" s="50" t="inlineStr">
        <is>
          <t>day</t>
        </is>
      </c>
      <c r="K256" s="51" t="n">
        <v>558</v>
      </c>
      <c r="L256" s="84" t="n">
        <v>446.4</v>
      </c>
      <c r="M256" s="52" t="n">
        <v>90</v>
      </c>
      <c r="N256" s="89" t="n">
        <v>12.5</v>
      </c>
      <c r="O256" s="39" t="inlineStr"/>
      <c r="P256" t="inlineStr">
        <is>
          <t>Surface Excavation (≤30 cm)|All kinds of soil|Manual labor (depth ≤1.5m)|Levelling &amp; neatly dressing disposed soil|2</t>
        </is>
      </c>
      <c r="Q256" t="n">
        <v>2</v>
      </c>
      <c r="R256" t="n">
        <v>10</v>
      </c>
      <c r="S256" t="inlineStr">
        <is>
          <t>cum</t>
        </is>
      </c>
      <c r="T256" t="n">
        <v>66.34999999999999</v>
      </c>
      <c r="U256" t="inlineStr">
        <is>
          <t>Beldar rake &amp; spade</t>
        </is>
      </c>
      <c r="V256" t="inlineStr">
        <is>
          <t>On-site dressing</t>
        </is>
      </c>
      <c r="W256" t="inlineStr">
        <is>
          <t>Neat contouring</t>
        </is>
      </c>
      <c r="X256" t="inlineStr">
        <is>
          <t>None</t>
        </is>
      </c>
      <c r="Y256" t="inlineStr">
        <is>
          <t>Light ramming</t>
        </is>
      </c>
    </row>
    <row r="257" ht="22" customHeight="1">
      <c r="A257" s="16" t="inlineStr">
        <is>
          <t>Backfilling &amp; Compaction</t>
        </is>
      </c>
      <c r="B257" s="76" t="inlineStr">
        <is>
          <t>All kinds of soil</t>
        </is>
      </c>
      <c r="C257" s="76" t="inlineStr">
        <is>
          <t>Manual labor (depth ≤1.5m)</t>
        </is>
      </c>
      <c r="D257" s="76" t="inlineStr">
        <is>
          <t>Supply and stacking fly ash (IRC-58)</t>
        </is>
      </c>
      <c r="E257" s="28" t="inlineStr">
        <is>
          <t>1 cum</t>
        </is>
      </c>
      <c r="F257" s="32" t="inlineStr">
        <is>
          <t>Material &amp; Consumables</t>
        </is>
      </c>
      <c r="G257" s="21" t="inlineStr">
        <is>
          <t>1980</t>
        </is>
      </c>
      <c r="H257" s="76" t="inlineStr">
        <is>
          <t>Fly ash (free at thermal power plant, royalty only)</t>
        </is>
      </c>
      <c r="I257" s="86" t="n">
        <v>1</v>
      </c>
      <c r="J257" s="50" t="inlineStr">
        <is>
          <t>cum</t>
        </is>
      </c>
      <c r="K257" s="51" t="n">
        <v>10</v>
      </c>
      <c r="L257" s="84" t="n">
        <v>10</v>
      </c>
      <c r="M257" s="52" t="n">
        <v>8.800000000000001</v>
      </c>
      <c r="N257" s="32" t="inlineStr"/>
      <c r="O257" s="39" t="inlineStr">
        <is>
          <t>Lead 35 km</t>
        </is>
      </c>
      <c r="P257" t="inlineStr">
        <is>
          <t>Backfilling &amp; Compaction|All kinds of soil|Manual labor (depth ≤1.5m)|Supply and stacking fly ash (IRC-58)|1</t>
        </is>
      </c>
      <c r="Q257" t="n">
        <v>1</v>
      </c>
      <c r="R257" t="n">
        <v>1</v>
      </c>
      <c r="S257" t="inlineStr">
        <is>
          <t>cum</t>
        </is>
      </c>
      <c r="T257" t="n">
        <v>152.2</v>
      </c>
      <c r="U257" t="inlineStr">
        <is>
          <t>Material supply (fly ash IRC-58)</t>
        </is>
      </c>
      <c r="V257" t="inlineStr">
        <is>
          <t>Unloading and stacking at site</t>
        </is>
      </c>
      <c r="W257" t="inlineStr">
        <is>
          <t>Neat stacking</t>
        </is>
      </c>
      <c r="X257" t="inlineStr">
        <is>
          <t>None</t>
        </is>
      </c>
      <c r="Y257" t="inlineStr">
        <is>
          <t>None</t>
        </is>
      </c>
    </row>
    <row r="258" ht="22" customHeight="1">
      <c r="A258" s="16" t="inlineStr">
        <is>
          <t>Backfilling &amp; Compaction</t>
        </is>
      </c>
      <c r="B258" s="76" t="inlineStr">
        <is>
          <t>All kinds of soil</t>
        </is>
      </c>
      <c r="C258" s="76" t="inlineStr">
        <is>
          <t>Manual labor (depth ≤1.5m)</t>
        </is>
      </c>
      <c r="D258" s="76" t="inlineStr">
        <is>
          <t>Supply and stacking fly ash (IRC-58)</t>
        </is>
      </c>
      <c r="E258" s="28" t="inlineStr">
        <is>
          <t>1 cum</t>
        </is>
      </c>
      <c r="F258" s="32" t="inlineStr">
        <is>
          <t>Material &amp; Consumables</t>
        </is>
      </c>
      <c r="G258" s="21" t="inlineStr">
        <is>
          <t>2262</t>
        </is>
      </c>
      <c r="H258" s="76" t="inlineStr">
        <is>
          <t>Carriage of fly ash</t>
        </is>
      </c>
      <c r="I258" s="86" t="n">
        <v>1</v>
      </c>
      <c r="J258" s="50" t="inlineStr">
        <is>
          <t>cum</t>
        </is>
      </c>
      <c r="K258" s="51" t="n">
        <v>103.77</v>
      </c>
      <c r="L258" s="84" t="n">
        <v>103.77</v>
      </c>
      <c r="M258" s="52" t="n">
        <v>91.2</v>
      </c>
      <c r="N258" s="32" t="inlineStr"/>
      <c r="O258" s="39" t="inlineStr"/>
      <c r="P258" t="inlineStr">
        <is>
          <t>Backfilling &amp; Compaction|All kinds of soil|Manual labor (depth ≤1.5m)|Supply and stacking fly ash (IRC-58)|2</t>
        </is>
      </c>
      <c r="Q258" t="n">
        <v>2</v>
      </c>
      <c r="R258" t="n">
        <v>1</v>
      </c>
      <c r="S258" t="inlineStr">
        <is>
          <t>cum</t>
        </is>
      </c>
      <c r="T258" t="n">
        <v>152.2</v>
      </c>
      <c r="U258" t="inlineStr">
        <is>
          <t>Material supply (fly ash IRC-58)</t>
        </is>
      </c>
      <c r="V258" t="inlineStr">
        <is>
          <t>Unloading and stacking at site</t>
        </is>
      </c>
      <c r="W258" t="inlineStr">
        <is>
          <t>Neat stacking</t>
        </is>
      </c>
      <c r="X258" t="inlineStr">
        <is>
          <t>None</t>
        </is>
      </c>
      <c r="Y258" t="inlineStr">
        <is>
          <t>None</t>
        </is>
      </c>
    </row>
    <row r="259" ht="22" customHeight="1">
      <c r="A259" s="16" t="inlineStr">
        <is>
          <t>Backfilling &amp; Compaction</t>
        </is>
      </c>
      <c r="B259" s="76" t="inlineStr">
        <is>
          <t>All kinds of soil</t>
        </is>
      </c>
      <c r="C259" s="76" t="inlineStr">
        <is>
          <t>Manual labor (depth ≤1.5m)</t>
        </is>
      </c>
      <c r="D259" s="76" t="inlineStr">
        <is>
          <t>Filling with fly ash and earth mix in plinth</t>
        </is>
      </c>
      <c r="E259" s="28" t="inlineStr">
        <is>
          <t>10 cum</t>
        </is>
      </c>
      <c r="F259" s="32" t="inlineStr">
        <is>
          <t>Labour (Supervisory / Mate)</t>
        </is>
      </c>
      <c r="G259" s="21" t="inlineStr">
        <is>
          <t>0128</t>
        </is>
      </c>
      <c r="H259" s="76" t="inlineStr">
        <is>
          <t>Mate</t>
        </is>
      </c>
      <c r="I259" s="86" t="n">
        <v>0.2</v>
      </c>
      <c r="J259" s="50" t="inlineStr">
        <is>
          <t>day</t>
        </is>
      </c>
      <c r="K259" s="51" t="n">
        <v>617</v>
      </c>
      <c r="L259" s="84" t="n">
        <v>123.4</v>
      </c>
      <c r="M259" s="52" t="n">
        <v>7.5</v>
      </c>
      <c r="N259" s="89" t="n">
        <v>50</v>
      </c>
      <c r="O259" s="39" t="inlineStr">
        <is>
          <t>Same norms as 2.25</t>
        </is>
      </c>
      <c r="P259" t="inlineStr">
        <is>
          <t>Backfilling &amp; Compaction|All kinds of soil|Manual labor (depth ≤1.5m)|Filling with fly ash and earth mix in plinth|1</t>
        </is>
      </c>
      <c r="Q259" t="n">
        <v>1</v>
      </c>
      <c r="R259" t="n">
        <v>10</v>
      </c>
      <c r="S259" t="inlineStr">
        <is>
          <t>cum</t>
        </is>
      </c>
      <c r="T259" t="n">
        <v>219.65</v>
      </c>
      <c r="U259" t="inlineStr">
        <is>
          <t>Available fly ash and soil mix</t>
        </is>
      </c>
      <c r="V259" t="inlineStr">
        <is>
          <t>Basket Coolie return lead ≤50m</t>
        </is>
      </c>
      <c r="W259" t="inlineStr">
        <is>
          <t>Spreading in layers ≤20 cm</t>
        </is>
      </c>
      <c r="X259" t="inlineStr">
        <is>
          <t>Watering each layer</t>
        </is>
      </c>
      <c r="Y259" t="inlineStr">
        <is>
          <t>Durmat ramming / hand compaction</t>
        </is>
      </c>
    </row>
    <row r="260" ht="22" customHeight="1">
      <c r="A260" s="16" t="inlineStr">
        <is>
          <t>Backfilling &amp; Compaction</t>
        </is>
      </c>
      <c r="B260" s="76" t="inlineStr">
        <is>
          <t>All kinds of soil</t>
        </is>
      </c>
      <c r="C260" s="76" t="inlineStr">
        <is>
          <t>Manual labor (depth ≤1.5m)</t>
        </is>
      </c>
      <c r="D260" s="76" t="inlineStr">
        <is>
          <t>Filling with fly ash and earth mix in plinth</t>
        </is>
      </c>
      <c r="E260" s="28" t="inlineStr">
        <is>
          <t>10 cum</t>
        </is>
      </c>
      <c r="F260" s="32" t="inlineStr">
        <is>
          <t>Labour (Unskilled / Haulage)</t>
        </is>
      </c>
      <c r="G260" s="21" t="inlineStr">
        <is>
          <t>0115</t>
        </is>
      </c>
      <c r="H260" s="76" t="inlineStr">
        <is>
          <t>Coolie</t>
        </is>
      </c>
      <c r="I260" s="86" t="n">
        <v>2.5</v>
      </c>
      <c r="J260" s="50" t="inlineStr">
        <is>
          <t>day</t>
        </is>
      </c>
      <c r="K260" s="51" t="n">
        <v>558</v>
      </c>
      <c r="L260" s="84" t="n">
        <v>1395</v>
      </c>
      <c r="M260" s="52" t="n">
        <v>85</v>
      </c>
      <c r="N260" s="89" t="n">
        <v>4</v>
      </c>
      <c r="O260" s="39" t="inlineStr"/>
      <c r="P260" t="inlineStr">
        <is>
          <t>Backfilling &amp; Compaction|All kinds of soil|Manual labor (depth ≤1.5m)|Filling with fly ash and earth mix in plinth|2</t>
        </is>
      </c>
      <c r="Q260" t="n">
        <v>2</v>
      </c>
      <c r="R260" t="n">
        <v>10</v>
      </c>
      <c r="S260" t="inlineStr">
        <is>
          <t>cum</t>
        </is>
      </c>
      <c r="T260" t="n">
        <v>219.65</v>
      </c>
      <c r="U260" t="inlineStr">
        <is>
          <t>Available fly ash and soil mix</t>
        </is>
      </c>
      <c r="V260" t="inlineStr">
        <is>
          <t>Basket Coolie return lead ≤50m</t>
        </is>
      </c>
      <c r="W260" t="inlineStr">
        <is>
          <t>Spreading in layers ≤20 cm</t>
        </is>
      </c>
      <c r="X260" t="inlineStr">
        <is>
          <t>Watering each layer</t>
        </is>
      </c>
      <c r="Y260" t="inlineStr">
        <is>
          <t>Durmat ramming / hand compaction</t>
        </is>
      </c>
    </row>
    <row r="261" ht="22" customHeight="1">
      <c r="A261" s="16" t="inlineStr">
        <is>
          <t>Backfilling &amp; Compaction</t>
        </is>
      </c>
      <c r="B261" s="76" t="inlineStr">
        <is>
          <t>All kinds of soil</t>
        </is>
      </c>
      <c r="C261" s="76" t="inlineStr">
        <is>
          <t>Manual labor (depth ≤1.5m)</t>
        </is>
      </c>
      <c r="D261" s="76" t="inlineStr">
        <is>
          <t>Filling with fly ash and earth mix in plinth</t>
        </is>
      </c>
      <c r="E261" s="28" t="inlineStr">
        <is>
          <t>10 cum</t>
        </is>
      </c>
      <c r="F261" s="32" t="inlineStr">
        <is>
          <t>Labour (Operational / Bhishti)</t>
        </is>
      </c>
      <c r="G261" s="21" t="inlineStr">
        <is>
          <t>0101</t>
        </is>
      </c>
      <c r="H261" s="76" t="inlineStr">
        <is>
          <t>Bhisti</t>
        </is>
      </c>
      <c r="I261" s="86" t="n">
        <v>0.2</v>
      </c>
      <c r="J261" s="50" t="inlineStr">
        <is>
          <t>day</t>
        </is>
      </c>
      <c r="K261" s="51" t="n">
        <v>617</v>
      </c>
      <c r="L261" s="84" t="n">
        <v>123.4</v>
      </c>
      <c r="M261" s="52" t="n">
        <v>7.5</v>
      </c>
      <c r="N261" s="89" t="n">
        <v>50</v>
      </c>
      <c r="O261" s="39" t="inlineStr"/>
      <c r="P261" t="inlineStr">
        <is>
          <t>Backfilling &amp; Compaction|All kinds of soil|Manual labor (depth ≤1.5m)|Filling with fly ash and earth mix in plinth|3</t>
        </is>
      </c>
      <c r="Q261" t="n">
        <v>3</v>
      </c>
      <c r="R261" t="n">
        <v>10</v>
      </c>
      <c r="S261" t="inlineStr">
        <is>
          <t>cum</t>
        </is>
      </c>
      <c r="T261" t="n">
        <v>219.65</v>
      </c>
      <c r="U261" t="inlineStr">
        <is>
          <t>Available fly ash and soil mix</t>
        </is>
      </c>
      <c r="V261" t="inlineStr">
        <is>
          <t>Basket Coolie return lead ≤50m</t>
        </is>
      </c>
      <c r="W261" t="inlineStr">
        <is>
          <t>Spreading in layers ≤20 cm</t>
        </is>
      </c>
      <c r="X261" t="inlineStr">
        <is>
          <t>Watering each layer</t>
        </is>
      </c>
      <c r="Y261" t="inlineStr">
        <is>
          <t>Durmat ramming / hand compaction</t>
        </is>
      </c>
    </row>
    <row r="262" ht="22" customHeight="1">
      <c r="A262" s="16" t="inlineStr">
        <is>
          <t>Timbering &amp; Shoring</t>
        </is>
      </c>
      <c r="B262" s="76" t="inlineStr">
        <is>
          <t>All kinds of soil</t>
        </is>
      </c>
      <c r="C262" s="76" t="inlineStr">
        <is>
          <t>Manual labor (depth ≤1.5m)</t>
        </is>
      </c>
      <c r="D262" s="76" t="inlineStr">
        <is>
          <t>Close timbering depth ≤1.5m (90 sqm face)</t>
        </is>
      </c>
      <c r="E262" s="28" t="inlineStr">
        <is>
          <t>90 sqm</t>
        </is>
      </c>
      <c r="F262" s="32" t="inlineStr">
        <is>
          <t>Material &amp; Consumables</t>
        </is>
      </c>
      <c r="G262" s="21" t="inlineStr">
        <is>
          <t>1198</t>
        </is>
      </c>
      <c r="H262" s="76" t="inlineStr">
        <is>
          <t>2nd class kail wood in planks (net ¼ x ¼)</t>
        </is>
      </c>
      <c r="I262" s="86" t="n">
        <v>21.375</v>
      </c>
      <c r="J262" s="50" t="inlineStr">
        <is>
          <t>10cudm</t>
        </is>
      </c>
      <c r="K262" s="51" t="n">
        <v>260</v>
      </c>
      <c r="L262" s="84" t="n">
        <v>5557.5</v>
      </c>
      <c r="M262" s="52" t="n">
        <v>63.6</v>
      </c>
      <c r="N262" s="32" t="inlineStr"/>
      <c r="O262" s="39" t="inlineStr">
        <is>
          <t>3420 cudm gross; 1/4 utilisation factor</t>
        </is>
      </c>
      <c r="P262" t="inlineStr">
        <is>
          <t>Timbering &amp; Shoring|All kinds of soil|Manual labor (depth ≤1.5m)|Close timbering depth ≤1.5m (90 sqm face)|1</t>
        </is>
      </c>
      <c r="Q262" t="n">
        <v>1</v>
      </c>
      <c r="R262" t="n">
        <v>90</v>
      </c>
      <c r="S262" t="inlineStr">
        <is>
          <t>sqm</t>
        </is>
      </c>
      <c r="T262" t="n">
        <v>129.95</v>
      </c>
      <c r="U262" t="inlineStr">
        <is>
          <t>Sal wood runners, open/close poling boards</t>
        </is>
      </c>
      <c r="V262" t="inlineStr">
        <is>
          <t>Lowering into trench &amp; positioning</t>
        </is>
      </c>
      <c r="W262" t="inlineStr">
        <is>
          <t>Strutting with adjustable screw jacks / timber</t>
        </is>
      </c>
      <c r="X262" t="inlineStr">
        <is>
          <t>None</t>
        </is>
      </c>
      <c r="Y262" t="inlineStr">
        <is>
          <t>Tight wedge wedging against trench sides</t>
        </is>
      </c>
    </row>
    <row r="263" ht="22" customHeight="1">
      <c r="A263" s="16" t="inlineStr">
        <is>
          <t>Timbering &amp; Shoring</t>
        </is>
      </c>
      <c r="B263" s="76" t="inlineStr">
        <is>
          <t>All kinds of soil</t>
        </is>
      </c>
      <c r="C263" s="76" t="inlineStr">
        <is>
          <t>Manual labor (depth ≤1.5m)</t>
        </is>
      </c>
      <c r="D263" s="76" t="inlineStr">
        <is>
          <t>Close timbering depth ≤1.5m (90 sqm face)</t>
        </is>
      </c>
      <c r="E263" s="28" t="inlineStr">
        <is>
          <t>90 sqm</t>
        </is>
      </c>
      <c r="F263" s="32" t="inlineStr">
        <is>
          <t>Material &amp; Consumables</t>
        </is>
      </c>
      <c r="G263" s="21" t="inlineStr">
        <is>
          <t>1197</t>
        </is>
      </c>
      <c r="H263" s="76" t="inlineStr">
        <is>
          <t>2nd class kail wood in scantling (net ¼ x ¼)</t>
        </is>
      </c>
      <c r="I263" s="86" t="n">
        <v>7.5</v>
      </c>
      <c r="J263" s="50" t="inlineStr">
        <is>
          <t>10cudm</t>
        </is>
      </c>
      <c r="K263" s="51" t="n">
        <v>260</v>
      </c>
      <c r="L263" s="84" t="n">
        <v>1950</v>
      </c>
      <c r="M263" s="52" t="n">
        <v>22.3</v>
      </c>
      <c r="N263" s="32" t="inlineStr"/>
      <c r="O263" s="39" t="inlineStr">
        <is>
          <t>1200 cudm gross</t>
        </is>
      </c>
      <c r="P263" t="inlineStr">
        <is>
          <t>Timbering &amp; Shoring|All kinds of soil|Manual labor (depth ≤1.5m)|Close timbering depth ≤1.5m (90 sqm face)|2</t>
        </is>
      </c>
      <c r="Q263" t="n">
        <v>2</v>
      </c>
      <c r="R263" t="n">
        <v>90</v>
      </c>
      <c r="S263" t="inlineStr">
        <is>
          <t>sqm</t>
        </is>
      </c>
      <c r="T263" t="n">
        <v>129.95</v>
      </c>
      <c r="U263" t="inlineStr">
        <is>
          <t>Sal wood runners, open/close poling boards</t>
        </is>
      </c>
      <c r="V263" t="inlineStr">
        <is>
          <t>Lowering into trench &amp; positioning</t>
        </is>
      </c>
      <c r="W263" t="inlineStr">
        <is>
          <t>Strutting with adjustable screw jacks / timber</t>
        </is>
      </c>
      <c r="X263" t="inlineStr">
        <is>
          <t>None</t>
        </is>
      </c>
      <c r="Y263" t="inlineStr">
        <is>
          <t>Tight wedge wedging against trench sides</t>
        </is>
      </c>
    </row>
    <row r="264" ht="22" customHeight="1">
      <c r="A264" s="16" t="inlineStr">
        <is>
          <t>Timbering &amp; Shoring</t>
        </is>
      </c>
      <c r="B264" s="76" t="inlineStr">
        <is>
          <t>All kinds of soil</t>
        </is>
      </c>
      <c r="C264" s="76" t="inlineStr">
        <is>
          <t>Manual labor (depth ≤1.5m)</t>
        </is>
      </c>
      <c r="D264" s="76" t="inlineStr">
        <is>
          <t>Close timbering depth ≤1.5m (90 sqm face)</t>
        </is>
      </c>
      <c r="E264" s="28" t="inlineStr">
        <is>
          <t>90 sqm</t>
        </is>
      </c>
      <c r="F264" s="32" t="inlineStr">
        <is>
          <t>Material &amp; Consumables</t>
        </is>
      </c>
      <c r="G264" s="21" t="inlineStr">
        <is>
          <t>0302</t>
        </is>
      </c>
      <c r="H264" s="76" t="inlineStr">
        <is>
          <t>Safeda ballies 125mm dia (net ¼)</t>
        </is>
      </c>
      <c r="I264" s="86" t="n">
        <v>3.1875</v>
      </c>
      <c r="J264" s="50" t="inlineStr">
        <is>
          <t>m</t>
        </is>
      </c>
      <c r="K264" s="51" t="n">
        <v>40</v>
      </c>
      <c r="L264" s="84" t="n">
        <v>127.5</v>
      </c>
      <c r="M264" s="52" t="n">
        <v>1.5</v>
      </c>
      <c r="N264" s="32" t="inlineStr"/>
      <c r="O264" s="39" t="inlineStr">
        <is>
          <t>51 m gross</t>
        </is>
      </c>
      <c r="P264" t="inlineStr">
        <is>
          <t>Timbering &amp; Shoring|All kinds of soil|Manual labor (depth ≤1.5m)|Close timbering depth ≤1.5m (90 sqm face)|3</t>
        </is>
      </c>
      <c r="Q264" t="n">
        <v>3</v>
      </c>
      <c r="R264" t="n">
        <v>90</v>
      </c>
      <c r="S264" t="inlineStr">
        <is>
          <t>sqm</t>
        </is>
      </c>
      <c r="T264" t="n">
        <v>129.95</v>
      </c>
      <c r="U264" t="inlineStr">
        <is>
          <t>Sal wood runners, open/close poling boards</t>
        </is>
      </c>
      <c r="V264" t="inlineStr">
        <is>
          <t>Lowering into trench &amp; positioning</t>
        </is>
      </c>
      <c r="W264" t="inlineStr">
        <is>
          <t>Strutting with adjustable screw jacks / timber</t>
        </is>
      </c>
      <c r="X264" t="inlineStr">
        <is>
          <t>None</t>
        </is>
      </c>
      <c r="Y264" t="inlineStr">
        <is>
          <t>Tight wedge wedging against trench sides</t>
        </is>
      </c>
    </row>
    <row r="265" ht="22" customHeight="1">
      <c r="A265" s="16" t="inlineStr">
        <is>
          <t>Timbering &amp; Shoring</t>
        </is>
      </c>
      <c r="B265" s="76" t="inlineStr">
        <is>
          <t>All kinds of soil</t>
        </is>
      </c>
      <c r="C265" s="76" t="inlineStr">
        <is>
          <t>Manual labor (depth ≤1.5m)</t>
        </is>
      </c>
      <c r="D265" s="76" t="inlineStr">
        <is>
          <t>Close timbering depth ≤1.5m (90 sqm face)</t>
        </is>
      </c>
      <c r="E265" s="28" t="inlineStr">
        <is>
          <t>90 sqm</t>
        </is>
      </c>
      <c r="F265" s="32" t="inlineStr">
        <is>
          <t>Material &amp; Consumables</t>
        </is>
      </c>
      <c r="G265" s="21" t="inlineStr">
        <is>
          <t>2204</t>
        </is>
      </c>
      <c r="H265" s="76" t="inlineStr">
        <is>
          <t>Carriage of timber (¼ of total)</t>
        </is>
      </c>
      <c r="I265" s="86" t="n">
        <v>1.3125</v>
      </c>
      <c r="J265" s="50" t="inlineStr">
        <is>
          <t>cum</t>
        </is>
      </c>
      <c r="K265" s="51" t="n">
        <v>118.59</v>
      </c>
      <c r="L265" s="84" t="n">
        <v>155.65</v>
      </c>
      <c r="M265" s="52" t="n">
        <v>1.8</v>
      </c>
      <c r="N265" s="32" t="inlineStr"/>
      <c r="O265" s="39" t="inlineStr">
        <is>
          <t>5.25 cum gross timber ÷ 4</t>
        </is>
      </c>
      <c r="P265" t="inlineStr">
        <is>
          <t>Timbering &amp; Shoring|All kinds of soil|Manual labor (depth ≤1.5m)|Close timbering depth ≤1.5m (90 sqm face)|4</t>
        </is>
      </c>
      <c r="Q265" t="n">
        <v>4</v>
      </c>
      <c r="R265" t="n">
        <v>90</v>
      </c>
      <c r="S265" t="inlineStr">
        <is>
          <t>sqm</t>
        </is>
      </c>
      <c r="T265" t="n">
        <v>129.95</v>
      </c>
      <c r="U265" t="inlineStr">
        <is>
          <t>Sal wood runners, open/close poling boards</t>
        </is>
      </c>
      <c r="V265" t="inlineStr">
        <is>
          <t>Lowering into trench &amp; positioning</t>
        </is>
      </c>
      <c r="W265" t="inlineStr">
        <is>
          <t>Strutting with adjustable screw jacks / timber</t>
        </is>
      </c>
      <c r="X265" t="inlineStr">
        <is>
          <t>None</t>
        </is>
      </c>
      <c r="Y265" t="inlineStr">
        <is>
          <t>Tight wedge wedging against trench sides</t>
        </is>
      </c>
    </row>
    <row r="266" ht="22" customHeight="1">
      <c r="A266" s="16" t="inlineStr">
        <is>
          <t>Timbering &amp; Shoring</t>
        </is>
      </c>
      <c r="B266" s="76" t="inlineStr">
        <is>
          <t>All kinds of soil</t>
        </is>
      </c>
      <c r="C266" s="76" t="inlineStr">
        <is>
          <t>Manual labor (depth ≤1.5m)</t>
        </is>
      </c>
      <c r="D266" s="76" t="inlineStr">
        <is>
          <t>Close timbering depth ≤1.5m (90 sqm face)</t>
        </is>
      </c>
      <c r="E266" s="28" t="inlineStr">
        <is>
          <t>90 sqm</t>
        </is>
      </c>
      <c r="F266" s="32" t="inlineStr">
        <is>
          <t>Labour (Skilled Tradesman)</t>
        </is>
      </c>
      <c r="G266" s="21" t="inlineStr">
        <is>
          <t>0112</t>
        </is>
      </c>
      <c r="H266" s="76" t="inlineStr">
        <is>
          <t>Carpenter 2nd class</t>
        </is>
      </c>
      <c r="I266" s="86" t="n">
        <v>0.5</v>
      </c>
      <c r="J266" s="50" t="inlineStr">
        <is>
          <t>day</t>
        </is>
      </c>
      <c r="K266" s="51" t="n">
        <v>679</v>
      </c>
      <c r="L266" s="84" t="n">
        <v>339.5</v>
      </c>
      <c r="M266" s="52" t="n">
        <v>3.9</v>
      </c>
      <c r="N266" s="87" t="n">
        <v>180</v>
      </c>
      <c r="O266" s="39" t="inlineStr"/>
      <c r="P266" t="inlineStr">
        <is>
          <t>Timbering &amp; Shoring|All kinds of soil|Manual labor (depth ≤1.5m)|Close timbering depth ≤1.5m (90 sqm face)|5</t>
        </is>
      </c>
      <c r="Q266" t="n">
        <v>5</v>
      </c>
      <c r="R266" t="n">
        <v>90</v>
      </c>
      <c r="S266" t="inlineStr">
        <is>
          <t>sqm</t>
        </is>
      </c>
      <c r="T266" t="n">
        <v>129.95</v>
      </c>
      <c r="U266" t="inlineStr">
        <is>
          <t>Sal wood runners, open/close poling boards</t>
        </is>
      </c>
      <c r="V266" t="inlineStr">
        <is>
          <t>Lowering into trench &amp; positioning</t>
        </is>
      </c>
      <c r="W266" t="inlineStr">
        <is>
          <t>Strutting with adjustable screw jacks / timber</t>
        </is>
      </c>
      <c r="X266" t="inlineStr">
        <is>
          <t>None</t>
        </is>
      </c>
      <c r="Y266" t="inlineStr">
        <is>
          <t>Tight wedge wedging against trench sides</t>
        </is>
      </c>
    </row>
    <row r="267" ht="22" customHeight="1">
      <c r="A267" s="16" t="inlineStr">
        <is>
          <t>Timbering &amp; Shoring</t>
        </is>
      </c>
      <c r="B267" s="76" t="inlineStr">
        <is>
          <t>All kinds of soil</t>
        </is>
      </c>
      <c r="C267" s="76" t="inlineStr">
        <is>
          <t>Manual labor (depth ≤1.5m)</t>
        </is>
      </c>
      <c r="D267" s="76" t="inlineStr">
        <is>
          <t>Close timbering depth ≤1.5m (90 sqm face)</t>
        </is>
      </c>
      <c r="E267" s="28" t="inlineStr">
        <is>
          <t>90 sqm</t>
        </is>
      </c>
      <c r="F267" s="32" t="inlineStr">
        <is>
          <t>Labour (Semi-Skilled / Operational)</t>
        </is>
      </c>
      <c r="G267" s="21" t="inlineStr">
        <is>
          <t>0114</t>
        </is>
      </c>
      <c r="H267" s="76" t="inlineStr">
        <is>
          <t>Beldar</t>
        </is>
      </c>
      <c r="I267" s="86" t="n">
        <v>1</v>
      </c>
      <c r="J267" s="50" t="inlineStr">
        <is>
          <t>day</t>
        </is>
      </c>
      <c r="K267" s="51" t="n">
        <v>558</v>
      </c>
      <c r="L267" s="84" t="n">
        <v>558</v>
      </c>
      <c r="M267" s="52" t="n">
        <v>6.4</v>
      </c>
      <c r="N267" s="87" t="n">
        <v>90</v>
      </c>
      <c r="O267" s="39" t="inlineStr"/>
      <c r="P267" t="inlineStr">
        <is>
          <t>Timbering &amp; Shoring|All kinds of soil|Manual labor (depth ≤1.5m)|Close timbering depth ≤1.5m (90 sqm face)|6</t>
        </is>
      </c>
      <c r="Q267" t="n">
        <v>6</v>
      </c>
      <c r="R267" t="n">
        <v>90</v>
      </c>
      <c r="S267" t="inlineStr">
        <is>
          <t>sqm</t>
        </is>
      </c>
      <c r="T267" t="n">
        <v>129.95</v>
      </c>
      <c r="U267" t="inlineStr">
        <is>
          <t>Sal wood runners, open/close poling boards</t>
        </is>
      </c>
      <c r="V267" t="inlineStr">
        <is>
          <t>Lowering into trench &amp; positioning</t>
        </is>
      </c>
      <c r="W267" t="inlineStr">
        <is>
          <t>Strutting with adjustable screw jacks / timber</t>
        </is>
      </c>
      <c r="X267" t="inlineStr">
        <is>
          <t>None</t>
        </is>
      </c>
      <c r="Y267" t="inlineStr">
        <is>
          <t>Tight wedge wedging against trench sides</t>
        </is>
      </c>
    </row>
    <row r="268" ht="22" customHeight="1">
      <c r="A268" s="16" t="inlineStr">
        <is>
          <t>Timbering &amp; Shoring</t>
        </is>
      </c>
      <c r="B268" s="76" t="inlineStr">
        <is>
          <t>All kinds of soil</t>
        </is>
      </c>
      <c r="C268" s="76" t="inlineStr">
        <is>
          <t>Manual labor (depth ≤1.5m)</t>
        </is>
      </c>
      <c r="D268" s="76" t="inlineStr">
        <is>
          <t>Close timbering depth ≤1.5m (90 sqm face)</t>
        </is>
      </c>
      <c r="E268" s="28" t="inlineStr">
        <is>
          <t>90 sqm</t>
        </is>
      </c>
      <c r="F268" s="32" t="inlineStr">
        <is>
          <t>Sundries &amp; Allowances</t>
        </is>
      </c>
      <c r="G268" s="21" t="inlineStr">
        <is>
          <t>9999</t>
        </is>
      </c>
      <c r="H268" s="76" t="inlineStr">
        <is>
          <t>Sundries</t>
        </is>
      </c>
      <c r="I268" s="86" t="n">
        <v>26.91</v>
      </c>
      <c r="J268" s="50" t="inlineStr">
        <is>
          <t>L.S.</t>
        </is>
      </c>
      <c r="K268" s="51" t="n">
        <v>2</v>
      </c>
      <c r="L268" s="84" t="n">
        <v>53.82</v>
      </c>
      <c r="M268" s="52" t="n">
        <v>0.6</v>
      </c>
      <c r="N268" s="32" t="inlineStr"/>
      <c r="O268" s="39" t="inlineStr"/>
      <c r="P268" t="inlineStr">
        <is>
          <t>Timbering &amp; Shoring|All kinds of soil|Manual labor (depth ≤1.5m)|Close timbering depth ≤1.5m (90 sqm face)|7</t>
        </is>
      </c>
      <c r="Q268" t="n">
        <v>7</v>
      </c>
      <c r="R268" t="n">
        <v>90</v>
      </c>
      <c r="S268" t="inlineStr">
        <is>
          <t>sqm</t>
        </is>
      </c>
      <c r="T268" t="n">
        <v>129.95</v>
      </c>
      <c r="U268" t="inlineStr">
        <is>
          <t>Sal wood runners, open/close poling boards</t>
        </is>
      </c>
      <c r="V268" t="inlineStr">
        <is>
          <t>Lowering into trench &amp; positioning</t>
        </is>
      </c>
      <c r="W268" t="inlineStr">
        <is>
          <t>Strutting with adjustable screw jacks / timber</t>
        </is>
      </c>
      <c r="X268" t="inlineStr">
        <is>
          <t>None</t>
        </is>
      </c>
      <c r="Y268" t="inlineStr">
        <is>
          <t>Tight wedge wedging against trench sides</t>
        </is>
      </c>
    </row>
    <row r="269" ht="22" customHeight="1">
      <c r="A269" s="16" t="inlineStr">
        <is>
          <t>Timbering &amp; Shoring</t>
        </is>
      </c>
      <c r="B269" s="76" t="inlineStr">
        <is>
          <t>All kinds of soil</t>
        </is>
      </c>
      <c r="C269" s="76" t="inlineStr">
        <is>
          <t>Extra depth &gt;1.5m to 3.0m</t>
        </is>
      </c>
      <c r="D269" s="76" t="inlineStr">
        <is>
          <t>Close timbering depth 1.5m-3.0m (90 sqm face)</t>
        </is>
      </c>
      <c r="E269" s="28" t="inlineStr">
        <is>
          <t>90 sqm</t>
        </is>
      </c>
      <c r="F269" s="32" t="inlineStr">
        <is>
          <t>Material &amp; Consumables</t>
        </is>
      </c>
      <c r="G269" s="21" t="inlineStr">
        <is>
          <t>1198</t>
        </is>
      </c>
      <c r="H269" s="76" t="inlineStr">
        <is>
          <t>2nd class kail wood in planks (net ¼ x ¼)</t>
        </is>
      </c>
      <c r="I269" s="86" t="n">
        <v>21.375</v>
      </c>
      <c r="J269" s="50" t="inlineStr">
        <is>
          <t>10cudm</t>
        </is>
      </c>
      <c r="K269" s="51" t="n">
        <v>260</v>
      </c>
      <c r="L269" s="84" t="n">
        <v>5557.5</v>
      </c>
      <c r="M269" s="52" t="n">
        <v>58.5</v>
      </c>
      <c r="N269" s="32" t="inlineStr"/>
      <c r="O269" s="39" t="inlineStr">
        <is>
          <t>Same timber; more labour for deeper trench</t>
        </is>
      </c>
      <c r="P269" t="inlineStr">
        <is>
          <t>Timbering &amp; Shoring|All kinds of soil|Extra depth &gt;1.5m to 3.0m|Close timbering depth 1.5m-3.0m (90 sqm face)|1</t>
        </is>
      </c>
      <c r="Q269" t="n">
        <v>1</v>
      </c>
      <c r="R269" t="n">
        <v>90</v>
      </c>
      <c r="S269" t="inlineStr">
        <is>
          <t>sqm</t>
        </is>
      </c>
      <c r="T269" t="n">
        <v>141.2</v>
      </c>
      <c r="U269" t="inlineStr">
        <is>
          <t>Sal wood runners, open/close poling boards</t>
        </is>
      </c>
      <c r="V269" t="inlineStr">
        <is>
          <t>Lowering into trench &amp; positioning</t>
        </is>
      </c>
      <c r="W269" t="inlineStr">
        <is>
          <t>Strutting with adjustable screw jacks / timber</t>
        </is>
      </c>
      <c r="X269" t="inlineStr">
        <is>
          <t>None</t>
        </is>
      </c>
      <c r="Y269" t="inlineStr">
        <is>
          <t>Tight wedge wedging against trench sides</t>
        </is>
      </c>
    </row>
    <row r="270" ht="22" customHeight="1">
      <c r="A270" s="16" t="inlineStr">
        <is>
          <t>Timbering &amp; Shoring</t>
        </is>
      </c>
      <c r="B270" s="76" t="inlineStr">
        <is>
          <t>All kinds of soil</t>
        </is>
      </c>
      <c r="C270" s="76" t="inlineStr">
        <is>
          <t>Extra depth &gt;1.5m to 3.0m</t>
        </is>
      </c>
      <c r="D270" s="76" t="inlineStr">
        <is>
          <t>Close timbering depth 1.5m-3.0m (90 sqm face)</t>
        </is>
      </c>
      <c r="E270" s="28" t="inlineStr">
        <is>
          <t>90 sqm</t>
        </is>
      </c>
      <c r="F270" s="32" t="inlineStr">
        <is>
          <t>Material &amp; Consumables</t>
        </is>
      </c>
      <c r="G270" s="21" t="inlineStr">
        <is>
          <t>1197</t>
        </is>
      </c>
      <c r="H270" s="76" t="inlineStr">
        <is>
          <t>2nd class kail wood in scantling (net ¼ x ¼)</t>
        </is>
      </c>
      <c r="I270" s="86" t="n">
        <v>7.5</v>
      </c>
      <c r="J270" s="50" t="inlineStr">
        <is>
          <t>10cudm</t>
        </is>
      </c>
      <c r="K270" s="51" t="n">
        <v>260</v>
      </c>
      <c r="L270" s="84" t="n">
        <v>1950</v>
      </c>
      <c r="M270" s="52" t="n">
        <v>20.5</v>
      </c>
      <c r="N270" s="32" t="inlineStr"/>
      <c r="O270" s="39" t="inlineStr"/>
      <c r="P270" t="inlineStr">
        <is>
          <t>Timbering &amp; Shoring|All kinds of soil|Extra depth &gt;1.5m to 3.0m|Close timbering depth 1.5m-3.0m (90 sqm face)|2</t>
        </is>
      </c>
      <c r="Q270" t="n">
        <v>2</v>
      </c>
      <c r="R270" t="n">
        <v>90</v>
      </c>
      <c r="S270" t="inlineStr">
        <is>
          <t>sqm</t>
        </is>
      </c>
      <c r="T270" t="n">
        <v>141.2</v>
      </c>
      <c r="U270" t="inlineStr">
        <is>
          <t>Sal wood runners, open/close poling boards</t>
        </is>
      </c>
      <c r="V270" t="inlineStr">
        <is>
          <t>Lowering into trench &amp; positioning</t>
        </is>
      </c>
      <c r="W270" t="inlineStr">
        <is>
          <t>Strutting with adjustable screw jacks / timber</t>
        </is>
      </c>
      <c r="X270" t="inlineStr">
        <is>
          <t>None</t>
        </is>
      </c>
      <c r="Y270" t="inlineStr">
        <is>
          <t>Tight wedge wedging against trench sides</t>
        </is>
      </c>
    </row>
    <row r="271" ht="22" customHeight="1">
      <c r="A271" s="16" t="inlineStr">
        <is>
          <t>Timbering &amp; Shoring</t>
        </is>
      </c>
      <c r="B271" s="76" t="inlineStr">
        <is>
          <t>All kinds of soil</t>
        </is>
      </c>
      <c r="C271" s="76" t="inlineStr">
        <is>
          <t>Extra depth &gt;1.5m to 3.0m</t>
        </is>
      </c>
      <c r="D271" s="76" t="inlineStr">
        <is>
          <t>Close timbering depth 1.5m-3.0m (90 sqm face)</t>
        </is>
      </c>
      <c r="E271" s="28" t="inlineStr">
        <is>
          <t>90 sqm</t>
        </is>
      </c>
      <c r="F271" s="32" t="inlineStr">
        <is>
          <t>Material &amp; Consumables</t>
        </is>
      </c>
      <c r="G271" s="21" t="inlineStr">
        <is>
          <t>0302</t>
        </is>
      </c>
      <c r="H271" s="76" t="inlineStr">
        <is>
          <t>Safeda ballies 125mm dia (net ¼)</t>
        </is>
      </c>
      <c r="I271" s="86" t="n">
        <v>3.1875</v>
      </c>
      <c r="J271" s="50" t="inlineStr">
        <is>
          <t>m</t>
        </is>
      </c>
      <c r="K271" s="51" t="n">
        <v>40</v>
      </c>
      <c r="L271" s="84" t="n">
        <v>127.5</v>
      </c>
      <c r="M271" s="52" t="n">
        <v>1.3</v>
      </c>
      <c r="N271" s="32" t="inlineStr"/>
      <c r="O271" s="39" t="inlineStr"/>
      <c r="P271" t="inlineStr">
        <is>
          <t>Timbering &amp; Shoring|All kinds of soil|Extra depth &gt;1.5m to 3.0m|Close timbering depth 1.5m-3.0m (90 sqm face)|3</t>
        </is>
      </c>
      <c r="Q271" t="n">
        <v>3</v>
      </c>
      <c r="R271" t="n">
        <v>90</v>
      </c>
      <c r="S271" t="inlineStr">
        <is>
          <t>sqm</t>
        </is>
      </c>
      <c r="T271" t="n">
        <v>141.2</v>
      </c>
      <c r="U271" t="inlineStr">
        <is>
          <t>Sal wood runners, open/close poling boards</t>
        </is>
      </c>
      <c r="V271" t="inlineStr">
        <is>
          <t>Lowering into trench &amp; positioning</t>
        </is>
      </c>
      <c r="W271" t="inlineStr">
        <is>
          <t>Strutting with adjustable screw jacks / timber</t>
        </is>
      </c>
      <c r="X271" t="inlineStr">
        <is>
          <t>None</t>
        </is>
      </c>
      <c r="Y271" t="inlineStr">
        <is>
          <t>Tight wedge wedging against trench sides</t>
        </is>
      </c>
    </row>
    <row r="272" ht="22" customHeight="1">
      <c r="A272" s="16" t="inlineStr">
        <is>
          <t>Timbering &amp; Shoring</t>
        </is>
      </c>
      <c r="B272" s="76" t="inlineStr">
        <is>
          <t>All kinds of soil</t>
        </is>
      </c>
      <c r="C272" s="76" t="inlineStr">
        <is>
          <t>Extra depth &gt;1.5m to 3.0m</t>
        </is>
      </c>
      <c r="D272" s="76" t="inlineStr">
        <is>
          <t>Close timbering depth 1.5m-3.0m (90 sqm face)</t>
        </is>
      </c>
      <c r="E272" s="28" t="inlineStr">
        <is>
          <t>90 sqm</t>
        </is>
      </c>
      <c r="F272" s="32" t="inlineStr">
        <is>
          <t>Material &amp; Consumables</t>
        </is>
      </c>
      <c r="G272" s="21" t="inlineStr">
        <is>
          <t>2204</t>
        </is>
      </c>
      <c r="H272" s="76" t="inlineStr">
        <is>
          <t>Carriage of timber (¼ of total)</t>
        </is>
      </c>
      <c r="I272" s="86" t="n">
        <v>1.3125</v>
      </c>
      <c r="J272" s="50" t="inlineStr">
        <is>
          <t>cum</t>
        </is>
      </c>
      <c r="K272" s="51" t="n">
        <v>118.59</v>
      </c>
      <c r="L272" s="84" t="n">
        <v>155.65</v>
      </c>
      <c r="M272" s="52" t="n">
        <v>1.6</v>
      </c>
      <c r="N272" s="32" t="inlineStr"/>
      <c r="O272" s="39" t="inlineStr"/>
      <c r="P272" t="inlineStr">
        <is>
          <t>Timbering &amp; Shoring|All kinds of soil|Extra depth &gt;1.5m to 3.0m|Close timbering depth 1.5m-3.0m (90 sqm face)|4</t>
        </is>
      </c>
      <c r="Q272" t="n">
        <v>4</v>
      </c>
      <c r="R272" t="n">
        <v>90</v>
      </c>
      <c r="S272" t="inlineStr">
        <is>
          <t>sqm</t>
        </is>
      </c>
      <c r="T272" t="n">
        <v>141.2</v>
      </c>
      <c r="U272" t="inlineStr">
        <is>
          <t>Sal wood runners, open/close poling boards</t>
        </is>
      </c>
      <c r="V272" t="inlineStr">
        <is>
          <t>Lowering into trench &amp; positioning</t>
        </is>
      </c>
      <c r="W272" t="inlineStr">
        <is>
          <t>Strutting with adjustable screw jacks / timber</t>
        </is>
      </c>
      <c r="X272" t="inlineStr">
        <is>
          <t>None</t>
        </is>
      </c>
      <c r="Y272" t="inlineStr">
        <is>
          <t>Tight wedge wedging against trench sides</t>
        </is>
      </c>
    </row>
    <row r="273" ht="22" customHeight="1">
      <c r="A273" s="16" t="inlineStr">
        <is>
          <t>Timbering &amp; Shoring</t>
        </is>
      </c>
      <c r="B273" s="76" t="inlineStr">
        <is>
          <t>All kinds of soil</t>
        </is>
      </c>
      <c r="C273" s="76" t="inlineStr">
        <is>
          <t>Extra depth &gt;1.5m to 3.0m</t>
        </is>
      </c>
      <c r="D273" s="76" t="inlineStr">
        <is>
          <t>Close timbering depth 1.5m-3.0m (90 sqm face)</t>
        </is>
      </c>
      <c r="E273" s="28" t="inlineStr">
        <is>
          <t>90 sqm</t>
        </is>
      </c>
      <c r="F273" s="32" t="inlineStr">
        <is>
          <t>Labour (Skilled Tradesman)</t>
        </is>
      </c>
      <c r="G273" s="21" t="inlineStr">
        <is>
          <t>0112</t>
        </is>
      </c>
      <c r="H273" s="76" t="inlineStr">
        <is>
          <t>Carpenter 2nd class</t>
        </is>
      </c>
      <c r="I273" s="86" t="n">
        <v>0.75</v>
      </c>
      <c r="J273" s="50" t="inlineStr">
        <is>
          <t>day</t>
        </is>
      </c>
      <c r="K273" s="51" t="n">
        <v>679</v>
      </c>
      <c r="L273" s="84" t="n">
        <v>509.25</v>
      </c>
      <c r="M273" s="52" t="n">
        <v>5.4</v>
      </c>
      <c r="N273" s="87" t="n">
        <v>120</v>
      </c>
      <c r="O273" s="39" t="inlineStr"/>
      <c r="P273" t="inlineStr">
        <is>
          <t>Timbering &amp; Shoring|All kinds of soil|Extra depth &gt;1.5m to 3.0m|Close timbering depth 1.5m-3.0m (90 sqm face)|5</t>
        </is>
      </c>
      <c r="Q273" t="n">
        <v>5</v>
      </c>
      <c r="R273" t="n">
        <v>90</v>
      </c>
      <c r="S273" t="inlineStr">
        <is>
          <t>sqm</t>
        </is>
      </c>
      <c r="T273" t="n">
        <v>141.2</v>
      </c>
      <c r="U273" t="inlineStr">
        <is>
          <t>Sal wood runners, open/close poling boards</t>
        </is>
      </c>
      <c r="V273" t="inlineStr">
        <is>
          <t>Lowering into trench &amp; positioning</t>
        </is>
      </c>
      <c r="W273" t="inlineStr">
        <is>
          <t>Strutting with adjustable screw jacks / timber</t>
        </is>
      </c>
      <c r="X273" t="inlineStr">
        <is>
          <t>None</t>
        </is>
      </c>
      <c r="Y273" t="inlineStr">
        <is>
          <t>Tight wedge wedging against trench sides</t>
        </is>
      </c>
    </row>
    <row r="274" ht="22" customHeight="1">
      <c r="A274" s="16" t="inlineStr">
        <is>
          <t>Timbering &amp; Shoring</t>
        </is>
      </c>
      <c r="B274" s="76" t="inlineStr">
        <is>
          <t>All kinds of soil</t>
        </is>
      </c>
      <c r="C274" s="76" t="inlineStr">
        <is>
          <t>Extra depth &gt;1.5m to 3.0m</t>
        </is>
      </c>
      <c r="D274" s="76" t="inlineStr">
        <is>
          <t>Close timbering depth 1.5m-3.0m (90 sqm face)</t>
        </is>
      </c>
      <c r="E274" s="28" t="inlineStr">
        <is>
          <t>90 sqm</t>
        </is>
      </c>
      <c r="F274" s="32" t="inlineStr">
        <is>
          <t>Labour (Semi-Skilled / Operational)</t>
        </is>
      </c>
      <c r="G274" s="21" t="inlineStr">
        <is>
          <t>0114</t>
        </is>
      </c>
      <c r="H274" s="76" t="inlineStr">
        <is>
          <t>Beldar</t>
        </is>
      </c>
      <c r="I274" s="86" t="n">
        <v>2</v>
      </c>
      <c r="J274" s="50" t="inlineStr">
        <is>
          <t>day</t>
        </is>
      </c>
      <c r="K274" s="51" t="n">
        <v>558</v>
      </c>
      <c r="L274" s="84" t="n">
        <v>1116</v>
      </c>
      <c r="M274" s="52" t="n">
        <v>11.8</v>
      </c>
      <c r="N274" s="87" t="n">
        <v>45</v>
      </c>
      <c r="O274" s="39" t="inlineStr"/>
      <c r="P274" t="inlineStr">
        <is>
          <t>Timbering &amp; Shoring|All kinds of soil|Extra depth &gt;1.5m to 3.0m|Close timbering depth 1.5m-3.0m (90 sqm face)|6</t>
        </is>
      </c>
      <c r="Q274" t="n">
        <v>6</v>
      </c>
      <c r="R274" t="n">
        <v>90</v>
      </c>
      <c r="S274" t="inlineStr">
        <is>
          <t>sqm</t>
        </is>
      </c>
      <c r="T274" t="n">
        <v>141.2</v>
      </c>
      <c r="U274" t="inlineStr">
        <is>
          <t>Sal wood runners, open/close poling boards</t>
        </is>
      </c>
      <c r="V274" t="inlineStr">
        <is>
          <t>Lowering into trench &amp; positioning</t>
        </is>
      </c>
      <c r="W274" t="inlineStr">
        <is>
          <t>Strutting with adjustable screw jacks / timber</t>
        </is>
      </c>
      <c r="X274" t="inlineStr">
        <is>
          <t>None</t>
        </is>
      </c>
      <c r="Y274" t="inlineStr">
        <is>
          <t>Tight wedge wedging against trench sides</t>
        </is>
      </c>
    </row>
    <row r="275" ht="22" customHeight="1">
      <c r="A275" s="16" t="inlineStr">
        <is>
          <t>Timbering &amp; Shoring</t>
        </is>
      </c>
      <c r="B275" s="76" t="inlineStr">
        <is>
          <t>All kinds of soil</t>
        </is>
      </c>
      <c r="C275" s="76" t="inlineStr">
        <is>
          <t>Extra depth &gt;1.5m to 3.0m</t>
        </is>
      </c>
      <c r="D275" s="76" t="inlineStr">
        <is>
          <t>Close timbering depth 1.5m-3.0m (90 sqm face)</t>
        </is>
      </c>
      <c r="E275" s="28" t="inlineStr">
        <is>
          <t>90 sqm</t>
        </is>
      </c>
      <c r="F275" s="32" t="inlineStr">
        <is>
          <t>Sundries &amp; Allowances</t>
        </is>
      </c>
      <c r="G275" s="21" t="inlineStr">
        <is>
          <t>9999</t>
        </is>
      </c>
      <c r="H275" s="76" t="inlineStr">
        <is>
          <t>Sundries</t>
        </is>
      </c>
      <c r="I275" s="86" t="n">
        <v>40.43</v>
      </c>
      <c r="J275" s="50" t="inlineStr">
        <is>
          <t>L.S.</t>
        </is>
      </c>
      <c r="K275" s="51" t="n">
        <v>2</v>
      </c>
      <c r="L275" s="84" t="n">
        <v>80.86</v>
      </c>
      <c r="M275" s="52" t="n">
        <v>0.9</v>
      </c>
      <c r="N275" s="32" t="inlineStr"/>
      <c r="O275" s="39" t="inlineStr"/>
      <c r="P275" t="inlineStr">
        <is>
          <t>Timbering &amp; Shoring|All kinds of soil|Extra depth &gt;1.5m to 3.0m|Close timbering depth 1.5m-3.0m (90 sqm face)|7</t>
        </is>
      </c>
      <c r="Q275" t="n">
        <v>7</v>
      </c>
      <c r="R275" t="n">
        <v>90</v>
      </c>
      <c r="S275" t="inlineStr">
        <is>
          <t>sqm</t>
        </is>
      </c>
      <c r="T275" t="n">
        <v>141.2</v>
      </c>
      <c r="U275" t="inlineStr">
        <is>
          <t>Sal wood runners, open/close poling boards</t>
        </is>
      </c>
      <c r="V275" t="inlineStr">
        <is>
          <t>Lowering into trench &amp; positioning</t>
        </is>
      </c>
      <c r="W275" t="inlineStr">
        <is>
          <t>Strutting with adjustable screw jacks / timber</t>
        </is>
      </c>
      <c r="X275" t="inlineStr">
        <is>
          <t>None</t>
        </is>
      </c>
      <c r="Y275" t="inlineStr">
        <is>
          <t>Tight wedge wedging against trench sides</t>
        </is>
      </c>
    </row>
    <row r="276" ht="22" customHeight="1">
      <c r="A276" s="16" t="inlineStr">
        <is>
          <t>Timbering &amp; Shoring</t>
        </is>
      </c>
      <c r="B276" s="76" t="inlineStr">
        <is>
          <t>All kinds of soil</t>
        </is>
      </c>
      <c r="C276" s="76" t="inlineStr">
        <is>
          <t>Extra depth &gt;3.0m to 4.5m</t>
        </is>
      </c>
      <c r="D276" s="76" t="inlineStr">
        <is>
          <t>Close timbering depth 3.0m-4.5m (90 sqm face)</t>
        </is>
      </c>
      <c r="E276" s="28" t="inlineStr">
        <is>
          <t>90 sqm</t>
        </is>
      </c>
      <c r="F276" s="32" t="inlineStr">
        <is>
          <t>Material &amp; Consumables</t>
        </is>
      </c>
      <c r="G276" s="21" t="inlineStr">
        <is>
          <t>1198</t>
        </is>
      </c>
      <c r="H276" s="76" t="inlineStr">
        <is>
          <t>2nd class kail wood in planks (net ¼ x ¼)</t>
        </is>
      </c>
      <c r="I276" s="86" t="n">
        <v>21.375</v>
      </c>
      <c r="J276" s="50" t="inlineStr">
        <is>
          <t>10cudm</t>
        </is>
      </c>
      <c r="K276" s="51" t="n">
        <v>260</v>
      </c>
      <c r="L276" s="84" t="n">
        <v>5557.5</v>
      </c>
      <c r="M276" s="52" t="n">
        <v>49.6</v>
      </c>
      <c r="N276" s="32" t="inlineStr"/>
      <c r="O276" s="39" t="inlineStr"/>
      <c r="P276" t="inlineStr">
        <is>
          <t>Timbering &amp; Shoring|All kinds of soil|Extra depth &gt;3.0m to 4.5m|Close timbering depth 3.0m-4.5m (90 sqm face)|1</t>
        </is>
      </c>
      <c r="Q276" t="n">
        <v>1</v>
      </c>
      <c r="R276" t="n">
        <v>90</v>
      </c>
      <c r="S276" t="inlineStr">
        <is>
          <t>sqm</t>
        </is>
      </c>
      <c r="T276" t="n">
        <v>166.55</v>
      </c>
      <c r="U276" t="inlineStr">
        <is>
          <t>Sal wood runners, open/close poling boards</t>
        </is>
      </c>
      <c r="V276" t="inlineStr">
        <is>
          <t>Lowering into trench &amp; positioning</t>
        </is>
      </c>
      <c r="W276" t="inlineStr">
        <is>
          <t>Strutting with adjustable screw jacks / timber</t>
        </is>
      </c>
      <c r="X276" t="inlineStr">
        <is>
          <t>None</t>
        </is>
      </c>
      <c r="Y276" t="inlineStr">
        <is>
          <t>Tight wedge wedging against trench sides</t>
        </is>
      </c>
    </row>
    <row r="277" ht="22" customHeight="1">
      <c r="A277" s="16" t="inlineStr">
        <is>
          <t>Timbering &amp; Shoring</t>
        </is>
      </c>
      <c r="B277" s="76" t="inlineStr">
        <is>
          <t>All kinds of soil</t>
        </is>
      </c>
      <c r="C277" s="76" t="inlineStr">
        <is>
          <t>Extra depth &gt;3.0m to 4.5m</t>
        </is>
      </c>
      <c r="D277" s="76" t="inlineStr">
        <is>
          <t>Close timbering depth 3.0m-4.5m (90 sqm face)</t>
        </is>
      </c>
      <c r="E277" s="28" t="inlineStr">
        <is>
          <t>90 sqm</t>
        </is>
      </c>
      <c r="F277" s="32" t="inlineStr">
        <is>
          <t>Material &amp; Consumables</t>
        </is>
      </c>
      <c r="G277" s="21" t="inlineStr">
        <is>
          <t>1197</t>
        </is>
      </c>
      <c r="H277" s="76" t="inlineStr">
        <is>
          <t>2nd class kail wood in scantling (net ¼ x ¼)</t>
        </is>
      </c>
      <c r="I277" s="86" t="n">
        <v>7.5</v>
      </c>
      <c r="J277" s="50" t="inlineStr">
        <is>
          <t>10cudm</t>
        </is>
      </c>
      <c r="K277" s="51" t="n">
        <v>260</v>
      </c>
      <c r="L277" s="84" t="n">
        <v>1950</v>
      </c>
      <c r="M277" s="52" t="n">
        <v>17.4</v>
      </c>
      <c r="N277" s="32" t="inlineStr"/>
      <c r="O277" s="39" t="inlineStr"/>
      <c r="P277" t="inlineStr">
        <is>
          <t>Timbering &amp; Shoring|All kinds of soil|Extra depth &gt;3.0m to 4.5m|Close timbering depth 3.0m-4.5m (90 sqm face)|2</t>
        </is>
      </c>
      <c r="Q277" t="n">
        <v>2</v>
      </c>
      <c r="R277" t="n">
        <v>90</v>
      </c>
      <c r="S277" t="inlineStr">
        <is>
          <t>sqm</t>
        </is>
      </c>
      <c r="T277" t="n">
        <v>166.55</v>
      </c>
      <c r="U277" t="inlineStr">
        <is>
          <t>Sal wood runners, open/close poling boards</t>
        </is>
      </c>
      <c r="V277" t="inlineStr">
        <is>
          <t>Lowering into trench &amp; positioning</t>
        </is>
      </c>
      <c r="W277" t="inlineStr">
        <is>
          <t>Strutting with adjustable screw jacks / timber</t>
        </is>
      </c>
      <c r="X277" t="inlineStr">
        <is>
          <t>None</t>
        </is>
      </c>
      <c r="Y277" t="inlineStr">
        <is>
          <t>Tight wedge wedging against trench sides</t>
        </is>
      </c>
    </row>
    <row r="278" ht="22" customHeight="1">
      <c r="A278" s="16" t="inlineStr">
        <is>
          <t>Timbering &amp; Shoring</t>
        </is>
      </c>
      <c r="B278" s="76" t="inlineStr">
        <is>
          <t>All kinds of soil</t>
        </is>
      </c>
      <c r="C278" s="76" t="inlineStr">
        <is>
          <t>Extra depth &gt;3.0m to 4.5m</t>
        </is>
      </c>
      <c r="D278" s="76" t="inlineStr">
        <is>
          <t>Close timbering depth 3.0m-4.5m (90 sqm face)</t>
        </is>
      </c>
      <c r="E278" s="28" t="inlineStr">
        <is>
          <t>90 sqm</t>
        </is>
      </c>
      <c r="F278" s="32" t="inlineStr">
        <is>
          <t>Material &amp; Consumables</t>
        </is>
      </c>
      <c r="G278" s="21" t="inlineStr">
        <is>
          <t>0302</t>
        </is>
      </c>
      <c r="H278" s="76" t="inlineStr">
        <is>
          <t>Safeda ballies 125mm dia (net ¼)</t>
        </is>
      </c>
      <c r="I278" s="86" t="n">
        <v>3.1875</v>
      </c>
      <c r="J278" s="50" t="inlineStr">
        <is>
          <t>m</t>
        </is>
      </c>
      <c r="K278" s="51" t="n">
        <v>40</v>
      </c>
      <c r="L278" s="84" t="n">
        <v>127.5</v>
      </c>
      <c r="M278" s="52" t="n">
        <v>1.1</v>
      </c>
      <c r="N278" s="32" t="inlineStr"/>
      <c r="O278" s="39" t="inlineStr"/>
      <c r="P278" t="inlineStr">
        <is>
          <t>Timbering &amp; Shoring|All kinds of soil|Extra depth &gt;3.0m to 4.5m|Close timbering depth 3.0m-4.5m (90 sqm face)|3</t>
        </is>
      </c>
      <c r="Q278" t="n">
        <v>3</v>
      </c>
      <c r="R278" t="n">
        <v>90</v>
      </c>
      <c r="S278" t="inlineStr">
        <is>
          <t>sqm</t>
        </is>
      </c>
      <c r="T278" t="n">
        <v>166.55</v>
      </c>
      <c r="U278" t="inlineStr">
        <is>
          <t>Sal wood runners, open/close poling boards</t>
        </is>
      </c>
      <c r="V278" t="inlineStr">
        <is>
          <t>Lowering into trench &amp; positioning</t>
        </is>
      </c>
      <c r="W278" t="inlineStr">
        <is>
          <t>Strutting with adjustable screw jacks / timber</t>
        </is>
      </c>
      <c r="X278" t="inlineStr">
        <is>
          <t>None</t>
        </is>
      </c>
      <c r="Y278" t="inlineStr">
        <is>
          <t>Tight wedge wedging against trench sides</t>
        </is>
      </c>
    </row>
    <row r="279" ht="22" customHeight="1">
      <c r="A279" s="16" t="inlineStr">
        <is>
          <t>Timbering &amp; Shoring</t>
        </is>
      </c>
      <c r="B279" s="76" t="inlineStr">
        <is>
          <t>All kinds of soil</t>
        </is>
      </c>
      <c r="C279" s="76" t="inlineStr">
        <is>
          <t>Extra depth &gt;3.0m to 4.5m</t>
        </is>
      </c>
      <c r="D279" s="76" t="inlineStr">
        <is>
          <t>Close timbering depth 3.0m-4.5m (90 sqm face)</t>
        </is>
      </c>
      <c r="E279" s="28" t="inlineStr">
        <is>
          <t>90 sqm</t>
        </is>
      </c>
      <c r="F279" s="32" t="inlineStr">
        <is>
          <t>Material &amp; Consumables</t>
        </is>
      </c>
      <c r="G279" s="21" t="inlineStr">
        <is>
          <t>2204</t>
        </is>
      </c>
      <c r="H279" s="76" t="inlineStr">
        <is>
          <t>Carriage of timber (¼ of total)</t>
        </is>
      </c>
      <c r="I279" s="86" t="n">
        <v>1.3125</v>
      </c>
      <c r="J279" s="50" t="inlineStr">
        <is>
          <t>cum</t>
        </is>
      </c>
      <c r="K279" s="51" t="n">
        <v>118.59</v>
      </c>
      <c r="L279" s="84" t="n">
        <v>155.65</v>
      </c>
      <c r="M279" s="52" t="n">
        <v>1.4</v>
      </c>
      <c r="N279" s="32" t="inlineStr"/>
      <c r="O279" s="39" t="inlineStr"/>
      <c r="P279" t="inlineStr">
        <is>
          <t>Timbering &amp; Shoring|All kinds of soil|Extra depth &gt;3.0m to 4.5m|Close timbering depth 3.0m-4.5m (90 sqm face)|4</t>
        </is>
      </c>
      <c r="Q279" t="n">
        <v>4</v>
      </c>
      <c r="R279" t="n">
        <v>90</v>
      </c>
      <c r="S279" t="inlineStr">
        <is>
          <t>sqm</t>
        </is>
      </c>
      <c r="T279" t="n">
        <v>166.55</v>
      </c>
      <c r="U279" t="inlineStr">
        <is>
          <t>Sal wood runners, open/close poling boards</t>
        </is>
      </c>
      <c r="V279" t="inlineStr">
        <is>
          <t>Lowering into trench &amp; positioning</t>
        </is>
      </c>
      <c r="W279" t="inlineStr">
        <is>
          <t>Strutting with adjustable screw jacks / timber</t>
        </is>
      </c>
      <c r="X279" t="inlineStr">
        <is>
          <t>None</t>
        </is>
      </c>
      <c r="Y279" t="inlineStr">
        <is>
          <t>Tight wedge wedging against trench sides</t>
        </is>
      </c>
    </row>
    <row r="280" ht="22" customHeight="1">
      <c r="A280" s="16" t="inlineStr">
        <is>
          <t>Timbering &amp; Shoring</t>
        </is>
      </c>
      <c r="B280" s="76" t="inlineStr">
        <is>
          <t>All kinds of soil</t>
        </is>
      </c>
      <c r="C280" s="76" t="inlineStr">
        <is>
          <t>Extra depth &gt;3.0m to 4.5m</t>
        </is>
      </c>
      <c r="D280" s="76" t="inlineStr">
        <is>
          <t>Close timbering depth 3.0m-4.5m (90 sqm face)</t>
        </is>
      </c>
      <c r="E280" s="28" t="inlineStr">
        <is>
          <t>90 sqm</t>
        </is>
      </c>
      <c r="F280" s="32" t="inlineStr">
        <is>
          <t>Labour (Skilled Tradesman)</t>
        </is>
      </c>
      <c r="G280" s="21" t="inlineStr">
        <is>
          <t>0112</t>
        </is>
      </c>
      <c r="H280" s="76" t="inlineStr">
        <is>
          <t>Carpenter 2nd class</t>
        </is>
      </c>
      <c r="I280" s="86" t="n">
        <v>1.5</v>
      </c>
      <c r="J280" s="50" t="inlineStr">
        <is>
          <t>day</t>
        </is>
      </c>
      <c r="K280" s="51" t="n">
        <v>679</v>
      </c>
      <c r="L280" s="84" t="n">
        <v>1018.5</v>
      </c>
      <c r="M280" s="52" t="n">
        <v>9.1</v>
      </c>
      <c r="N280" s="87" t="n">
        <v>60</v>
      </c>
      <c r="O280" s="39" t="inlineStr"/>
      <c r="P280" t="inlineStr">
        <is>
          <t>Timbering &amp; Shoring|All kinds of soil|Extra depth &gt;3.0m to 4.5m|Close timbering depth 3.0m-4.5m (90 sqm face)|5</t>
        </is>
      </c>
      <c r="Q280" t="n">
        <v>5</v>
      </c>
      <c r="R280" t="n">
        <v>90</v>
      </c>
      <c r="S280" t="inlineStr">
        <is>
          <t>sqm</t>
        </is>
      </c>
      <c r="T280" t="n">
        <v>166.55</v>
      </c>
      <c r="U280" t="inlineStr">
        <is>
          <t>Sal wood runners, open/close poling boards</t>
        </is>
      </c>
      <c r="V280" t="inlineStr">
        <is>
          <t>Lowering into trench &amp; positioning</t>
        </is>
      </c>
      <c r="W280" t="inlineStr">
        <is>
          <t>Strutting with adjustable screw jacks / timber</t>
        </is>
      </c>
      <c r="X280" t="inlineStr">
        <is>
          <t>None</t>
        </is>
      </c>
      <c r="Y280" t="inlineStr">
        <is>
          <t>Tight wedge wedging against trench sides</t>
        </is>
      </c>
    </row>
    <row r="281" ht="22" customHeight="1">
      <c r="A281" s="16" t="inlineStr">
        <is>
          <t>Timbering &amp; Shoring</t>
        </is>
      </c>
      <c r="B281" s="76" t="inlineStr">
        <is>
          <t>All kinds of soil</t>
        </is>
      </c>
      <c r="C281" s="76" t="inlineStr">
        <is>
          <t>Extra depth &gt;3.0m to 4.5m</t>
        </is>
      </c>
      <c r="D281" s="76" t="inlineStr">
        <is>
          <t>Close timbering depth 3.0m-4.5m (90 sqm face)</t>
        </is>
      </c>
      <c r="E281" s="28" t="inlineStr">
        <is>
          <t>90 sqm</t>
        </is>
      </c>
      <c r="F281" s="32" t="inlineStr">
        <is>
          <t>Labour (Semi-Skilled / Operational)</t>
        </is>
      </c>
      <c r="G281" s="21" t="inlineStr">
        <is>
          <t>0114</t>
        </is>
      </c>
      <c r="H281" s="76" t="inlineStr">
        <is>
          <t>Beldar</t>
        </is>
      </c>
      <c r="I281" s="86" t="n">
        <v>4</v>
      </c>
      <c r="J281" s="50" t="inlineStr">
        <is>
          <t>day</t>
        </is>
      </c>
      <c r="K281" s="51" t="n">
        <v>558</v>
      </c>
      <c r="L281" s="84" t="n">
        <v>2232</v>
      </c>
      <c r="M281" s="52" t="n">
        <v>19.9</v>
      </c>
      <c r="N281" s="87" t="n">
        <v>22.5</v>
      </c>
      <c r="O281" s="39" t="inlineStr"/>
      <c r="P281" t="inlineStr">
        <is>
          <t>Timbering &amp; Shoring|All kinds of soil|Extra depth &gt;3.0m to 4.5m|Close timbering depth 3.0m-4.5m (90 sqm face)|6</t>
        </is>
      </c>
      <c r="Q281" t="n">
        <v>6</v>
      </c>
      <c r="R281" t="n">
        <v>90</v>
      </c>
      <c r="S281" t="inlineStr">
        <is>
          <t>sqm</t>
        </is>
      </c>
      <c r="T281" t="n">
        <v>166.55</v>
      </c>
      <c r="U281" t="inlineStr">
        <is>
          <t>Sal wood runners, open/close poling boards</t>
        </is>
      </c>
      <c r="V281" t="inlineStr">
        <is>
          <t>Lowering into trench &amp; positioning</t>
        </is>
      </c>
      <c r="W281" t="inlineStr">
        <is>
          <t>Strutting with adjustable screw jacks / timber</t>
        </is>
      </c>
      <c r="X281" t="inlineStr">
        <is>
          <t>None</t>
        </is>
      </c>
      <c r="Y281" t="inlineStr">
        <is>
          <t>Tight wedge wedging against trench sides</t>
        </is>
      </c>
    </row>
    <row r="282" ht="22" customHeight="1">
      <c r="A282" s="16" t="inlineStr">
        <is>
          <t>Timbering &amp; Shoring</t>
        </is>
      </c>
      <c r="B282" s="76" t="inlineStr">
        <is>
          <t>All kinds of soil</t>
        </is>
      </c>
      <c r="C282" s="76" t="inlineStr">
        <is>
          <t>Extra depth &gt;3.0m to 4.5m</t>
        </is>
      </c>
      <c r="D282" s="76" t="inlineStr">
        <is>
          <t>Close timbering depth 3.0m-4.5m (90 sqm face)</t>
        </is>
      </c>
      <c r="E282" s="28" t="inlineStr">
        <is>
          <t>90 sqm</t>
        </is>
      </c>
      <c r="F282" s="32" t="inlineStr">
        <is>
          <t>Sundries &amp; Allowances</t>
        </is>
      </c>
      <c r="G282" s="21" t="inlineStr">
        <is>
          <t>9999</t>
        </is>
      </c>
      <c r="H282" s="76" t="inlineStr">
        <is>
          <t>Sundries</t>
        </is>
      </c>
      <c r="I282" s="86" t="n">
        <v>80.73</v>
      </c>
      <c r="J282" s="50" t="inlineStr">
        <is>
          <t>L.S.</t>
        </is>
      </c>
      <c r="K282" s="51" t="n">
        <v>2</v>
      </c>
      <c r="L282" s="84" t="n">
        <v>161.46</v>
      </c>
      <c r="M282" s="52" t="n">
        <v>1.4</v>
      </c>
      <c r="N282" s="32" t="inlineStr"/>
      <c r="O282" s="39" t="inlineStr"/>
      <c r="P282" t="inlineStr">
        <is>
          <t>Timbering &amp; Shoring|All kinds of soil|Extra depth &gt;3.0m to 4.5m|Close timbering depth 3.0m-4.5m (90 sqm face)|7</t>
        </is>
      </c>
      <c r="Q282" t="n">
        <v>7</v>
      </c>
      <c r="R282" t="n">
        <v>90</v>
      </c>
      <c r="S282" t="inlineStr">
        <is>
          <t>sqm</t>
        </is>
      </c>
      <c r="T282" t="n">
        <v>166.55</v>
      </c>
      <c r="U282" t="inlineStr">
        <is>
          <t>Sal wood runners, open/close poling boards</t>
        </is>
      </c>
      <c r="V282" t="inlineStr">
        <is>
          <t>Lowering into trench &amp; positioning</t>
        </is>
      </c>
      <c r="W282" t="inlineStr">
        <is>
          <t>Strutting with adjustable screw jacks / timber</t>
        </is>
      </c>
      <c r="X282" t="inlineStr">
        <is>
          <t>None</t>
        </is>
      </c>
      <c r="Y282" t="inlineStr">
        <is>
          <t>Tight wedge wedging against trench sides</t>
        </is>
      </c>
    </row>
  </sheetData>
  <mergeCells count="73">
    <mergeCell ref="G7:O7"/>
    <mergeCell ref="A25:O25"/>
    <mergeCell ref="J53:O53"/>
    <mergeCell ref="K92:O92"/>
    <mergeCell ref="G10:O10"/>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K99:O99"/>
    <mergeCell ref="E19:O19"/>
    <mergeCell ref="K100:O100"/>
    <mergeCell ref="E22:O22"/>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A9:C9"/>
    <mergeCell ref="A102:O102"/>
    <mergeCell ref="G9:O9"/>
    <mergeCell ref="J48:O48"/>
    <mergeCell ref="K98:O98"/>
    <mergeCell ref="A15:C15"/>
    <mergeCell ref="A41:G41"/>
    <mergeCell ref="G12:O12"/>
    <mergeCell ref="K97:O97"/>
    <mergeCell ref="A11:C11"/>
    <mergeCell ref="G11:O11"/>
    <mergeCell ref="J57:O57"/>
    <mergeCell ref="A60:O60"/>
    <mergeCell ref="A6:C6"/>
    <mergeCell ref="A1:I1"/>
    <mergeCell ref="A103:O103"/>
    <mergeCell ref="A61:O61"/>
    <mergeCell ref="A7:C7"/>
    <mergeCell ref="K93:O93"/>
    <mergeCell ref="G8:O8"/>
    <mergeCell ref="A42:G42"/>
    <mergeCell ref="E18:O18"/>
  </mergeCells>
  <dataValidations count="5">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D9" showDropDown="0" showInputMessage="0" showErrorMessage="0" allowBlank="1" type="list">
      <formula1>='02_Earth_Work'!$AL$105:$AL$150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2026-09-09T21:59:08Z</dcterms:created>
  <dcterms:modified xsi:type="dcterms:W3CDTF">2026-09-09T22:02:24Z</dcterms:modified>
</cp:coreProperties>
</file>