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t="n">
        <v>1</v>
      </c>
      <c r="C27" s="31" t="n">
        <v>1</v>
      </c>
      <c r="D27" s="32" t="n">
        <v>1</v>
      </c>
      <c r="E27" s="18" t="n">
        <v>1</v>
      </c>
      <c r="F27" s="33">
        <f>IF(B27="","", IF(B27="0101", IF($D$22="NO", 0, IF(AND(ISNUMBER(K27), K27&gt;0), ROUND(D$10/K27, 5), IFERROR(INDEX($I$105:$I$282, MATCH($D$6&amp;"|"&amp;$D$7&amp;"|"&amp;$D$8&amp;"|"&amp;$D$9&amp;"|"&amp;1, $P$105:$P$282, 0)), 0))), IF(OR(B27="0003", B27="0011", B27="0113"), IF($D$23="NO", 0, IF(AND(ISNUMBER(K27), K27&gt;0), ROUND(D$10/K27, 5), IFERROR(INDEX($I$105:$I$282, MATCH($D$6&amp;"|"&amp;$D$7&amp;"|"&amp;$D$8&amp;"|"&amp;$D$9&amp;"|"&amp;1, $P$105:$P$282, 0)), 0))), IF(AND(ISNUMBER(K27), K27&gt;0), ROUND(D$10/K27, 5), IFERROR(INDEX($I$105:$I$282, MATCH($D$6&amp;"|"&amp;$D$7&amp;"|"&amp;$D$8&amp;"|"&amp;$D$9&amp;"|"&amp;1, $P$105:$P$282, 0)), 0)))))</f>
        <v/>
      </c>
      <c r="G27" s="34" t="n">
        <v>1</v>
      </c>
      <c r="H27" s="35" t="n">
        <v>1</v>
      </c>
      <c r="I27" s="21" t="n">
        <v>1</v>
      </c>
      <c r="J27" s="36" t="n">
        <v>1</v>
      </c>
      <c r="K27" s="37" t="n">
        <v>1</v>
      </c>
      <c r="L27" s="38" t="n">
        <v>1</v>
      </c>
      <c r="M27" s="37" t="n">
        <v>1</v>
      </c>
      <c r="N27" s="39" t="n">
        <v>1</v>
      </c>
      <c r="O27" s="39" t="n">
        <v>1</v>
      </c>
    </row>
    <row r="28" ht="22" customHeight="1">
      <c r="A28" s="28" t="n">
        <v>2</v>
      </c>
      <c r="B28" s="21" t="n">
        <v>1</v>
      </c>
      <c r="C28" s="31" t="n">
        <v>1</v>
      </c>
      <c r="D28" s="32" t="n">
        <v>1</v>
      </c>
      <c r="E28" s="18" t="n">
        <v>1</v>
      </c>
      <c r="F28" s="33">
        <f>IF(B28="","", IF(B28="0101", IF($D$22="NO", 0, IF(AND(ISNUMBER(K28), K28&gt;0), ROUND(D$10/K28, 5), IFERROR(INDEX($I$105:$I$282, MATCH($D$6&amp;"|"&amp;$D$7&amp;"|"&amp;$D$8&amp;"|"&amp;$D$9&amp;"|"&amp;2, $P$105:$P$282, 0)), 0))), IF(OR(B28="0003", B28="0011", B28="0113"), IF($D$23="NO", 0, IF(AND(ISNUMBER(K28), K28&gt;0), ROUND(D$10/K28, 5), IFERROR(INDEX($I$105:$I$282, MATCH($D$6&amp;"|"&amp;$D$7&amp;"|"&amp;$D$8&amp;"|"&amp;$D$9&amp;"|"&amp;2, $P$105:$P$282, 0)), 0))), IF(AND(ISNUMBER(K28), K28&gt;0), ROUND(D$10/K28, 5), IFERROR(INDEX($I$105:$I$282, MATCH($D$6&amp;"|"&amp;$D$7&amp;"|"&amp;$D$8&amp;"|"&amp;$D$9&amp;"|"&amp;2, $P$105:$P$282, 0)), 0)))))</f>
        <v/>
      </c>
      <c r="G28" s="34" t="n">
        <v>1</v>
      </c>
      <c r="H28" s="35" t="n">
        <v>1</v>
      </c>
      <c r="I28" s="21" t="n">
        <v>1</v>
      </c>
      <c r="J28" s="36" t="n">
        <v>1</v>
      </c>
      <c r="K28" s="37" t="n">
        <v>1</v>
      </c>
      <c r="L28" s="38" t="n">
        <v>1</v>
      </c>
      <c r="M28" s="37" t="n">
        <v>1</v>
      </c>
      <c r="N28" s="39" t="n">
        <v>1</v>
      </c>
      <c r="O28" s="39" t="n">
        <v>1</v>
      </c>
    </row>
    <row r="29" ht="22" customHeight="1">
      <c r="A29" s="28" t="n">
        <v>3</v>
      </c>
      <c r="B29" s="21" t="n">
        <v>1</v>
      </c>
      <c r="C29" s="31" t="n">
        <v>1</v>
      </c>
      <c r="D29" s="32" t="n">
        <v>1</v>
      </c>
      <c r="E29" s="18" t="n">
        <v>1</v>
      </c>
      <c r="F29" s="33">
        <f>IF(B29="","", IF(B29="0101", IF($D$22="NO", 0, IF(AND(ISNUMBER(K29), K29&gt;0), ROUND(D$10/K29, 5), IFERROR(INDEX($I$105:$I$282, MATCH($D$6&amp;"|"&amp;$D$7&amp;"|"&amp;$D$8&amp;"|"&amp;$D$9&amp;"|"&amp;3, $P$105:$P$282, 0)), 0))), IF(OR(B29="0003", B29="0011", B29="0113"), IF($D$23="NO", 0, IF(AND(ISNUMBER(K29), K29&gt;0), ROUND(D$10/K29, 5), IFERROR(INDEX($I$105:$I$282, MATCH($D$6&amp;"|"&amp;$D$7&amp;"|"&amp;$D$8&amp;"|"&amp;$D$9&amp;"|"&amp;3, $P$105:$P$282, 0)), 0))), IF(AND(ISNUMBER(K29), K29&gt;0), ROUND(D$10/K29, 5), IFERROR(INDEX($I$105:$I$282, MATCH($D$6&amp;"|"&amp;$D$7&amp;"|"&amp;$D$8&amp;"|"&amp;$D$9&amp;"|"&amp;3, $P$105:$P$282, 0)), 0)))))</f>
        <v/>
      </c>
      <c r="G29" s="34" t="n">
        <v>1</v>
      </c>
      <c r="H29" s="35" t="n">
        <v>1</v>
      </c>
      <c r="I29" s="21" t="n">
        <v>1</v>
      </c>
      <c r="J29" s="36" t="n">
        <v>1</v>
      </c>
      <c r="K29" s="37" t="n">
        <v>1</v>
      </c>
      <c r="L29" s="38" t="n">
        <v>1</v>
      </c>
      <c r="M29" s="37" t="n">
        <v>1</v>
      </c>
      <c r="N29" s="39" t="n">
        <v>1</v>
      </c>
      <c r="O29" s="39" t="n">
        <v>1</v>
      </c>
    </row>
    <row r="30" ht="22" customHeight="1">
      <c r="A30" s="28" t="n">
        <v>4</v>
      </c>
      <c r="B30" s="21" t="n">
        <v>1</v>
      </c>
      <c r="C30" s="31" t="n">
        <v>1</v>
      </c>
      <c r="D30" s="32" t="n">
        <v>1</v>
      </c>
      <c r="E30" s="18" t="n">
        <v>1</v>
      </c>
      <c r="F30" s="33">
        <f>IF(B30="","", IF(B30="0101", IF($D$22="NO", 0, IF(AND(ISNUMBER(K30), K30&gt;0), ROUND(D$10/K30, 5), IFERROR(INDEX($I$105:$I$282, MATCH($D$6&amp;"|"&amp;$D$7&amp;"|"&amp;$D$8&amp;"|"&amp;$D$9&amp;"|"&amp;4, $P$105:$P$282, 0)), 0))), IF(OR(B30="0003", B30="0011", B30="0113"), IF($D$23="NO", 0, IF(AND(ISNUMBER(K30), K30&gt;0), ROUND(D$10/K30, 5), IFERROR(INDEX($I$105:$I$282, MATCH($D$6&amp;"|"&amp;$D$7&amp;"|"&amp;$D$8&amp;"|"&amp;$D$9&amp;"|"&amp;4, $P$105:$P$282, 0)), 0))), IF(AND(ISNUMBER(K30), K30&gt;0), ROUND(D$10/K30, 5), IFERROR(INDEX($I$105:$I$282, MATCH($D$6&amp;"|"&amp;$D$7&amp;"|"&amp;$D$8&amp;"|"&amp;$D$9&amp;"|"&amp;4, $P$105:$P$282, 0)), 0)))))</f>
        <v/>
      </c>
      <c r="G30" s="34" t="n">
        <v>1</v>
      </c>
      <c r="H30" s="35" t="n">
        <v>1</v>
      </c>
      <c r="I30" s="21" t="n">
        <v>1</v>
      </c>
      <c r="J30" s="36" t="n">
        <v>1</v>
      </c>
      <c r="K30" s="37" t="n">
        <v>1</v>
      </c>
      <c r="L30" s="38" t="n">
        <v>1</v>
      </c>
      <c r="M30" s="37" t="n">
        <v>1</v>
      </c>
      <c r="N30" s="39" t="n">
        <v>1</v>
      </c>
      <c r="O30" s="39" t="n">
        <v>1</v>
      </c>
    </row>
    <row r="31" ht="22" customHeight="1">
      <c r="A31" s="28" t="n">
        <v>5</v>
      </c>
      <c r="B31" s="21" t="n">
        <v>1</v>
      </c>
      <c r="C31" s="31" t="n">
        <v>1</v>
      </c>
      <c r="D31" s="32" t="n">
        <v>1</v>
      </c>
      <c r="E31" s="18" t="n">
        <v>1</v>
      </c>
      <c r="F31" s="33">
        <f>IF(B31="","", IF(B31="0101", IF($D$22="NO", 0, IF(AND(ISNUMBER(K31), K31&gt;0), ROUND(D$10/K31, 5), IFERROR(INDEX($I$105:$I$282, MATCH($D$6&amp;"|"&amp;$D$7&amp;"|"&amp;$D$8&amp;"|"&amp;$D$9&amp;"|"&amp;5, $P$105:$P$282, 0)), 0))), IF(OR(B31="0003", B31="0011", B31="0113"), IF($D$23="NO", 0, IF(AND(ISNUMBER(K31), K31&gt;0), ROUND(D$10/K31, 5), IFERROR(INDEX($I$105:$I$282, MATCH($D$6&amp;"|"&amp;$D$7&amp;"|"&amp;$D$8&amp;"|"&amp;$D$9&amp;"|"&amp;5, $P$105:$P$282, 0)), 0))), IF(AND(ISNUMBER(K31), K31&gt;0), ROUND(D$10/K31, 5), IFERROR(INDEX($I$105:$I$282, MATCH($D$6&amp;"|"&amp;$D$7&amp;"|"&amp;$D$8&amp;"|"&amp;$D$9&amp;"|"&amp;5, $P$105:$P$282, 0)), 0)))))</f>
        <v/>
      </c>
      <c r="G31" s="34" t="n">
        <v>1</v>
      </c>
      <c r="H31" s="35" t="n">
        <v>1</v>
      </c>
      <c r="I31" s="21" t="n">
        <v>1</v>
      </c>
      <c r="J31" s="36" t="n">
        <v>1</v>
      </c>
      <c r="K31" s="37" t="n">
        <v>1</v>
      </c>
      <c r="L31" s="38" t="n">
        <v>1</v>
      </c>
      <c r="M31" s="37" t="n">
        <v>1</v>
      </c>
      <c r="N31" s="39" t="n">
        <v>1</v>
      </c>
      <c r="O31" s="39" t="n">
        <v>1</v>
      </c>
    </row>
    <row r="32" ht="22" customHeight="1">
      <c r="A32" s="28" t="n">
        <v>6</v>
      </c>
      <c r="B32" s="21" t="n">
        <v>1</v>
      </c>
      <c r="C32" s="31" t="n">
        <v>1</v>
      </c>
      <c r="D32" s="32" t="n">
        <v>1</v>
      </c>
      <c r="E32" s="18" t="n">
        <v>1</v>
      </c>
      <c r="F32" s="33">
        <f>IF(B32="","", IF(B32="0101", IF($D$22="NO", 0, IF(AND(ISNUMBER(K32), K32&gt;0), ROUND(D$10/K32, 5), IFERROR(INDEX($I$105:$I$282, MATCH($D$6&amp;"|"&amp;$D$7&amp;"|"&amp;$D$8&amp;"|"&amp;$D$9&amp;"|"&amp;6, $P$105:$P$282, 0)), 0))), IF(OR(B32="0003", B32="0011", B32="0113"), IF($D$23="NO", 0, IF(AND(ISNUMBER(K32), K32&gt;0), ROUND(D$10/K32, 5), IFERROR(INDEX($I$105:$I$282, MATCH($D$6&amp;"|"&amp;$D$7&amp;"|"&amp;$D$8&amp;"|"&amp;$D$9&amp;"|"&amp;6, $P$105:$P$282, 0)), 0))), IF(AND(ISNUMBER(K32), K32&gt;0), ROUND(D$10/K32, 5), IFERROR(INDEX($I$105:$I$282, MATCH($D$6&amp;"|"&amp;$D$7&amp;"|"&amp;$D$8&amp;"|"&amp;$D$9&amp;"|"&amp;6, $P$105:$P$282, 0)), 0)))))</f>
        <v/>
      </c>
      <c r="G32" s="34" t="n">
        <v>1</v>
      </c>
      <c r="H32" s="35" t="n">
        <v>1</v>
      </c>
      <c r="I32" s="21" t="n">
        <v>1</v>
      </c>
      <c r="J32" s="36" t="n">
        <v>1</v>
      </c>
      <c r="K32" s="37" t="n">
        <v>1</v>
      </c>
      <c r="L32" s="38" t="n">
        <v>1</v>
      </c>
      <c r="M32" s="37" t="n">
        <v>1</v>
      </c>
      <c r="N32" s="39" t="n">
        <v>1</v>
      </c>
      <c r="O32" s="39" t="n">
        <v>1</v>
      </c>
    </row>
    <row r="33" ht="22" customHeight="1">
      <c r="A33" s="28" t="n">
        <v>7</v>
      </c>
      <c r="B33" s="21" t="n">
        <v>1</v>
      </c>
      <c r="C33" s="31" t="n">
        <v>1</v>
      </c>
      <c r="D33" s="32" t="n">
        <v>1</v>
      </c>
      <c r="E33" s="18" t="n">
        <v>1</v>
      </c>
      <c r="F33" s="33">
        <f>IF(B33="","", IF(B33="0101", IF($D$22="NO", 0, IF(AND(ISNUMBER(K33), K33&gt;0), ROUND(D$10/K33, 5), IFERROR(INDEX($I$105:$I$282, MATCH($D$6&amp;"|"&amp;$D$7&amp;"|"&amp;$D$8&amp;"|"&amp;$D$9&amp;"|"&amp;7, $P$105:$P$282, 0)), 0))), IF(OR(B33="0003", B33="0011", B33="0113"), IF($D$23="NO", 0, IF(AND(ISNUMBER(K33), K33&gt;0), ROUND(D$10/K33, 5), IFERROR(INDEX($I$105:$I$282, MATCH($D$6&amp;"|"&amp;$D$7&amp;"|"&amp;$D$8&amp;"|"&amp;$D$9&amp;"|"&amp;7, $P$105:$P$282, 0)), 0))), IF(AND(ISNUMBER(K33), K33&gt;0), ROUND(D$10/K33, 5), IFERROR(INDEX($I$105:$I$282, MATCH($D$6&amp;"|"&amp;$D$7&amp;"|"&amp;$D$8&amp;"|"&amp;$D$9&amp;"|"&amp;7, $P$105:$P$282, 0)), 0)))))</f>
        <v/>
      </c>
      <c r="G33" s="34" t="n">
        <v>1</v>
      </c>
      <c r="H33" s="35" t="n">
        <v>1</v>
      </c>
      <c r="I33" s="21" t="n">
        <v>1</v>
      </c>
      <c r="J33" s="36" t="n">
        <v>1</v>
      </c>
      <c r="K33" s="37" t="n">
        <v>1</v>
      </c>
      <c r="L33" s="38" t="n">
        <v>1</v>
      </c>
      <c r="M33" s="37" t="n">
        <v>1</v>
      </c>
      <c r="N33" s="39" t="n">
        <v>1</v>
      </c>
      <c r="O33" s="39" t="n">
        <v>1</v>
      </c>
    </row>
    <row r="34" ht="22" customHeight="1">
      <c r="A34" s="28" t="n">
        <v>8</v>
      </c>
      <c r="B34" s="21" t="n">
        <v>1</v>
      </c>
      <c r="C34" s="31" t="n">
        <v>1</v>
      </c>
      <c r="D34" s="32" t="n">
        <v>1</v>
      </c>
      <c r="E34" s="18" t="n">
        <v>1</v>
      </c>
      <c r="F34" s="33">
        <f>IF(B34="","", IF(B34="0101", IF($D$22="NO", 0, IF(AND(ISNUMBER(K34), K34&gt;0), ROUND(D$10/K34, 5), IFERROR(INDEX($I$105:$I$282, MATCH($D$6&amp;"|"&amp;$D$7&amp;"|"&amp;$D$8&amp;"|"&amp;$D$9&amp;"|"&amp;8, $P$105:$P$282, 0)), 0))), IF(OR(B34="0003", B34="0011", B34="0113"), IF($D$23="NO", 0, IF(AND(ISNUMBER(K34), K34&gt;0), ROUND(D$10/K34, 5), IFERROR(INDEX($I$105:$I$282, MATCH($D$6&amp;"|"&amp;$D$7&amp;"|"&amp;$D$8&amp;"|"&amp;$D$9&amp;"|"&amp;8, $P$105:$P$282, 0)), 0))), IF(AND(ISNUMBER(K34), K34&gt;0), ROUND(D$10/K34, 5), IFERROR(INDEX($I$105:$I$282, MATCH($D$6&amp;"|"&amp;$D$7&amp;"|"&amp;$D$8&amp;"|"&amp;$D$9&amp;"|"&amp;8, $P$105:$P$282, 0)), 0)))))</f>
        <v/>
      </c>
      <c r="G34" s="34" t="n">
        <v>1</v>
      </c>
      <c r="H34" s="35" t="n">
        <v>1</v>
      </c>
      <c r="I34" s="21" t="n">
        <v>1</v>
      </c>
      <c r="J34" s="36" t="n">
        <v>1</v>
      </c>
      <c r="K34" s="37" t="n">
        <v>1</v>
      </c>
      <c r="L34" s="38" t="n">
        <v>1</v>
      </c>
      <c r="M34" s="37" t="n">
        <v>1</v>
      </c>
      <c r="N34" s="39" t="n">
        <v>1</v>
      </c>
      <c r="O34" s="39" t="n">
        <v>1</v>
      </c>
    </row>
    <row r="35" ht="22" customHeight="1">
      <c r="A35" s="28" t="n">
        <v>9</v>
      </c>
      <c r="B35" s="21" t="n">
        <v>1</v>
      </c>
      <c r="C35" s="31" t="n">
        <v>1</v>
      </c>
      <c r="D35" s="32" t="n">
        <v>1</v>
      </c>
      <c r="E35" s="18" t="n">
        <v>1</v>
      </c>
      <c r="F35" s="33">
        <f>IF(B35="","", IF(B35="0101", IF($D$22="NO", 0, IF(AND(ISNUMBER(K35), K35&gt;0), ROUND(D$10/K35, 5), IFERROR(INDEX($I$105:$I$282, MATCH($D$6&amp;"|"&amp;$D$7&amp;"|"&amp;$D$8&amp;"|"&amp;$D$9&amp;"|"&amp;9, $P$105:$P$282, 0)), 0))), IF(OR(B35="0003", B35="0011", B35="0113"), IF($D$23="NO", 0, IF(AND(ISNUMBER(K35), K35&gt;0), ROUND(D$10/K35, 5), IFERROR(INDEX($I$105:$I$282, MATCH($D$6&amp;"|"&amp;$D$7&amp;"|"&amp;$D$8&amp;"|"&amp;$D$9&amp;"|"&amp;9, $P$105:$P$282, 0)), 0))), IF(AND(ISNUMBER(K35), K35&gt;0), ROUND(D$10/K35, 5), IFERROR(INDEX($I$105:$I$282, MATCH($D$6&amp;"|"&amp;$D$7&amp;"|"&amp;$D$8&amp;"|"&amp;$D$9&amp;"|"&amp;9, $P$105:$P$282, 0)), 0)))))</f>
        <v/>
      </c>
      <c r="G35" s="34" t="n">
        <v>1</v>
      </c>
      <c r="H35" s="35" t="n">
        <v>1</v>
      </c>
      <c r="I35" s="21" t="n">
        <v>1</v>
      </c>
      <c r="J35" s="36" t="n">
        <v>1</v>
      </c>
      <c r="K35" s="37" t="n">
        <v>1</v>
      </c>
      <c r="L35" s="38" t="n">
        <v>1</v>
      </c>
      <c r="M35" s="37" t="n">
        <v>1</v>
      </c>
      <c r="N35" s="39" t="n">
        <v>1</v>
      </c>
      <c r="O35" s="39" t="n">
        <v>1</v>
      </c>
    </row>
    <row r="36" ht="22" customHeight="1">
      <c r="A36" s="28" t="n">
        <v>10</v>
      </c>
      <c r="B36" s="21" t="n">
        <v>1</v>
      </c>
      <c r="C36" s="31" t="n">
        <v>1</v>
      </c>
      <c r="D36" s="32" t="n">
        <v>1</v>
      </c>
      <c r="E36" s="18" t="n">
        <v>1</v>
      </c>
      <c r="F36" s="33">
        <f>IF(B36="","", IF(B36="0101", IF($D$22="NO", 0, IF(AND(ISNUMBER(K36), K36&gt;0), ROUND(D$10/K36, 5), IFERROR(INDEX($I$105:$I$282, MATCH($D$6&amp;"|"&amp;$D$7&amp;"|"&amp;$D$8&amp;"|"&amp;$D$9&amp;"|"&amp;10, $P$105:$P$282, 0)), 0))), IF(OR(B36="0003", B36="0011", B36="0113"), IF($D$23="NO", 0, IF(AND(ISNUMBER(K36), K36&gt;0), ROUND(D$10/K36, 5), IFERROR(INDEX($I$105:$I$282, MATCH($D$6&amp;"|"&amp;$D$7&amp;"|"&amp;$D$8&amp;"|"&amp;$D$9&amp;"|"&amp;10, $P$105:$P$282, 0)), 0))), IF(AND(ISNUMBER(K36), K36&gt;0), ROUND(D$10/K36, 5), IFERROR(INDEX($I$105:$I$282, MATCH($D$6&amp;"|"&amp;$D$7&amp;"|"&amp;$D$8&amp;"|"&amp;$D$9&amp;"|"&amp;10, $P$105:$P$282, 0)), 0)))))</f>
        <v/>
      </c>
      <c r="G36" s="34" t="n">
        <v>1</v>
      </c>
      <c r="H36" s="35" t="n">
        <v>1</v>
      </c>
      <c r="I36" s="21" t="n">
        <v>1</v>
      </c>
      <c r="J36" s="36" t="n">
        <v>1</v>
      </c>
      <c r="K36" s="37" t="n">
        <v>1</v>
      </c>
      <c r="L36" s="38" t="n">
        <v>1</v>
      </c>
      <c r="M36" s="37" t="n">
        <v>1</v>
      </c>
      <c r="N36" s="39" t="n">
        <v>1</v>
      </c>
      <c r="O36" s="39" t="n">
        <v>1</v>
      </c>
    </row>
    <row r="37" ht="22" customHeight="1">
      <c r="A37" s="28" t="n">
        <v>11</v>
      </c>
      <c r="B37" s="21" t="n">
        <v>1</v>
      </c>
      <c r="C37" s="31" t="n">
        <v>1</v>
      </c>
      <c r="D37" s="32" t="n">
        <v>1</v>
      </c>
      <c r="E37" s="18" t="n">
        <v>1</v>
      </c>
      <c r="F37" s="33">
        <f>IF(B37="","", IF(B37="0101", IF($D$22="NO", 0, IF(AND(ISNUMBER(K37), K37&gt;0), ROUND(D$10/K37, 5), IFERROR(INDEX($I$105:$I$282, MATCH($D$6&amp;"|"&amp;$D$7&amp;"|"&amp;$D$8&amp;"|"&amp;$D$9&amp;"|"&amp;11, $P$105:$P$282, 0)), 0))), IF(OR(B37="0003", B37="0011", B37="0113"), IF($D$23="NO", 0, IF(AND(ISNUMBER(K37), K37&gt;0), ROUND(D$10/K37, 5), IFERROR(INDEX($I$105:$I$282, MATCH($D$6&amp;"|"&amp;$D$7&amp;"|"&amp;$D$8&amp;"|"&amp;$D$9&amp;"|"&amp;11, $P$105:$P$282, 0)), 0))), IF(AND(ISNUMBER(K37), K37&gt;0), ROUND(D$10/K37, 5), IFERROR(INDEX($I$105:$I$282, MATCH($D$6&amp;"|"&amp;$D$7&amp;"|"&amp;$D$8&amp;"|"&amp;$D$9&amp;"|"&amp;11, $P$105:$P$282, 0)), 0)))))</f>
        <v/>
      </c>
      <c r="G37" s="34" t="n">
        <v>1</v>
      </c>
      <c r="H37" s="35" t="n">
        <v>1</v>
      </c>
      <c r="I37" s="21" t="n">
        <v>1</v>
      </c>
      <c r="J37" s="36" t="n">
        <v>1</v>
      </c>
      <c r="K37" s="37" t="n">
        <v>1</v>
      </c>
      <c r="L37" s="38" t="n">
        <v>1</v>
      </c>
      <c r="M37" s="37" t="n">
        <v>1</v>
      </c>
      <c r="N37" s="39" t="n">
        <v>1</v>
      </c>
      <c r="O37" s="39" t="n">
        <v>1</v>
      </c>
    </row>
    <row r="38" ht="22" customHeight="1">
      <c r="A38" s="28" t="n">
        <v>12</v>
      </c>
      <c r="B38" s="21" t="n">
        <v>1</v>
      </c>
      <c r="C38" s="31" t="n">
        <v>1</v>
      </c>
      <c r="D38" s="32" t="n">
        <v>1</v>
      </c>
      <c r="E38" s="18" t="n">
        <v>1</v>
      </c>
      <c r="F38" s="33">
        <f>IF(B38="","", IF(B38="0101", IF($D$22="NO", 0, IF(AND(ISNUMBER(K38), K38&gt;0), ROUND(D$10/K38, 5), IFERROR(INDEX($I$105:$I$282, MATCH($D$6&amp;"|"&amp;$D$7&amp;"|"&amp;$D$8&amp;"|"&amp;$D$9&amp;"|"&amp;12, $P$105:$P$282, 0)), 0))), IF(OR(B38="0003", B38="0011", B38="0113"), IF($D$23="NO", 0, IF(AND(ISNUMBER(K38), K38&gt;0), ROUND(D$10/K38, 5), IFERROR(INDEX($I$105:$I$282, MATCH($D$6&amp;"|"&amp;$D$7&amp;"|"&amp;$D$8&amp;"|"&amp;$D$9&amp;"|"&amp;12, $P$105:$P$282, 0)), 0))), IF(AND(ISNUMBER(K38), K38&gt;0), ROUND(D$10/K38, 5), IFERROR(INDEX($I$105:$I$282, MATCH($D$6&amp;"|"&amp;$D$7&amp;"|"&amp;$D$8&amp;"|"&amp;$D$9&amp;"|"&amp;12, $P$105:$P$282, 0)), 0)))))</f>
        <v/>
      </c>
      <c r="G38" s="34" t="n">
        <v>1</v>
      </c>
      <c r="H38" s="35" t="n">
        <v>1</v>
      </c>
      <c r="I38" s="21" t="n">
        <v>1</v>
      </c>
      <c r="J38" s="36" t="n">
        <v>1</v>
      </c>
      <c r="K38" s="37" t="n">
        <v>1</v>
      </c>
      <c r="L38" s="38" t="n">
        <v>1</v>
      </c>
      <c r="M38" s="37" t="n">
        <v>1</v>
      </c>
      <c r="N38" s="39" t="n">
        <v>1</v>
      </c>
      <c r="O38" s="39" t="n">
        <v>1</v>
      </c>
    </row>
    <row r="39" ht="22" customHeight="1">
      <c r="A39" s="28" t="n">
        <v>13</v>
      </c>
      <c r="B39" s="21" t="n">
        <v>1</v>
      </c>
      <c r="C39" s="31" t="n">
        <v>1</v>
      </c>
      <c r="D39" s="32" t="n">
        <v>1</v>
      </c>
      <c r="E39" s="18" t="n">
        <v>1</v>
      </c>
      <c r="F39" s="33">
        <f>IF(B39="","", IF(B39="0101", IF($D$22="NO", 0, IF(AND(ISNUMBER(K39), K39&gt;0), ROUND(D$10/K39, 5), IFERROR(INDEX($I$105:$I$282, MATCH($D$6&amp;"|"&amp;$D$7&amp;"|"&amp;$D$8&amp;"|"&amp;$D$9&amp;"|"&amp;13, $P$105:$P$282, 0)), 0))), IF(OR(B39="0003", B39="0011", B39="0113"), IF($D$23="NO", 0, IF(AND(ISNUMBER(K39), K39&gt;0), ROUND(D$10/K39, 5), IFERROR(INDEX($I$105:$I$282, MATCH($D$6&amp;"|"&amp;$D$7&amp;"|"&amp;$D$8&amp;"|"&amp;$D$9&amp;"|"&amp;13, $P$105:$P$282, 0)), 0))), IF(AND(ISNUMBER(K39), K39&gt;0), ROUND(D$10/K39, 5), IFERROR(INDEX($I$105:$I$282, MATCH($D$6&amp;"|"&amp;$D$7&amp;"|"&amp;$D$8&amp;"|"&amp;$D$9&amp;"|"&amp;13, $P$105:$P$282, 0)), 0)))))</f>
        <v/>
      </c>
      <c r="G39" s="34" t="n">
        <v>1</v>
      </c>
      <c r="H39" s="35" t="n">
        <v>1</v>
      </c>
      <c r="I39" s="21" t="n">
        <v>1</v>
      </c>
      <c r="J39" s="36" t="n">
        <v>1</v>
      </c>
      <c r="K39" s="37" t="n">
        <v>1</v>
      </c>
      <c r="L39" s="38" t="n">
        <v>1</v>
      </c>
      <c r="M39" s="37" t="n">
        <v>1</v>
      </c>
      <c r="N39" s="39" t="n">
        <v>1</v>
      </c>
      <c r="O39" s="39" t="n">
        <v>1</v>
      </c>
    </row>
    <row r="40" ht="22" customHeight="1">
      <c r="A40" s="28" t="n">
        <v>14</v>
      </c>
      <c r="B40" s="21" t="n">
        <v>1</v>
      </c>
      <c r="C40" s="31" t="n">
        <v>1</v>
      </c>
      <c r="D40" s="32" t="n">
        <v>1</v>
      </c>
      <c r="E40" s="18" t="n">
        <v>1</v>
      </c>
      <c r="F40" s="33">
        <f>IF(B40="","", IF(B40="0101", IF($D$22="NO", 0, IF(AND(ISNUMBER(K40), K40&gt;0), ROUND(D$10/K40, 5), IFERROR(INDEX($I$105:$I$282, MATCH($D$6&amp;"|"&amp;$D$7&amp;"|"&amp;$D$8&amp;"|"&amp;$D$9&amp;"|"&amp;14, $P$105:$P$282, 0)), 0))), IF(OR(B40="0003", B40="0011", B40="0113"), IF($D$23="NO", 0, IF(AND(ISNUMBER(K40), K40&gt;0), ROUND(D$10/K40, 5), IFERROR(INDEX($I$105:$I$282, MATCH($D$6&amp;"|"&amp;$D$7&amp;"|"&amp;$D$8&amp;"|"&amp;$D$9&amp;"|"&amp;14, $P$105:$P$282, 0)), 0))), IF(AND(ISNUMBER(K40), K40&gt;0), ROUND(D$10/K40, 5), IFERROR(INDEX($I$105:$I$282, MATCH($D$6&amp;"|"&amp;$D$7&amp;"|"&amp;$D$8&amp;"|"&amp;$D$9&amp;"|"&amp;14, $P$105:$P$282, 0)), 0)))))</f>
        <v/>
      </c>
      <c r="G40" s="34" t="n">
        <v>1</v>
      </c>
      <c r="H40" s="35" t="n">
        <v>1</v>
      </c>
      <c r="I40" s="21" t="n">
        <v>1</v>
      </c>
      <c r="J40" s="36" t="n">
        <v>1</v>
      </c>
      <c r="K40" s="37" t="n">
        <v>1</v>
      </c>
      <c r="L40" s="38" t="n">
        <v>1</v>
      </c>
      <c r="M40" s="37" t="n">
        <v>1</v>
      </c>
      <c r="N40" s="39" t="n">
        <v>1</v>
      </c>
      <c r="O40" s="39" t="n">
        <v>1</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2026-09-09T22:03:07Z</dcterms:modified>
</cp:coreProperties>
</file>