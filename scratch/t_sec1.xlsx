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f>IFERROR(INDEX($AC$105:$AC$153, MATCH(IF($D$9="", $D$6&amp;"|"&amp;$D$7&amp;"|"&amp;$D$8, $D$6&amp;"|"&amp;$D$7&amp;"|"&amp;$D$8&amp;"|"&amp;$D$9), $AA$105:$AA$153, 0)), IFERROR(INDEX($AC$105:$AC$153, MATCH($D$6&amp;"|"&amp;$D$7&amp;"|"&amp;$D$8, $AB$105:$AB$153, 0)), 100))</f>
        <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f>IFERROR(INDEX($AD$105:$AD$153, MATCH(IF($D$9="", $D$6&amp;"|"&amp;$D$7&amp;"|"&amp;$D$8, $D$6&amp;"|"&amp;$D$7&amp;"|"&amp;$D$8&amp;"|"&amp;$D$9), $AA$105:$AA$153, 0)), IFERROR(INDEX($AD$105:$AD$153, MATCH($D$6&amp;"|"&amp;$D$7&amp;"|"&amp;$D$8, $AB$105:$AB$153, 0)), "sqm"))</f>
        <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f>IFERROR(INDEX($AF$105:$AF$153, MATCH(IF($D$9="", $D$6&amp;"|"&amp;$D$7&amp;"|"&amp;$D$8, $D$6&amp;"|"&amp;$D$7&amp;"|"&amp;$D$8&amp;"|"&amp;$D$9), $AA$105:$AA$153, 0)), IFERROR(INDEX($AF$105:$AF$153, MATCH($D$6&amp;"|"&amp;$D$7&amp;"|"&amp;$D$8, $AB$105:$AB$153, 0)), "Earth Work Operation"))</f>
        <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f>IFERROR(INDEX($AE$105:$AE$153, MATCH(IF($D$9="", $D$6&amp;"|"&amp;$D$7&amp;"|"&amp;$D$8, $D$6&amp;"|"&amp;$D$7&amp;"|"&amp;$D$8&amp;"|"&amp;$D$9), $AA$105:$AA$153, 0)), IFERROR(INDEX($AE$105:$AE$153, MATCH($D$6&amp;"|"&amp;$D$7&amp;"|"&amp;$D$8, $AB$105:$AB$153, 0)), 92.55))</f>
        <v/>
      </c>
      <c r="E14" s="18">
        <f>D11</f>
        <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f>IF(AND(H58&lt;=0.05, H58&gt;=-0.05), "[PASS] 100% DAR MATCH", "[ALERT] VARIANCE DETECTED")</f>
        <v/>
      </c>
      <c r="E15" s="27" t="inlineStr">
        <is>
          <t>Cost Base:</t>
        </is>
      </c>
      <c r="F15" s="28">
        <f>IF(H41&gt;0, "OK", "ERR: W&lt;=0")</f>
        <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2026-09-09T22:02:18Z</dcterms:modified>
</cp:coreProperties>
</file>