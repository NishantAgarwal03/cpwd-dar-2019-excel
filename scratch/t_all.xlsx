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f>IFERROR(INDEX($AC$105:$AC$153, MATCH(IF($D$9="", $D$6&amp;"|"&amp;$D$7&amp;"|"&amp;$D$8, $D$6&amp;"|"&amp;$D$7&amp;"|"&amp;$D$8&amp;"|"&amp;$D$9), $AA$105:$AA$153, 0)), IFERROR(INDEX($AC$105:$AC$153, MATCH($D$6&amp;"|"&amp;$D$7&amp;"|"&amp;$D$8, $AB$105:$AB$153, 0)), 100))</f>
        <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f>IFERROR(INDEX($AD$105:$AD$153, MATCH(IF($D$9="", $D$6&amp;"|"&amp;$D$7&amp;"|"&amp;$D$8, $D$6&amp;"|"&amp;$D$7&amp;"|"&amp;$D$8&amp;"|"&amp;$D$9), $AA$105:$AA$153, 0)), IFERROR(INDEX($AD$105:$AD$153, MATCH($D$6&amp;"|"&amp;$D$7&amp;"|"&amp;$D$8, $AB$105:$AB$153, 0)), "sqm"))</f>
        <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f>IFERROR(INDEX($AF$105:$AF$153, MATCH(IF($D$9="", $D$6&amp;"|"&amp;$D$7&amp;"|"&amp;$D$8, $D$6&amp;"|"&amp;$D$7&amp;"|"&amp;$D$8&amp;"|"&amp;$D$9), $AA$105:$AA$153, 0)), IFERROR(INDEX($AF$105:$AF$153, MATCH($D$6&amp;"|"&amp;$D$7&amp;"|"&amp;$D$8, $AB$105:$AB$153, 0)), "Earth Work Operation"))</f>
        <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f>IFERROR(INDEX($AE$105:$AE$153, MATCH(IF($D$9="", $D$6&amp;"|"&amp;$D$7&amp;"|"&amp;$D$8, $D$6&amp;"|"&amp;$D$7&amp;"|"&amp;$D$8&amp;"|"&amp;$D$9), $AA$105:$AA$153, 0)), IFERROR(INDEX($AE$105:$AE$153, MATCH($D$6&amp;"|"&amp;$D$7&amp;"|"&amp;$D$8, $AB$105:$AB$153, 0)), 92.55))</f>
        <v/>
      </c>
      <c r="E14" s="18">
        <f>D11</f>
        <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f>IF(AND(H58&lt;=0.05, H58&gt;=-0.05), "[PASS] 100% DAR MATCH", "[ALERT] VARIANCE DETECTED")</f>
        <v/>
      </c>
      <c r="E15" s="27" t="inlineStr">
        <is>
          <t>Cost Base:</t>
        </is>
      </c>
      <c r="F15" s="28">
        <f>IF(H41&gt;0, "OK", "ERR: W&lt;=0")</f>
        <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f>IFERROR(INDEX($AG$105:$AG$153, MATCH(IF($D$9="", $D$6&amp;"|"&amp;$D$7&amp;"|"&amp;$D$8, $D$6&amp;"|"&amp;$D$7&amp;"|"&amp;$D$8&amp;"|"&amp;$D$9), $AA$105:$AA$153, 0)), IFERROR(INDEX($AG$105:$AG$153, MATCH($D$6&amp;"|"&amp;$D$7&amp;"|"&amp;$D$8, $AB$105:$AB$153, 0)), "Standard Digging"))</f>
        <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f>IFERROR(INDEX($AH$105:$AH$153, MATCH(IF($D$9="", $D$6&amp;"|"&amp;$D$7&amp;"|"&amp;$D$8, $D$6&amp;"|"&amp;$D$7&amp;"|"&amp;$D$8&amp;"|"&amp;$D$9), $AA$105:$AA$153, 0)), IFERROR(INDEX($AH$105:$AH$153, MATCH($D$6&amp;"|"&amp;$D$7&amp;"|"&amp;$D$8, $AB$105:$AB$153, 0)), "Standard Haulage"))</f>
        <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f>IFERROR(INDEX($AI$105:$AI$153, MATCH(IF($D$9="", $D$6&amp;"|"&amp;$D$7&amp;"|"&amp;$D$8, $D$6&amp;"|"&amp;$D$7&amp;"|"&amp;$D$8&amp;"|"&amp;$D$9), $AA$105:$AA$153, 0)), IFERROR(INDEX($AI$105:$AI$153, MATCH($D$6&amp;"|"&amp;$D$7&amp;"|"&amp;$D$8, $AB$105:$AB$153, 0)), "Standard Spreading"))</f>
        <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f>IF(ISNUMBER(SEARCH("Embankment", $D$6)), IF($D$22="YES", "Watering included in item specification (0.40 Bhishti-day / 10 cum to achieve OMC). Full rate applies.", "DEDUCTION APPLIED (DAR Item 2.5): 0.40 Bhishti-day @ Rs 617 = Rs 246.80 direct. With GST 14.05% (Rs 34.68) + CPOH 15% (Rs 42.22) + Cess 1% (Rs 3.24) = Total Rs 326.94/10 cum -&gt; Rate reduced by Rs 33.00/cum (-Rs 32.70 exact)."), "Surface Excavation, Foundation Trenches, Jungle Clearance, Timbering Item specification does not include watering/compaction. (No deduction applicable).")</f>
        <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f>IF(ISNUMBER(SEARCH("Embankment", $D$6)), IF($D$23="YES", "Power rolling included in item specification (0.008 roller-day / 10 cum). Full rate applies.", "DEDUCTION APPLIED (DAR Item 2.4): 0.008 Roller @ Rs 3000 (Rs 24.00) + 0.008 Chowkidar (Rs 4.46) + Sundries (Rs 3.64) = Rs 32.10 direct. With Water 1% (Rs 0.32) + GST 14.05% (Rs 4.55) + CPOH 15% (Rs 5.55) + Cess 1% (Rs 0.43) = Total Rs 42.95/10 cum -&gt; Rate reduced by Rs 4.30/cum (-Rs 4.30 exact)."), "Surface Excavation, Foundation Trenches, Jungle Clearance, Timbering Item specification does not include watering/compaction. (No deduction applicable).")</f>
        <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f>IFERROR(INDEX($G$105:$G$282, MATCH($D$6&amp;"|"&amp;$D$7&amp;"|"&amp;$D$8&amp;"|"&amp;$D$9&amp;"|"&amp;1, $P$105:$P$282, 0)), "")</f>
        <v/>
      </c>
      <c r="C27" s="31">
        <f>IF(B27="","", IFERROR(INDEX(Rates_Master!$C:$C, MATCH(B27, Rates_Master!$A:$A, 0)), IFERROR(INDEX($H$105:$H$282, MATCH($D$6&amp;"|"&amp;$D$7&amp;"|"&amp;$D$8&amp;"|"&amp;$D$9&amp;"|"&amp;1, $P$105:$P$282, 0)), "Custom Resource")))</f>
        <v/>
      </c>
      <c r="D27" s="32">
        <f>IF(B27="","", IFERROR(INDEX(Rates_Master!$B:$B, MATCH(B27, Rates_Master!$A:$A, 0)), "Labour"))</f>
        <v/>
      </c>
      <c r="E27" s="18">
        <f>IF(B27="","", IFERROR(INDEX(Rates_Master!$D:$D, MATCH(B27, Rates_Master!$A:$A, 0)), "day"))</f>
        <v/>
      </c>
      <c r="F27" s="33">
        <f>IF(B27="","", IF(B27="0101", IF($D$22="NO", 0, IF(AND(ISNUMBER(K27), K27&gt;0), ROUND(D$10/K27, 5), IFERROR(INDEX($I$105:$I$282, MATCH($D$6&amp;"|"&amp;$D$7&amp;"|"&amp;$D$8&amp;"|"&amp;$D$9&amp;"|"&amp;1, $P$105:$P$282, 0)), 0))), IF(OR(B27="0003", B27="0011", B27="0113"), IF($D$23="NO", 0, IF(AND(ISNUMBER(K27), K27&gt;0), ROUND(D$10/K27, 5), IFERROR(INDEX($I$105:$I$282, MATCH($D$6&amp;"|"&amp;$D$7&amp;"|"&amp;$D$8&amp;"|"&amp;$D$9&amp;"|"&amp;1, $P$105:$P$282, 0)), 0))), IF(AND(ISNUMBER(K27), K27&gt;0), ROUND(D$10/K27, 5), IFERROR(INDEX($I$105:$I$282, MATCH($D$6&amp;"|"&amp;$D$7&amp;"|"&amp;$D$8&amp;"|"&amp;$D$9&amp;"|"&amp;1, $P$105:$P$282, 0)), 0)))))</f>
        <v/>
      </c>
      <c r="G27" s="34">
        <f>IF(B27="","", IFERROR(INDEX(Rates_Master!$E:$E, MATCH(B27, Rates_Master!$A:$A, 0)), IFERROR(INDEX($K$105:$K$282, MATCH($D$6&amp;"|"&amp;$D$7&amp;"|"&amp;$D$8&amp;"|"&amp;$D$9&amp;"|"&amp;1, $P$105:$P$282, 0)), 0)))</f>
        <v/>
      </c>
      <c r="H27" s="35">
        <f>IF(OR(B27="", F27=""), 0, ROUND(F27 * G27, 2))</f>
        <v/>
      </c>
      <c r="I27" s="21">
        <f>IF(B27="","", IF(ISNUMBER(SEARCH("2.10", B27)), "A", "W"))</f>
        <v/>
      </c>
      <c r="J27" s="36">
        <f>IF(H$41&gt;0, ROUND(H27 / H$41 * 100, 1), 0)</f>
        <v/>
      </c>
      <c r="K27" s="37">
        <f>IFERROR(INDEX($N$105:$N$282, MATCH($D$6&amp;"|"&amp;$D$7&amp;"|"&amp;$D$8&amp;"|"&amp;$D$9&amp;"|"&amp;1, $P$105:$P$282, 0)), "")</f>
        <v/>
      </c>
      <c r="L27" s="38">
        <f>IF(AND(ISNUMBER(F27), F27&gt;0, D$10&gt;0), ROUND(F27 * 8 / D$10, 4), "")</f>
        <v/>
      </c>
      <c r="M27" s="37">
        <f>IF(AND(ISNUMBER(F27), F27&gt;0, D$10&gt;0), ROUND(D$10 / (F27 * 8), 2), "")</f>
        <v/>
      </c>
      <c r="N27" s="39">
        <f>IF(B27="","", "CPWD Standard Earthwork Production Resource")</f>
        <v/>
      </c>
      <c r="O27" s="39">
        <f>IF(B27="","", IF(B27="0101", IF($D$22="NO", "OMITTED DEDUCTION (DAR Item 2.5): 0.40 Bhishti-day @ Rs 617 = Rs 246.80 direct. Compounded with GST 14.05% (Rs 34.68) + CPOH 15% (Rs 42.22) + Cess 1% (Rs 3.24) = Rs 326.94/10 cum -&gt; -Rs 33.00/cum deduction.", "Watering by Bhishti to OMC: 25 cum/8-hr day (0.40 day/10 cum)."), IF(OR(B27="0003", B27="0011", B27="0113"),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 $P$105:$P$282, 0)), ""))))</f>
        <v/>
      </c>
    </row>
    <row r="28" ht="22" customHeight="1">
      <c r="A28" s="28" t="n">
        <v>2</v>
      </c>
      <c r="B28" s="21">
        <f>IFERROR(INDEX($G$105:$G$282, MATCH($D$6&amp;"|"&amp;$D$7&amp;"|"&amp;$D$8&amp;"|"&amp;$D$9&amp;"|"&amp;2, $P$105:$P$282, 0)), "")</f>
        <v/>
      </c>
      <c r="C28" s="31">
        <f>IF(B28="","", IFERROR(INDEX(Rates_Master!$C:$C, MATCH(B28, Rates_Master!$A:$A, 0)), IFERROR(INDEX($H$105:$H$282, MATCH($D$6&amp;"|"&amp;$D$7&amp;"|"&amp;$D$8&amp;"|"&amp;$D$9&amp;"|"&amp;2, $P$105:$P$282, 0)), "Custom Resource")))</f>
        <v/>
      </c>
      <c r="D28" s="32">
        <f>IF(B28="","", IFERROR(INDEX(Rates_Master!$B:$B, MATCH(B28, Rates_Master!$A:$A, 0)), "Labour"))</f>
        <v/>
      </c>
      <c r="E28" s="18">
        <f>IF(B28="","", IFERROR(INDEX(Rates_Master!$D:$D, MATCH(B28, Rates_Master!$A:$A, 0)), "day"))</f>
        <v/>
      </c>
      <c r="F28" s="33">
        <f>IF(B28="","", IF(B28="0101", IF($D$22="NO", 0, IF(AND(ISNUMBER(K28), K28&gt;0), ROUND(D$10/K28, 5), IFERROR(INDEX($I$105:$I$282, MATCH($D$6&amp;"|"&amp;$D$7&amp;"|"&amp;$D$8&amp;"|"&amp;$D$9&amp;"|"&amp;2, $P$105:$P$282, 0)), 0))), IF(OR(B28="0003", B28="0011", B28="0113"), IF($D$23="NO", 0, IF(AND(ISNUMBER(K28), K28&gt;0), ROUND(D$10/K28, 5), IFERROR(INDEX($I$105:$I$282, MATCH($D$6&amp;"|"&amp;$D$7&amp;"|"&amp;$D$8&amp;"|"&amp;$D$9&amp;"|"&amp;2, $P$105:$P$282, 0)), 0))), IF(AND(ISNUMBER(K28), K28&gt;0), ROUND(D$10/K28, 5), IFERROR(INDEX($I$105:$I$282, MATCH($D$6&amp;"|"&amp;$D$7&amp;"|"&amp;$D$8&amp;"|"&amp;$D$9&amp;"|"&amp;2, $P$105:$P$282, 0)), 0)))))</f>
        <v/>
      </c>
      <c r="G28" s="34">
        <f>IF(B28="","", IFERROR(INDEX(Rates_Master!$E:$E, MATCH(B28, Rates_Master!$A:$A, 0)), IFERROR(INDEX($K$105:$K$282, MATCH($D$6&amp;"|"&amp;$D$7&amp;"|"&amp;$D$8&amp;"|"&amp;$D$9&amp;"|"&amp;2, $P$105:$P$282, 0)), 0)))</f>
        <v/>
      </c>
      <c r="H28" s="35">
        <f>IF(OR(B28="", F28=""), 0, ROUND(F28 * G28, 2))</f>
        <v/>
      </c>
      <c r="I28" s="21">
        <f>IF(B28="","", IF(ISNUMBER(SEARCH("2.10", B28)), "A", "W"))</f>
        <v/>
      </c>
      <c r="J28" s="36">
        <f>IF(H$41&gt;0, ROUND(H28 / H$41 * 100, 1), 0)</f>
        <v/>
      </c>
      <c r="K28" s="37">
        <f>IFERROR(INDEX($N$105:$N$282, MATCH($D$6&amp;"|"&amp;$D$7&amp;"|"&amp;$D$8&amp;"|"&amp;$D$9&amp;"|"&amp;2, $P$105:$P$282, 0)), "")</f>
        <v/>
      </c>
      <c r="L28" s="38">
        <f>IF(AND(ISNUMBER(F28), F28&gt;0, D$10&gt;0), ROUND(F28 * 8 / D$10, 4), "")</f>
        <v/>
      </c>
      <c r="M28" s="37">
        <f>IF(AND(ISNUMBER(F28), F28&gt;0, D$10&gt;0), ROUND(D$10 / (F28 * 8), 2), "")</f>
        <v/>
      </c>
      <c r="N28" s="39">
        <f>IF(B28="","", "CPWD Standard Earthwork Production Resource")</f>
        <v/>
      </c>
      <c r="O28" s="39">
        <f>IF(B28="","", IF(B28="0101", IF($D$22="NO", "OMITTED DEDUCTION (DAR Item 2.5): 0.40 Bhishti-day @ Rs 617 = Rs 246.80 direct. Compounded with GST 14.05% (Rs 34.68) + CPOH 15% (Rs 42.22) + Cess 1% (Rs 3.24) = Rs 326.94/10 cum -&gt; -Rs 33.00/cum deduction.", "Watering by Bhishti to OMC: 25 cum/8-hr day (0.40 day/10 cum)."), IF(OR(B28="0003", B28="0011", B28="0113"),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MATCH($D$6&amp;"|"&amp;$D$7&amp;"|"&amp;$D$8&amp;"|"&amp;$D$9&amp;"|"&amp;2, $P$105:$P$282, 0)), ""))))</f>
        <v/>
      </c>
    </row>
    <row r="29" ht="22" customHeight="1">
      <c r="A29" s="28" t="n">
        <v>3</v>
      </c>
      <c r="B29" s="21">
        <f>IFERROR(INDEX($G$105:$G$282, MATCH($D$6&amp;"|"&amp;$D$7&amp;"|"&amp;$D$8&amp;"|"&amp;$D$9&amp;"|"&amp;3, $P$105:$P$282, 0)), "")</f>
        <v/>
      </c>
      <c r="C29" s="31">
        <f>IF(B29="","", IFERROR(INDEX(Rates_Master!$C:$C, MATCH(B29, Rates_Master!$A:$A, 0)), IFERROR(INDEX($H$105:$H$282, MATCH($D$6&amp;"|"&amp;$D$7&amp;"|"&amp;$D$8&amp;"|"&amp;$D$9&amp;"|"&amp;3, $P$105:$P$282, 0)), "Custom Resource")))</f>
        <v/>
      </c>
      <c r="D29" s="32">
        <f>IF(B29="","", IFERROR(INDEX(Rates_Master!$B:$B, MATCH(B29, Rates_Master!$A:$A, 0)), "Labour"))</f>
        <v/>
      </c>
      <c r="E29" s="18">
        <f>IF(B29="","", IFERROR(INDEX(Rates_Master!$D:$D, MATCH(B29, Rates_Master!$A:$A, 0)), "day"))</f>
        <v/>
      </c>
      <c r="F29" s="33">
        <f>IF(B29="","", IF(B29="0101", IF($D$22="NO", 0, IF(AND(ISNUMBER(K29), K29&gt;0), ROUND(D$10/K29, 5), IFERROR(INDEX($I$105:$I$282, MATCH($D$6&amp;"|"&amp;$D$7&amp;"|"&amp;$D$8&amp;"|"&amp;$D$9&amp;"|"&amp;3, $P$105:$P$282, 0)), 0))), IF(OR(B29="0003", B29="0011", B29="0113"), IF($D$23="NO", 0, IF(AND(ISNUMBER(K29), K29&gt;0), ROUND(D$10/K29, 5), IFERROR(INDEX($I$105:$I$282, MATCH($D$6&amp;"|"&amp;$D$7&amp;"|"&amp;$D$8&amp;"|"&amp;$D$9&amp;"|"&amp;3, $P$105:$P$282, 0)), 0))), IF(AND(ISNUMBER(K29), K29&gt;0), ROUND(D$10/K29, 5), IFERROR(INDEX($I$105:$I$282, MATCH($D$6&amp;"|"&amp;$D$7&amp;"|"&amp;$D$8&amp;"|"&amp;$D$9&amp;"|"&amp;3, $P$105:$P$282, 0)), 0)))))</f>
        <v/>
      </c>
      <c r="G29" s="34">
        <f>IF(B29="","", IFERROR(INDEX(Rates_Master!$E:$E, MATCH(B29, Rates_Master!$A:$A, 0)), IFERROR(INDEX($K$105:$K$282, MATCH($D$6&amp;"|"&amp;$D$7&amp;"|"&amp;$D$8&amp;"|"&amp;$D$9&amp;"|"&amp;3, $P$105:$P$282, 0)), 0)))</f>
        <v/>
      </c>
      <c r="H29" s="35">
        <f>IF(OR(B29="", F29=""), 0, ROUND(F29 * G29, 2))</f>
        <v/>
      </c>
      <c r="I29" s="21">
        <f>IF(B29="","", IF(ISNUMBER(SEARCH("2.10", B29)), "A", "W"))</f>
        <v/>
      </c>
      <c r="J29" s="36">
        <f>IF(H$41&gt;0, ROUND(H29 / H$41 * 100, 1), 0)</f>
        <v/>
      </c>
      <c r="K29" s="37">
        <f>IFERROR(INDEX($N$105:$N$282, MATCH($D$6&amp;"|"&amp;$D$7&amp;"|"&amp;$D$8&amp;"|"&amp;$D$9&amp;"|"&amp;3, $P$105:$P$282, 0)), "")</f>
        <v/>
      </c>
      <c r="L29" s="38">
        <f>IF(AND(ISNUMBER(F29), F29&gt;0, D$10&gt;0), ROUND(F29 * 8 / D$10, 4), "")</f>
        <v/>
      </c>
      <c r="M29" s="37">
        <f>IF(AND(ISNUMBER(F29), F29&gt;0, D$10&gt;0), ROUND(D$10 / (F29 * 8), 2), "")</f>
        <v/>
      </c>
      <c r="N29" s="39">
        <f>IF(B29="","", "CPWD Standard Earthwork Production Resource")</f>
        <v/>
      </c>
      <c r="O29" s="39">
        <f>IF(B29="","", IF(B29="0101", IF($D$22="NO", "OMITTED DEDUCTION (DAR Item 2.5): 0.40 Bhishti-day @ Rs 617 = Rs 246.80 direct. Compounded with GST 14.05% (Rs 34.68) + CPOH 15% (Rs 42.22) + Cess 1% (Rs 3.24) = Rs 326.94/10 cum -&gt; -Rs 33.00/cum deduction.", "Watering by Bhishti to OMC: 25 cum/8-hr day (0.40 day/10 cum)."), IF(OR(B29="0003", B29="0011", B29="0113"),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MATCH($D$6&amp;"|"&amp;$D$7&amp;"|"&amp;$D$8&amp;"|"&amp;$D$9&amp;"|"&amp;3, $P$105:$P$282, 0)), ""))))</f>
        <v/>
      </c>
    </row>
    <row r="30" ht="22" customHeight="1">
      <c r="A30" s="28" t="n">
        <v>4</v>
      </c>
      <c r="B30" s="21">
        <f>IFERROR(INDEX($G$105:$G$282, MATCH($D$6&amp;"|"&amp;$D$7&amp;"|"&amp;$D$8&amp;"|"&amp;$D$9&amp;"|"&amp;4, $P$105:$P$282, 0)), "")</f>
        <v/>
      </c>
      <c r="C30" s="31">
        <f>IF(B30="","", IFERROR(INDEX(Rates_Master!$C:$C, MATCH(B30, Rates_Master!$A:$A, 0)), IFERROR(INDEX($H$105:$H$282, MATCH($D$6&amp;"|"&amp;$D$7&amp;"|"&amp;$D$8&amp;"|"&amp;$D$9&amp;"|"&amp;4, $P$105:$P$282, 0)), "Custom Resource")))</f>
        <v/>
      </c>
      <c r="D30" s="32">
        <f>IF(B30="","", IFERROR(INDEX(Rates_Master!$B:$B, MATCH(B30, Rates_Master!$A:$A, 0)), "Labour"))</f>
        <v/>
      </c>
      <c r="E30" s="18">
        <f>IF(B30="","", IFERROR(INDEX(Rates_Master!$D:$D, MATCH(B30, Rates_Master!$A:$A, 0)), "day"))</f>
        <v/>
      </c>
      <c r="F30" s="33">
        <f>IF(B30="","", IF(B30="0101", IF($D$22="NO", 0, IF(AND(ISNUMBER(K30), K30&gt;0), ROUND(D$10/K30, 5), IFERROR(INDEX($I$105:$I$282, MATCH($D$6&amp;"|"&amp;$D$7&amp;"|"&amp;$D$8&amp;"|"&amp;$D$9&amp;"|"&amp;4, $P$105:$P$282, 0)), 0))), IF(OR(B30="0003", B30="0011", B30="0113"), IF($D$23="NO", 0, IF(AND(ISNUMBER(K30), K30&gt;0), ROUND(D$10/K30, 5), IFERROR(INDEX($I$105:$I$282, MATCH($D$6&amp;"|"&amp;$D$7&amp;"|"&amp;$D$8&amp;"|"&amp;$D$9&amp;"|"&amp;4, $P$105:$P$282, 0)), 0))), IF(AND(ISNUMBER(K30), K30&gt;0), ROUND(D$10/K30, 5), IFERROR(INDEX($I$105:$I$282, MATCH($D$6&amp;"|"&amp;$D$7&amp;"|"&amp;$D$8&amp;"|"&amp;$D$9&amp;"|"&amp;4, $P$105:$P$282, 0)), 0)))))</f>
        <v/>
      </c>
      <c r="G30" s="34">
        <f>IF(B30="","", IFERROR(INDEX(Rates_Master!$E:$E, MATCH(B30, Rates_Master!$A:$A, 0)), IFERROR(INDEX($K$105:$K$282, MATCH($D$6&amp;"|"&amp;$D$7&amp;"|"&amp;$D$8&amp;"|"&amp;$D$9&amp;"|"&amp;4, $P$105:$P$282, 0)), 0)))</f>
        <v/>
      </c>
      <c r="H30" s="35">
        <f>IF(OR(B30="", F30=""), 0, ROUND(F30 * G30, 2))</f>
        <v/>
      </c>
      <c r="I30" s="21">
        <f>IF(B30="","", IF(ISNUMBER(SEARCH("2.10", B30)), "A", "W"))</f>
        <v/>
      </c>
      <c r="J30" s="36">
        <f>IF(H$41&gt;0, ROUND(H30 / H$41 * 100, 1), 0)</f>
        <v/>
      </c>
      <c r="K30" s="37">
        <f>IFERROR(INDEX($N$105:$N$282, MATCH($D$6&amp;"|"&amp;$D$7&amp;"|"&amp;$D$8&amp;"|"&amp;$D$9&amp;"|"&amp;4, $P$105:$P$282, 0)), "")</f>
        <v/>
      </c>
      <c r="L30" s="38">
        <f>IF(AND(ISNUMBER(F30), F30&gt;0, D$10&gt;0), ROUND(F30 * 8 / D$10, 4), "")</f>
        <v/>
      </c>
      <c r="M30" s="37">
        <f>IF(AND(ISNUMBER(F30), F30&gt;0, D$10&gt;0), ROUND(D$10 / (F30 * 8), 2), "")</f>
        <v/>
      </c>
      <c r="N30" s="39">
        <f>IF(B30="","", "CPWD Standard Earthwork Production Resource")</f>
        <v/>
      </c>
      <c r="O30" s="39">
        <f>IF(B30="","", IF(B30="0101", IF($D$22="NO", "OMITTED DEDUCTION (DAR Item 2.5): 0.40 Bhishti-day @ Rs 617 = Rs 246.80 direct. Compounded with GST 14.05% (Rs 34.68) + CPOH 15% (Rs 42.22) + Cess 1% (Rs 3.24) = Rs 326.94/10 cum -&gt; -Rs 33.00/cum deduction.", "Watering by Bhishti to OMC: 25 cum/8-hr day (0.40 day/10 cum)."), IF(OR(B30="0003", B30="0011", B30="0113"),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MATCH($D$6&amp;"|"&amp;$D$7&amp;"|"&amp;$D$8&amp;"|"&amp;$D$9&amp;"|"&amp;4, $P$105:$P$282, 0)), ""))))</f>
        <v/>
      </c>
    </row>
    <row r="31" ht="22" customHeight="1">
      <c r="A31" s="28" t="n">
        <v>5</v>
      </c>
      <c r="B31" s="21">
        <f>IFERROR(INDEX($G$105:$G$282, MATCH($D$6&amp;"|"&amp;$D$7&amp;"|"&amp;$D$8&amp;"|"&amp;$D$9&amp;"|"&amp;5, $P$105:$P$282, 0)), "")</f>
        <v/>
      </c>
      <c r="C31" s="31">
        <f>IF(B31="","", IFERROR(INDEX(Rates_Master!$C:$C, MATCH(B31, Rates_Master!$A:$A, 0)), IFERROR(INDEX($H$105:$H$282, MATCH($D$6&amp;"|"&amp;$D$7&amp;"|"&amp;$D$8&amp;"|"&amp;$D$9&amp;"|"&amp;5, $P$105:$P$282, 0)), "Custom Resource")))</f>
        <v/>
      </c>
      <c r="D31" s="32">
        <f>IF(B31="","", IFERROR(INDEX(Rates_Master!$B:$B, MATCH(B31, Rates_Master!$A:$A, 0)), "Labour"))</f>
        <v/>
      </c>
      <c r="E31" s="18">
        <f>IF(B31="","", IFERROR(INDEX(Rates_Master!$D:$D, MATCH(B31, Rates_Master!$A:$A, 0)), "day"))</f>
        <v/>
      </c>
      <c r="F31" s="33">
        <f>IF(B31="","", IF(B31="0101", IF($D$22="NO", 0, IF(AND(ISNUMBER(K31), K31&gt;0), ROUND(D$10/K31, 5), IFERROR(INDEX($I$105:$I$282, MATCH($D$6&amp;"|"&amp;$D$7&amp;"|"&amp;$D$8&amp;"|"&amp;$D$9&amp;"|"&amp;5, $P$105:$P$282, 0)), 0))), IF(OR(B31="0003", B31="0011", B31="0113"), IF($D$23="NO", 0, IF(AND(ISNUMBER(K31), K31&gt;0), ROUND(D$10/K31, 5), IFERROR(INDEX($I$105:$I$282, MATCH($D$6&amp;"|"&amp;$D$7&amp;"|"&amp;$D$8&amp;"|"&amp;$D$9&amp;"|"&amp;5, $P$105:$P$282, 0)), 0))), IF(AND(ISNUMBER(K31), K31&gt;0), ROUND(D$10/K31, 5), IFERROR(INDEX($I$105:$I$282, MATCH($D$6&amp;"|"&amp;$D$7&amp;"|"&amp;$D$8&amp;"|"&amp;$D$9&amp;"|"&amp;5, $P$105:$P$282, 0)), 0)))))</f>
        <v/>
      </c>
      <c r="G31" s="34">
        <f>IF(B31="","", IFERROR(INDEX(Rates_Master!$E:$E, MATCH(B31, Rates_Master!$A:$A, 0)), IFERROR(INDEX($K$105:$K$282, MATCH($D$6&amp;"|"&amp;$D$7&amp;"|"&amp;$D$8&amp;"|"&amp;$D$9&amp;"|"&amp;5, $P$105:$P$282, 0)), 0)))</f>
        <v/>
      </c>
      <c r="H31" s="35">
        <f>IF(OR(B31="", F31=""), 0, ROUND(F31 * G31, 2))</f>
        <v/>
      </c>
      <c r="I31" s="21">
        <f>IF(B31="","", IF(ISNUMBER(SEARCH("2.10", B31)), "A", "W"))</f>
        <v/>
      </c>
      <c r="J31" s="36">
        <f>IF(H$41&gt;0, ROUND(H31 / H$41 * 100, 1), 0)</f>
        <v/>
      </c>
      <c r="K31" s="37">
        <f>IFERROR(INDEX($N$105:$N$282, MATCH($D$6&amp;"|"&amp;$D$7&amp;"|"&amp;$D$8&amp;"|"&amp;$D$9&amp;"|"&amp;5, $P$105:$P$282, 0)), "")</f>
        <v/>
      </c>
      <c r="L31" s="38">
        <f>IF(AND(ISNUMBER(F31), F31&gt;0, D$10&gt;0), ROUND(F31 * 8 / D$10, 4), "")</f>
        <v/>
      </c>
      <c r="M31" s="37">
        <f>IF(AND(ISNUMBER(F31), F31&gt;0, D$10&gt;0), ROUND(D$10 / (F31 * 8), 2), "")</f>
        <v/>
      </c>
      <c r="N31" s="39">
        <f>IF(B31="","", "CPWD Standard Earthwork Production Resource")</f>
        <v/>
      </c>
      <c r="O31" s="39">
        <f>IF(B31="","", IF(B31="0101", IF($D$22="NO", "OMITTED DEDUCTION (DAR Item 2.5): 0.40 Bhishti-day @ Rs 617 = Rs 246.80 direct. Compounded with GST 14.05% (Rs 34.68) + CPOH 15% (Rs 42.22) + Cess 1% (Rs 3.24) = Rs 326.94/10 cum -&gt; -Rs 33.00/cum deduction.", "Watering by Bhishti to OMC: 25 cum/8-hr day (0.40 day/10 cum)."), IF(OR(B31="0003", B31="0011", B31="0113"),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MATCH($D$6&amp;"|"&amp;$D$7&amp;"|"&amp;$D$8&amp;"|"&amp;$D$9&amp;"|"&amp;5, $P$105:$P$282, 0)), ""))))</f>
        <v/>
      </c>
    </row>
    <row r="32" ht="22" customHeight="1">
      <c r="A32" s="28" t="n">
        <v>6</v>
      </c>
      <c r="B32" s="21">
        <f>IFERROR(INDEX($G$105:$G$282, MATCH($D$6&amp;"|"&amp;$D$7&amp;"|"&amp;$D$8&amp;"|"&amp;$D$9&amp;"|"&amp;6, $P$105:$P$282, 0)), "")</f>
        <v/>
      </c>
      <c r="C32" s="31">
        <f>IF(B32="","", IFERROR(INDEX(Rates_Master!$C:$C, MATCH(B32, Rates_Master!$A:$A, 0)), IFERROR(INDEX($H$105:$H$282, MATCH($D$6&amp;"|"&amp;$D$7&amp;"|"&amp;$D$8&amp;"|"&amp;$D$9&amp;"|"&amp;6, $P$105:$P$282, 0)), "Custom Resource")))</f>
        <v/>
      </c>
      <c r="D32" s="32">
        <f>IF(B32="","", IFERROR(INDEX(Rates_Master!$B:$B, MATCH(B32, Rates_Master!$A:$A, 0)), "Labour"))</f>
        <v/>
      </c>
      <c r="E32" s="18">
        <f>IF(B32="","", IFERROR(INDEX(Rates_Master!$D:$D, MATCH(B32, Rates_Master!$A:$A, 0)), "day"))</f>
        <v/>
      </c>
      <c r="F32" s="33">
        <f>IF(B32="","", IF(B32="0101", IF($D$22="NO", 0, IF(AND(ISNUMBER(K32), K32&gt;0), ROUND(D$10/K32, 5), IFERROR(INDEX($I$105:$I$282, MATCH($D$6&amp;"|"&amp;$D$7&amp;"|"&amp;$D$8&amp;"|"&amp;$D$9&amp;"|"&amp;6, $P$105:$P$282, 0)), 0))), IF(OR(B32="0003", B32="0011", B32="0113"), IF($D$23="NO", 0, IF(AND(ISNUMBER(K32), K32&gt;0), ROUND(D$10/K32, 5), IFERROR(INDEX($I$105:$I$282, MATCH($D$6&amp;"|"&amp;$D$7&amp;"|"&amp;$D$8&amp;"|"&amp;$D$9&amp;"|"&amp;6, $P$105:$P$282, 0)), 0))), IF(AND(ISNUMBER(K32), K32&gt;0), ROUND(D$10/K32, 5), IFERROR(INDEX($I$105:$I$282, MATCH($D$6&amp;"|"&amp;$D$7&amp;"|"&amp;$D$8&amp;"|"&amp;$D$9&amp;"|"&amp;6, $P$105:$P$282, 0)), 0)))))</f>
        <v/>
      </c>
      <c r="G32" s="34">
        <f>IF(B32="","", IFERROR(INDEX(Rates_Master!$E:$E, MATCH(B32, Rates_Master!$A:$A, 0)), IFERROR(INDEX($K$105:$K$282, MATCH($D$6&amp;"|"&amp;$D$7&amp;"|"&amp;$D$8&amp;"|"&amp;$D$9&amp;"|"&amp;6, $P$105:$P$282, 0)), 0)))</f>
        <v/>
      </c>
      <c r="H32" s="35">
        <f>IF(OR(B32="", F32=""), 0, ROUND(F32 * G32, 2))</f>
        <v/>
      </c>
      <c r="I32" s="21">
        <f>IF(B32="","", IF(ISNUMBER(SEARCH("2.10", B32)), "A", "W"))</f>
        <v/>
      </c>
      <c r="J32" s="36">
        <f>IF(H$41&gt;0, ROUND(H32 / H$41 * 100, 1), 0)</f>
        <v/>
      </c>
      <c r="K32" s="37">
        <f>IFERROR(INDEX($N$105:$N$282, MATCH($D$6&amp;"|"&amp;$D$7&amp;"|"&amp;$D$8&amp;"|"&amp;$D$9&amp;"|"&amp;6, $P$105:$P$282, 0)), "")</f>
        <v/>
      </c>
      <c r="L32" s="38">
        <f>IF(AND(ISNUMBER(F32), F32&gt;0, D$10&gt;0), ROUND(F32 * 8 / D$10, 4), "")</f>
        <v/>
      </c>
      <c r="M32" s="37">
        <f>IF(AND(ISNUMBER(F32), F32&gt;0, D$10&gt;0), ROUND(D$10 / (F32 * 8), 2), "")</f>
        <v/>
      </c>
      <c r="N32" s="39">
        <f>IF(B32="","", "CPWD Standard Earthwork Production Resource")</f>
        <v/>
      </c>
      <c r="O32" s="39">
        <f>IF(B32="","", IF(B32="0101", IF($D$22="NO", "OMITTED DEDUCTION (DAR Item 2.5): 0.40 Bhishti-day @ Rs 617 = Rs 246.80 direct. Compounded with GST 14.05% (Rs 34.68) + CPOH 15% (Rs 42.22) + Cess 1% (Rs 3.24) = Rs 326.94/10 cum -&gt; -Rs 33.00/cum deduction.", "Watering by Bhishti to OMC: 25 cum/8-hr day (0.40 day/10 cum)."), IF(OR(B32="0003", B32="0011", B32="0113"),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MATCH($D$6&amp;"|"&amp;$D$7&amp;"|"&amp;$D$8&amp;"|"&amp;$D$9&amp;"|"&amp;6, $P$105:$P$282, 0)), ""))))</f>
        <v/>
      </c>
    </row>
    <row r="33" ht="22" customHeight="1">
      <c r="A33" s="28" t="n">
        <v>7</v>
      </c>
      <c r="B33" s="21">
        <f>IFERROR(INDEX($G$105:$G$282, MATCH($D$6&amp;"|"&amp;$D$7&amp;"|"&amp;$D$8&amp;"|"&amp;$D$9&amp;"|"&amp;7, $P$105:$P$282, 0)), "")</f>
        <v/>
      </c>
      <c r="C33" s="31">
        <f>IF(B33="","", IFERROR(INDEX(Rates_Master!$C:$C, MATCH(B33, Rates_Master!$A:$A, 0)), IFERROR(INDEX($H$105:$H$282, MATCH($D$6&amp;"|"&amp;$D$7&amp;"|"&amp;$D$8&amp;"|"&amp;$D$9&amp;"|"&amp;7, $P$105:$P$282, 0)), "Custom Resource")))</f>
        <v/>
      </c>
      <c r="D33" s="32">
        <f>IF(B33="","", IFERROR(INDEX(Rates_Master!$B:$B, MATCH(B33, Rates_Master!$A:$A, 0)), "Labour"))</f>
        <v/>
      </c>
      <c r="E33" s="18">
        <f>IF(B33="","", IFERROR(INDEX(Rates_Master!$D:$D, MATCH(B33, Rates_Master!$A:$A, 0)), "day"))</f>
        <v/>
      </c>
      <c r="F33" s="33">
        <f>IF(B33="","", IF(B33="0101", IF($D$22="NO", 0, IF(AND(ISNUMBER(K33), K33&gt;0), ROUND(D$10/K33, 5), IFERROR(INDEX($I$105:$I$282, MATCH($D$6&amp;"|"&amp;$D$7&amp;"|"&amp;$D$8&amp;"|"&amp;$D$9&amp;"|"&amp;7, $P$105:$P$282, 0)), 0))), IF(OR(B33="0003", B33="0011", B33="0113"), IF($D$23="NO", 0, IF(AND(ISNUMBER(K33), K33&gt;0), ROUND(D$10/K33, 5), IFERROR(INDEX($I$105:$I$282, MATCH($D$6&amp;"|"&amp;$D$7&amp;"|"&amp;$D$8&amp;"|"&amp;$D$9&amp;"|"&amp;7, $P$105:$P$282, 0)), 0))), IF(AND(ISNUMBER(K33), K33&gt;0), ROUND(D$10/K33, 5), IFERROR(INDEX($I$105:$I$282, MATCH($D$6&amp;"|"&amp;$D$7&amp;"|"&amp;$D$8&amp;"|"&amp;$D$9&amp;"|"&amp;7, $P$105:$P$282, 0)), 0)))))</f>
        <v/>
      </c>
      <c r="G33" s="34">
        <f>IF(B33="","", IFERROR(INDEX(Rates_Master!$E:$E, MATCH(B33, Rates_Master!$A:$A, 0)), IFERROR(INDEX($K$105:$K$282, MATCH($D$6&amp;"|"&amp;$D$7&amp;"|"&amp;$D$8&amp;"|"&amp;$D$9&amp;"|"&amp;7, $P$105:$P$282, 0)), 0)))</f>
        <v/>
      </c>
      <c r="H33" s="35">
        <f>IF(OR(B33="", F33=""), 0, ROUND(F33 * G33, 2))</f>
        <v/>
      </c>
      <c r="I33" s="21">
        <f>IF(B33="","", IF(ISNUMBER(SEARCH("2.10", B33)), "A", "W"))</f>
        <v/>
      </c>
      <c r="J33" s="36">
        <f>IF(H$41&gt;0, ROUND(H33 / H$41 * 100, 1), 0)</f>
        <v/>
      </c>
      <c r="K33" s="37">
        <f>IFERROR(INDEX($N$105:$N$282, MATCH($D$6&amp;"|"&amp;$D$7&amp;"|"&amp;$D$8&amp;"|"&amp;$D$9&amp;"|"&amp;7, $P$105:$P$282, 0)), "")</f>
        <v/>
      </c>
      <c r="L33" s="38">
        <f>IF(AND(ISNUMBER(F33), F33&gt;0, D$10&gt;0), ROUND(F33 * 8 / D$10, 4), "")</f>
        <v/>
      </c>
      <c r="M33" s="37">
        <f>IF(AND(ISNUMBER(F33), F33&gt;0, D$10&gt;0), ROUND(D$10 / (F33 * 8), 2), "")</f>
        <v/>
      </c>
      <c r="N33" s="39">
        <f>IF(B33="","", "CPWD Standard Earthwork Production Resource")</f>
        <v/>
      </c>
      <c r="O33" s="39">
        <f>IF(B33="","", IF(B33="0101", IF($D$22="NO", "OMITTED DEDUCTION (DAR Item 2.5): 0.40 Bhishti-day @ Rs 617 = Rs 246.80 direct. Compounded with GST 14.05% (Rs 34.68) + CPOH 15% (Rs 42.22) + Cess 1% (Rs 3.24) = Rs 326.94/10 cum -&gt; -Rs 33.00/cum deduction.", "Watering by Bhishti to OMC: 25 cum/8-hr day (0.40 day/10 cum)."), IF(OR(B33="0003", B33="0011", B33="0113"),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MATCH($D$6&amp;"|"&amp;$D$7&amp;"|"&amp;$D$8&amp;"|"&amp;$D$9&amp;"|"&amp;7, $P$105:$P$282, 0)), ""))))</f>
        <v/>
      </c>
    </row>
    <row r="34" ht="22" customHeight="1">
      <c r="A34" s="28" t="n">
        <v>8</v>
      </c>
      <c r="B34" s="21">
        <f>IFERROR(INDEX($G$105:$G$282, MATCH($D$6&amp;"|"&amp;$D$7&amp;"|"&amp;$D$8&amp;"|"&amp;$D$9&amp;"|"&amp;8, $P$105:$P$282, 0)), "")</f>
        <v/>
      </c>
      <c r="C34" s="31">
        <f>IF(B34="","", IFERROR(INDEX(Rates_Master!$C:$C, MATCH(B34, Rates_Master!$A:$A, 0)), IFERROR(INDEX($H$105:$H$282, MATCH($D$6&amp;"|"&amp;$D$7&amp;"|"&amp;$D$8&amp;"|"&amp;$D$9&amp;"|"&amp;8, $P$105:$P$282, 0)), "Custom Resource")))</f>
        <v/>
      </c>
      <c r="D34" s="32">
        <f>IF(B34="","", IFERROR(INDEX(Rates_Master!$B:$B, MATCH(B34, Rates_Master!$A:$A, 0)), "Labour"))</f>
        <v/>
      </c>
      <c r="E34" s="18">
        <f>IF(B34="","", IFERROR(INDEX(Rates_Master!$D:$D, MATCH(B34, Rates_Master!$A:$A, 0)), "day"))</f>
        <v/>
      </c>
      <c r="F34" s="33">
        <f>IF(B34="","", IF(B34="0101", IF($D$22="NO", 0, IF(AND(ISNUMBER(K34), K34&gt;0), ROUND(D$10/K34, 5), IFERROR(INDEX($I$105:$I$282, MATCH($D$6&amp;"|"&amp;$D$7&amp;"|"&amp;$D$8&amp;"|"&amp;$D$9&amp;"|"&amp;8, $P$105:$P$282, 0)), 0))), IF(OR(B34="0003", B34="0011", B34="0113"), IF($D$23="NO", 0, IF(AND(ISNUMBER(K34), K34&gt;0), ROUND(D$10/K34, 5), IFERROR(INDEX($I$105:$I$282, MATCH($D$6&amp;"|"&amp;$D$7&amp;"|"&amp;$D$8&amp;"|"&amp;$D$9&amp;"|"&amp;8, $P$105:$P$282, 0)), 0))), IF(AND(ISNUMBER(K34), K34&gt;0), ROUND(D$10/K34, 5), IFERROR(INDEX($I$105:$I$282, MATCH($D$6&amp;"|"&amp;$D$7&amp;"|"&amp;$D$8&amp;"|"&amp;$D$9&amp;"|"&amp;8, $P$105:$P$282, 0)), 0)))))</f>
        <v/>
      </c>
      <c r="G34" s="34">
        <f>IF(B34="","", IFERROR(INDEX(Rates_Master!$E:$E, MATCH(B34, Rates_Master!$A:$A, 0)), IFERROR(INDEX($K$105:$K$282, MATCH($D$6&amp;"|"&amp;$D$7&amp;"|"&amp;$D$8&amp;"|"&amp;$D$9&amp;"|"&amp;8, $P$105:$P$282, 0)), 0)))</f>
        <v/>
      </c>
      <c r="H34" s="35">
        <f>IF(OR(B34="", F34=""), 0, ROUND(F34 * G34, 2))</f>
        <v/>
      </c>
      <c r="I34" s="21">
        <f>IF(B34="","", IF(ISNUMBER(SEARCH("2.10", B34)), "A", "W"))</f>
        <v/>
      </c>
      <c r="J34" s="36">
        <f>IF(H$41&gt;0, ROUND(H34 / H$41 * 100, 1), 0)</f>
        <v/>
      </c>
      <c r="K34" s="37">
        <f>IFERROR(INDEX($N$105:$N$282, MATCH($D$6&amp;"|"&amp;$D$7&amp;"|"&amp;$D$8&amp;"|"&amp;$D$9&amp;"|"&amp;8, $P$105:$P$282, 0)), "")</f>
        <v/>
      </c>
      <c r="L34" s="38">
        <f>IF(AND(ISNUMBER(F34), F34&gt;0, D$10&gt;0), ROUND(F34 * 8 / D$10, 4), "")</f>
        <v/>
      </c>
      <c r="M34" s="37">
        <f>IF(AND(ISNUMBER(F34), F34&gt;0, D$10&gt;0), ROUND(D$10 / (F34 * 8), 2), "")</f>
        <v/>
      </c>
      <c r="N34" s="39">
        <f>IF(B34="","", "CPWD Standard Earthwork Production Resource")</f>
        <v/>
      </c>
      <c r="O34" s="39">
        <f>IF(B34="","", IF(B34="0101", IF($D$22="NO", "OMITTED DEDUCTION (DAR Item 2.5): 0.40 Bhishti-day @ Rs 617 = Rs 246.80 direct. Compounded with GST 14.05% (Rs 34.68) + CPOH 15% (Rs 42.22) + Cess 1% (Rs 3.24) = Rs 326.94/10 cum -&gt; -Rs 33.00/cum deduction.", "Watering by Bhishti to OMC: 25 cum/8-hr day (0.40 day/10 cum)."), IF(OR(B34="0003", B34="0011", B34="0113"),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MATCH($D$6&amp;"|"&amp;$D$7&amp;"|"&amp;$D$8&amp;"|"&amp;$D$9&amp;"|"&amp;8, $P$105:$P$282, 0)), ""))))</f>
        <v/>
      </c>
    </row>
    <row r="35" ht="22" customHeight="1">
      <c r="A35" s="28" t="n">
        <v>9</v>
      </c>
      <c r="B35" s="21">
        <f>IFERROR(INDEX($G$105:$G$282, MATCH($D$6&amp;"|"&amp;$D$7&amp;"|"&amp;$D$8&amp;"|"&amp;$D$9&amp;"|"&amp;9, $P$105:$P$282, 0)), "")</f>
        <v/>
      </c>
      <c r="C35" s="31">
        <f>IF(B35="","", IFERROR(INDEX(Rates_Master!$C:$C, MATCH(B35, Rates_Master!$A:$A, 0)), IFERROR(INDEX($H$105:$H$282, MATCH($D$6&amp;"|"&amp;$D$7&amp;"|"&amp;$D$8&amp;"|"&amp;$D$9&amp;"|"&amp;9, $P$105:$P$282, 0)), "Custom Resource")))</f>
        <v/>
      </c>
      <c r="D35" s="32">
        <f>IF(B35="","", IFERROR(INDEX(Rates_Master!$B:$B, MATCH(B35, Rates_Master!$A:$A, 0)), "Labour"))</f>
        <v/>
      </c>
      <c r="E35" s="18">
        <f>IF(B35="","", IFERROR(INDEX(Rates_Master!$D:$D, MATCH(B35, Rates_Master!$A:$A, 0)), "day"))</f>
        <v/>
      </c>
      <c r="F35" s="33">
        <f>IF(B35="","", IF(B35="0101", IF($D$22="NO", 0, IF(AND(ISNUMBER(K35), K35&gt;0), ROUND(D$10/K35, 5), IFERROR(INDEX($I$105:$I$282, MATCH($D$6&amp;"|"&amp;$D$7&amp;"|"&amp;$D$8&amp;"|"&amp;$D$9&amp;"|"&amp;9, $P$105:$P$282, 0)), 0))), IF(OR(B35="0003", B35="0011", B35="0113"), IF($D$23="NO", 0, IF(AND(ISNUMBER(K35), K35&gt;0), ROUND(D$10/K35, 5), IFERROR(INDEX($I$105:$I$282, MATCH($D$6&amp;"|"&amp;$D$7&amp;"|"&amp;$D$8&amp;"|"&amp;$D$9&amp;"|"&amp;9, $P$105:$P$282, 0)), 0))), IF(AND(ISNUMBER(K35), K35&gt;0), ROUND(D$10/K35, 5), IFERROR(INDEX($I$105:$I$282, MATCH($D$6&amp;"|"&amp;$D$7&amp;"|"&amp;$D$8&amp;"|"&amp;$D$9&amp;"|"&amp;9, $P$105:$P$282, 0)), 0)))))</f>
        <v/>
      </c>
      <c r="G35" s="34">
        <f>IF(B35="","", IFERROR(INDEX(Rates_Master!$E:$E, MATCH(B35, Rates_Master!$A:$A, 0)), IFERROR(INDEX($K$105:$K$282, MATCH($D$6&amp;"|"&amp;$D$7&amp;"|"&amp;$D$8&amp;"|"&amp;$D$9&amp;"|"&amp;9, $P$105:$P$282, 0)), 0)))</f>
        <v/>
      </c>
      <c r="H35" s="35">
        <f>IF(OR(B35="", F35=""), 0, ROUND(F35 * G35, 2))</f>
        <v/>
      </c>
      <c r="I35" s="21">
        <f>IF(B35="","", IF(ISNUMBER(SEARCH("2.10", B35)), "A", "W"))</f>
        <v/>
      </c>
      <c r="J35" s="36">
        <f>IF(H$41&gt;0, ROUND(H35 / H$41 * 100, 1), 0)</f>
        <v/>
      </c>
      <c r="K35" s="37">
        <f>IFERROR(INDEX($N$105:$N$282, MATCH($D$6&amp;"|"&amp;$D$7&amp;"|"&amp;$D$8&amp;"|"&amp;$D$9&amp;"|"&amp;9, $P$105:$P$282, 0)), "")</f>
        <v/>
      </c>
      <c r="L35" s="38">
        <f>IF(AND(ISNUMBER(F35), F35&gt;0, D$10&gt;0), ROUND(F35 * 8 / D$10, 4), "")</f>
        <v/>
      </c>
      <c r="M35" s="37">
        <f>IF(AND(ISNUMBER(F35), F35&gt;0, D$10&gt;0), ROUND(D$10 / (F35 * 8), 2), "")</f>
        <v/>
      </c>
      <c r="N35" s="39">
        <f>IF(B35="","", "CPWD Standard Earthwork Production Resource")</f>
        <v/>
      </c>
      <c r="O35" s="39">
        <f>IF(B35="","", IF(B35="0101", IF($D$22="NO", "OMITTED DEDUCTION (DAR Item 2.5): 0.40 Bhishti-day @ Rs 617 = Rs 246.80 direct. Compounded with GST 14.05% (Rs 34.68) + CPOH 15% (Rs 42.22) + Cess 1% (Rs 3.24) = Rs 326.94/10 cum -&gt; -Rs 33.00/cum deduction.", "Watering by Bhishti to OMC: 25 cum/8-hr day (0.40 day/10 cum)."), IF(OR(B35="0003", B35="0011", B35="0113"),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MATCH($D$6&amp;"|"&amp;$D$7&amp;"|"&amp;$D$8&amp;"|"&amp;$D$9&amp;"|"&amp;9, $P$105:$P$282, 0)), ""))))</f>
        <v/>
      </c>
    </row>
    <row r="36" ht="22" customHeight="1">
      <c r="A36" s="28" t="n">
        <v>10</v>
      </c>
      <c r="B36" s="21">
        <f>IFERROR(INDEX($G$105:$G$282, MATCH($D$6&amp;"|"&amp;$D$7&amp;"|"&amp;$D$8&amp;"|"&amp;$D$9&amp;"|"&amp;10, $P$105:$P$282, 0)), "")</f>
        <v/>
      </c>
      <c r="C36" s="31">
        <f>IF(B36="","", IFERROR(INDEX(Rates_Master!$C:$C, MATCH(B36, Rates_Master!$A:$A, 0)), IFERROR(INDEX($H$105:$H$282, MATCH($D$6&amp;"|"&amp;$D$7&amp;"|"&amp;$D$8&amp;"|"&amp;$D$9&amp;"|"&amp;10, $P$105:$P$282, 0)), "Custom Resource")))</f>
        <v/>
      </c>
      <c r="D36" s="32">
        <f>IF(B36="","", IFERROR(INDEX(Rates_Master!$B:$B, MATCH(B36, Rates_Master!$A:$A, 0)), "Labour"))</f>
        <v/>
      </c>
      <c r="E36" s="18">
        <f>IF(B36="","", IFERROR(INDEX(Rates_Master!$D:$D, MATCH(B36, Rates_Master!$A:$A, 0)), "day"))</f>
        <v/>
      </c>
      <c r="F36" s="33">
        <f>IF(B36="","", IF(B36="0101", IF($D$22="NO", 0, IF(AND(ISNUMBER(K36), K36&gt;0), ROUND(D$10/K36, 5), IFERROR(INDEX($I$105:$I$282, MATCH($D$6&amp;"|"&amp;$D$7&amp;"|"&amp;$D$8&amp;"|"&amp;$D$9&amp;"|"&amp;10, $P$105:$P$282, 0)), 0))), IF(OR(B36="0003", B36="0011", B36="0113"), IF($D$23="NO", 0, IF(AND(ISNUMBER(K36), K36&gt;0), ROUND(D$10/K36, 5), IFERROR(INDEX($I$105:$I$282, MATCH($D$6&amp;"|"&amp;$D$7&amp;"|"&amp;$D$8&amp;"|"&amp;$D$9&amp;"|"&amp;10, $P$105:$P$282, 0)), 0))), IF(AND(ISNUMBER(K36), K36&gt;0), ROUND(D$10/K36, 5), IFERROR(INDEX($I$105:$I$282, MATCH($D$6&amp;"|"&amp;$D$7&amp;"|"&amp;$D$8&amp;"|"&amp;$D$9&amp;"|"&amp;10, $P$105:$P$282, 0)), 0)))))</f>
        <v/>
      </c>
      <c r="G36" s="34">
        <f>IF(B36="","", IFERROR(INDEX(Rates_Master!$E:$E, MATCH(B36, Rates_Master!$A:$A, 0)), IFERROR(INDEX($K$105:$K$282, MATCH($D$6&amp;"|"&amp;$D$7&amp;"|"&amp;$D$8&amp;"|"&amp;$D$9&amp;"|"&amp;10, $P$105:$P$282, 0)), 0)))</f>
        <v/>
      </c>
      <c r="H36" s="35">
        <f>IF(OR(B36="", F36=""), 0, ROUND(F36 * G36, 2))</f>
        <v/>
      </c>
      <c r="I36" s="21">
        <f>IF(B36="","", IF(ISNUMBER(SEARCH("2.10", B36)), "A", "W"))</f>
        <v/>
      </c>
      <c r="J36" s="36">
        <f>IF(H$41&gt;0, ROUND(H36 / H$41 * 100, 1), 0)</f>
        <v/>
      </c>
      <c r="K36" s="37">
        <f>IFERROR(INDEX($N$105:$N$282, MATCH($D$6&amp;"|"&amp;$D$7&amp;"|"&amp;$D$8&amp;"|"&amp;$D$9&amp;"|"&amp;10, $P$105:$P$282, 0)), "")</f>
        <v/>
      </c>
      <c r="L36" s="38">
        <f>IF(AND(ISNUMBER(F36), F36&gt;0, D$10&gt;0), ROUND(F36 * 8 / D$10, 4), "")</f>
        <v/>
      </c>
      <c r="M36" s="37">
        <f>IF(AND(ISNUMBER(F36), F36&gt;0, D$10&gt;0), ROUND(D$10 / (F36 * 8), 2), "")</f>
        <v/>
      </c>
      <c r="N36" s="39">
        <f>IF(B36="","", "CPWD Standard Earthwork Production Resource")</f>
        <v/>
      </c>
      <c r="O36" s="39">
        <f>IF(B36="","", IF(B36="0101", IF($D$22="NO", "OMITTED DEDUCTION (DAR Item 2.5): 0.40 Bhishti-day @ Rs 617 = Rs 246.80 direct. Compounded with GST 14.05% (Rs 34.68) + CPOH 15% (Rs 42.22) + Cess 1% (Rs 3.24) = Rs 326.94/10 cum -&gt; -Rs 33.00/cum deduction.", "Watering by Bhishti to OMC: 25 cum/8-hr day (0.40 day/10 cum)."), IF(OR(B36="0003", B36="0011", B36="0113"),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MATCH($D$6&amp;"|"&amp;$D$7&amp;"|"&amp;$D$8&amp;"|"&amp;$D$9&amp;"|"&amp;10, $P$105:$P$282, 0)), ""))))</f>
        <v/>
      </c>
    </row>
    <row r="37" ht="22" customHeight="1">
      <c r="A37" s="28" t="n">
        <v>11</v>
      </c>
      <c r="B37" s="21">
        <f>IFERROR(INDEX($G$105:$G$282, MATCH($D$6&amp;"|"&amp;$D$7&amp;"|"&amp;$D$8&amp;"|"&amp;$D$9&amp;"|"&amp;11, $P$105:$P$282, 0)), "")</f>
        <v/>
      </c>
      <c r="C37" s="31">
        <f>IF(B37="","", IFERROR(INDEX(Rates_Master!$C:$C, MATCH(B37, Rates_Master!$A:$A, 0)), IFERROR(INDEX($H$105:$H$282, MATCH($D$6&amp;"|"&amp;$D$7&amp;"|"&amp;$D$8&amp;"|"&amp;$D$9&amp;"|"&amp;11, $P$105:$P$282, 0)), "Custom Resource")))</f>
        <v/>
      </c>
      <c r="D37" s="32">
        <f>IF(B37="","", IFERROR(INDEX(Rates_Master!$B:$B, MATCH(B37, Rates_Master!$A:$A, 0)), "Labour"))</f>
        <v/>
      </c>
      <c r="E37" s="18">
        <f>IF(B37="","", IFERROR(INDEX(Rates_Master!$D:$D, MATCH(B37, Rates_Master!$A:$A, 0)), "day"))</f>
        <v/>
      </c>
      <c r="F37" s="33">
        <f>IF(B37="","", IF(B37="0101", IF($D$22="NO", 0, IF(AND(ISNUMBER(K37), K37&gt;0), ROUND(D$10/K37, 5), IFERROR(INDEX($I$105:$I$282, MATCH($D$6&amp;"|"&amp;$D$7&amp;"|"&amp;$D$8&amp;"|"&amp;$D$9&amp;"|"&amp;11, $P$105:$P$282, 0)), 0))), IF(OR(B37="0003", B37="0011", B37="0113"), IF($D$23="NO", 0, IF(AND(ISNUMBER(K37), K37&gt;0), ROUND(D$10/K37, 5), IFERROR(INDEX($I$105:$I$282, MATCH($D$6&amp;"|"&amp;$D$7&amp;"|"&amp;$D$8&amp;"|"&amp;$D$9&amp;"|"&amp;11, $P$105:$P$282, 0)), 0))), IF(AND(ISNUMBER(K37), K37&gt;0), ROUND(D$10/K37, 5), IFERROR(INDEX($I$105:$I$282, MATCH($D$6&amp;"|"&amp;$D$7&amp;"|"&amp;$D$8&amp;"|"&amp;$D$9&amp;"|"&amp;11, $P$105:$P$282, 0)), 0)))))</f>
        <v/>
      </c>
      <c r="G37" s="34">
        <f>IF(B37="","", IFERROR(INDEX(Rates_Master!$E:$E, MATCH(B37, Rates_Master!$A:$A, 0)), IFERROR(INDEX($K$105:$K$282, MATCH($D$6&amp;"|"&amp;$D$7&amp;"|"&amp;$D$8&amp;"|"&amp;$D$9&amp;"|"&amp;11, $P$105:$P$282, 0)), 0)))</f>
        <v/>
      </c>
      <c r="H37" s="35">
        <f>IF(OR(B37="", F37=""), 0, ROUND(F37 * G37, 2))</f>
        <v/>
      </c>
      <c r="I37" s="21">
        <f>IF(B37="","", IF(ISNUMBER(SEARCH("2.10", B37)), "A", "W"))</f>
        <v/>
      </c>
      <c r="J37" s="36">
        <f>IF(H$41&gt;0, ROUND(H37 / H$41 * 100, 1), 0)</f>
        <v/>
      </c>
      <c r="K37" s="37">
        <f>IFERROR(INDEX($N$105:$N$282, MATCH($D$6&amp;"|"&amp;$D$7&amp;"|"&amp;$D$8&amp;"|"&amp;$D$9&amp;"|"&amp;11, $P$105:$P$282, 0)), "")</f>
        <v/>
      </c>
      <c r="L37" s="38">
        <f>IF(AND(ISNUMBER(F37), F37&gt;0, D$10&gt;0), ROUND(F37 * 8 / D$10, 4), "")</f>
        <v/>
      </c>
      <c r="M37" s="37">
        <f>IF(AND(ISNUMBER(F37), F37&gt;0, D$10&gt;0), ROUND(D$10 / (F37 * 8), 2), "")</f>
        <v/>
      </c>
      <c r="N37" s="39">
        <f>IF(B37="","", "CPWD Standard Earthwork Production Resource")</f>
        <v/>
      </c>
      <c r="O37" s="39">
        <f>IF(B37="","", IF(B37="0101", IF($D$22="NO", "OMITTED DEDUCTION (DAR Item 2.5): 0.40 Bhishti-day @ Rs 617 = Rs 246.80 direct. Compounded with GST 14.05% (Rs 34.68) + CPOH 15% (Rs 42.22) + Cess 1% (Rs 3.24) = Rs 326.94/10 cum -&gt; -Rs 33.00/cum deduction.", "Watering by Bhishti to OMC: 25 cum/8-hr day (0.40 day/10 cum)."), IF(OR(B37="0003", B37="0011", B37="0113"),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MATCH($D$6&amp;"|"&amp;$D$7&amp;"|"&amp;$D$8&amp;"|"&amp;$D$9&amp;"|"&amp;11, $P$105:$P$282, 0)), ""))))</f>
        <v/>
      </c>
    </row>
    <row r="38" ht="22" customHeight="1">
      <c r="A38" s="28" t="n">
        <v>12</v>
      </c>
      <c r="B38" s="21">
        <f>IFERROR(INDEX($G$105:$G$282, MATCH($D$6&amp;"|"&amp;$D$7&amp;"|"&amp;$D$8&amp;"|"&amp;$D$9&amp;"|"&amp;12, $P$105:$P$282, 0)), "")</f>
        <v/>
      </c>
      <c r="C38" s="31">
        <f>IF(B38="","", IFERROR(INDEX(Rates_Master!$C:$C, MATCH(B38, Rates_Master!$A:$A, 0)), IFERROR(INDEX($H$105:$H$282, MATCH($D$6&amp;"|"&amp;$D$7&amp;"|"&amp;$D$8&amp;"|"&amp;$D$9&amp;"|"&amp;12, $P$105:$P$282, 0)), "Custom Resource")))</f>
        <v/>
      </c>
      <c r="D38" s="32">
        <f>IF(B38="","", IFERROR(INDEX(Rates_Master!$B:$B, MATCH(B38, Rates_Master!$A:$A, 0)), "Labour"))</f>
        <v/>
      </c>
      <c r="E38" s="18">
        <f>IF(B38="","", IFERROR(INDEX(Rates_Master!$D:$D, MATCH(B38, Rates_Master!$A:$A, 0)), "day"))</f>
        <v/>
      </c>
      <c r="F38" s="33">
        <f>IF(B38="","", IF(B38="0101", IF($D$22="NO", 0, IF(AND(ISNUMBER(K38), K38&gt;0), ROUND(D$10/K38, 5), IFERROR(INDEX($I$105:$I$282, MATCH($D$6&amp;"|"&amp;$D$7&amp;"|"&amp;$D$8&amp;"|"&amp;$D$9&amp;"|"&amp;12, $P$105:$P$282, 0)), 0))), IF(OR(B38="0003", B38="0011", B38="0113"), IF($D$23="NO", 0, IF(AND(ISNUMBER(K38), K38&gt;0), ROUND(D$10/K38, 5), IFERROR(INDEX($I$105:$I$282, MATCH($D$6&amp;"|"&amp;$D$7&amp;"|"&amp;$D$8&amp;"|"&amp;$D$9&amp;"|"&amp;12, $P$105:$P$282, 0)), 0))), IF(AND(ISNUMBER(K38), K38&gt;0), ROUND(D$10/K38, 5), IFERROR(INDEX($I$105:$I$282, MATCH($D$6&amp;"|"&amp;$D$7&amp;"|"&amp;$D$8&amp;"|"&amp;$D$9&amp;"|"&amp;12, $P$105:$P$282, 0)), 0)))))</f>
        <v/>
      </c>
      <c r="G38" s="34">
        <f>IF(B38="","", IFERROR(INDEX(Rates_Master!$E:$E, MATCH(B38, Rates_Master!$A:$A, 0)), IFERROR(INDEX($K$105:$K$282, MATCH($D$6&amp;"|"&amp;$D$7&amp;"|"&amp;$D$8&amp;"|"&amp;$D$9&amp;"|"&amp;12, $P$105:$P$282, 0)), 0)))</f>
        <v/>
      </c>
      <c r="H38" s="35">
        <f>IF(OR(B38="", F38=""), 0, ROUND(F38 * G38, 2))</f>
        <v/>
      </c>
      <c r="I38" s="21">
        <f>IF(B38="","", IF(ISNUMBER(SEARCH("2.10", B38)), "A", "W"))</f>
        <v/>
      </c>
      <c r="J38" s="36">
        <f>IF(H$41&gt;0, ROUND(H38 / H$41 * 100, 1), 0)</f>
        <v/>
      </c>
      <c r="K38" s="37">
        <f>IFERROR(INDEX($N$105:$N$282, MATCH($D$6&amp;"|"&amp;$D$7&amp;"|"&amp;$D$8&amp;"|"&amp;$D$9&amp;"|"&amp;12, $P$105:$P$282, 0)), "")</f>
        <v/>
      </c>
      <c r="L38" s="38">
        <f>IF(AND(ISNUMBER(F38), F38&gt;0, D$10&gt;0), ROUND(F38 * 8 / D$10, 4), "")</f>
        <v/>
      </c>
      <c r="M38" s="37">
        <f>IF(AND(ISNUMBER(F38), F38&gt;0, D$10&gt;0), ROUND(D$10 / (F38 * 8), 2), "")</f>
        <v/>
      </c>
      <c r="N38" s="39">
        <f>IF(B38="","", "CPWD Standard Earthwork Production Resource")</f>
        <v/>
      </c>
      <c r="O38" s="39">
        <f>IF(B38="","", IF(B38="0101", IF($D$22="NO", "OMITTED DEDUCTION (DAR Item 2.5): 0.40 Bhishti-day @ Rs 617 = Rs 246.80 direct. Compounded with GST 14.05% (Rs 34.68) + CPOH 15% (Rs 42.22) + Cess 1% (Rs 3.24) = Rs 326.94/10 cum -&gt; -Rs 33.00/cum deduction.", "Watering by Bhishti to OMC: 25 cum/8-hr day (0.40 day/10 cum)."), IF(OR(B38="0003", B38="0011", B38="0113"),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MATCH($D$6&amp;"|"&amp;$D$7&amp;"|"&amp;$D$8&amp;"|"&amp;$D$9&amp;"|"&amp;12, $P$105:$P$282, 0)), ""))))</f>
        <v/>
      </c>
    </row>
    <row r="39" ht="22" customHeight="1">
      <c r="A39" s="28" t="n">
        <v>13</v>
      </c>
      <c r="B39" s="21">
        <f>IFERROR(INDEX($G$105:$G$282, MATCH($D$6&amp;"|"&amp;$D$7&amp;"|"&amp;$D$8&amp;"|"&amp;$D$9&amp;"|"&amp;13, $P$105:$P$282, 0)), "")</f>
        <v/>
      </c>
      <c r="C39" s="31">
        <f>IF(B39="","", IFERROR(INDEX(Rates_Master!$C:$C, MATCH(B39, Rates_Master!$A:$A, 0)), IFERROR(INDEX($H$105:$H$282, MATCH($D$6&amp;"|"&amp;$D$7&amp;"|"&amp;$D$8&amp;"|"&amp;$D$9&amp;"|"&amp;13, $P$105:$P$282, 0)), "Custom Resource")))</f>
        <v/>
      </c>
      <c r="D39" s="32">
        <f>IF(B39="","", IFERROR(INDEX(Rates_Master!$B:$B, MATCH(B39, Rates_Master!$A:$A, 0)), "Labour"))</f>
        <v/>
      </c>
      <c r="E39" s="18">
        <f>IF(B39="","", IFERROR(INDEX(Rates_Master!$D:$D, MATCH(B39, Rates_Master!$A:$A, 0)), "day"))</f>
        <v/>
      </c>
      <c r="F39" s="33">
        <f>IF(B39="","", IF(B39="0101", IF($D$22="NO", 0, IF(AND(ISNUMBER(K39), K39&gt;0), ROUND(D$10/K39, 5), IFERROR(INDEX($I$105:$I$282, MATCH($D$6&amp;"|"&amp;$D$7&amp;"|"&amp;$D$8&amp;"|"&amp;$D$9&amp;"|"&amp;13, $P$105:$P$282, 0)), 0))), IF(OR(B39="0003", B39="0011", B39="0113"), IF($D$23="NO", 0, IF(AND(ISNUMBER(K39), K39&gt;0), ROUND(D$10/K39, 5), IFERROR(INDEX($I$105:$I$282, MATCH($D$6&amp;"|"&amp;$D$7&amp;"|"&amp;$D$8&amp;"|"&amp;$D$9&amp;"|"&amp;13, $P$105:$P$282, 0)), 0))), IF(AND(ISNUMBER(K39), K39&gt;0), ROUND(D$10/K39, 5), IFERROR(INDEX($I$105:$I$282, MATCH($D$6&amp;"|"&amp;$D$7&amp;"|"&amp;$D$8&amp;"|"&amp;$D$9&amp;"|"&amp;13, $P$105:$P$282, 0)), 0)))))</f>
        <v/>
      </c>
      <c r="G39" s="34">
        <f>IF(B39="","", IFERROR(INDEX(Rates_Master!$E:$E, MATCH(B39, Rates_Master!$A:$A, 0)), IFERROR(INDEX($K$105:$K$282, MATCH($D$6&amp;"|"&amp;$D$7&amp;"|"&amp;$D$8&amp;"|"&amp;$D$9&amp;"|"&amp;13, $P$105:$P$282, 0)), 0)))</f>
        <v/>
      </c>
      <c r="H39" s="35">
        <f>IF(OR(B39="", F39=""), 0, ROUND(F39 * G39, 2))</f>
        <v/>
      </c>
      <c r="I39" s="21">
        <f>IF(B39="","", IF(ISNUMBER(SEARCH("2.10", B39)), "A", "W"))</f>
        <v/>
      </c>
      <c r="J39" s="36">
        <f>IF(H$41&gt;0, ROUND(H39 / H$41 * 100, 1), 0)</f>
        <v/>
      </c>
      <c r="K39" s="37">
        <f>IFERROR(INDEX($N$105:$N$282, MATCH($D$6&amp;"|"&amp;$D$7&amp;"|"&amp;$D$8&amp;"|"&amp;$D$9&amp;"|"&amp;13, $P$105:$P$282, 0)), "")</f>
        <v/>
      </c>
      <c r="L39" s="38">
        <f>IF(AND(ISNUMBER(F39), F39&gt;0, D$10&gt;0), ROUND(F39 * 8 / D$10, 4), "")</f>
        <v/>
      </c>
      <c r="M39" s="37">
        <f>IF(AND(ISNUMBER(F39), F39&gt;0, D$10&gt;0), ROUND(D$10 / (F39 * 8), 2), "")</f>
        <v/>
      </c>
      <c r="N39" s="39">
        <f>IF(B39="","", "CPWD Standard Earthwork Production Resource")</f>
        <v/>
      </c>
      <c r="O39" s="39">
        <f>IF(B39="","", IF(B39="0101", IF($D$22="NO", "OMITTED DEDUCTION (DAR Item 2.5): 0.40 Bhishti-day @ Rs 617 = Rs 246.80 direct. Compounded with GST 14.05% (Rs 34.68) + CPOH 15% (Rs 42.22) + Cess 1% (Rs 3.24) = Rs 326.94/10 cum -&gt; -Rs 33.00/cum deduction.", "Watering by Bhishti to OMC: 25 cum/8-hr day (0.40 day/10 cum)."), IF(OR(B39="0003", B39="0011", B39="0113"),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MATCH($D$6&amp;"|"&amp;$D$7&amp;"|"&amp;$D$8&amp;"|"&amp;$D$9&amp;"|"&amp;13, $P$105:$P$282, 0)), ""))))</f>
        <v/>
      </c>
    </row>
    <row r="40" ht="22" customHeight="1">
      <c r="A40" s="28" t="n">
        <v>14</v>
      </c>
      <c r="B40" s="21">
        <f>IFERROR(INDEX($G$105:$G$282, MATCH($D$6&amp;"|"&amp;$D$7&amp;"|"&amp;$D$8&amp;"|"&amp;$D$9&amp;"|"&amp;14, $P$105:$P$282, 0)), "")</f>
        <v/>
      </c>
      <c r="C40" s="31">
        <f>IF(B40="","", IFERROR(INDEX(Rates_Master!$C:$C, MATCH(B40, Rates_Master!$A:$A, 0)), IFERROR(INDEX($H$105:$H$282, MATCH($D$6&amp;"|"&amp;$D$7&amp;"|"&amp;$D$8&amp;"|"&amp;$D$9&amp;"|"&amp;14, $P$105:$P$282, 0)), "Custom Resource")))</f>
        <v/>
      </c>
      <c r="D40" s="32">
        <f>IF(B40="","", IFERROR(INDEX(Rates_Master!$B:$B, MATCH(B40, Rates_Master!$A:$A, 0)), "Labour"))</f>
        <v/>
      </c>
      <c r="E40" s="18">
        <f>IF(B40="","", IFERROR(INDEX(Rates_Master!$D:$D, MATCH(B40, Rates_Master!$A:$A, 0)), "day"))</f>
        <v/>
      </c>
      <c r="F40" s="33">
        <f>IF(B40="","", IF(B40="0101", IF($D$22="NO", 0, IF(AND(ISNUMBER(K40), K40&gt;0), ROUND(D$10/K40, 5), IFERROR(INDEX($I$105:$I$282, MATCH($D$6&amp;"|"&amp;$D$7&amp;"|"&amp;$D$8&amp;"|"&amp;$D$9&amp;"|"&amp;14, $P$105:$P$282, 0)), 0))), IF(OR(B40="0003", B40="0011", B40="0113"), IF($D$23="NO", 0, IF(AND(ISNUMBER(K40), K40&gt;0), ROUND(D$10/K40, 5), IFERROR(INDEX($I$105:$I$282, MATCH($D$6&amp;"|"&amp;$D$7&amp;"|"&amp;$D$8&amp;"|"&amp;$D$9&amp;"|"&amp;14, $P$105:$P$282, 0)), 0))), IF(AND(ISNUMBER(K40), K40&gt;0), ROUND(D$10/K40, 5), IFERROR(INDEX($I$105:$I$282, MATCH($D$6&amp;"|"&amp;$D$7&amp;"|"&amp;$D$8&amp;"|"&amp;$D$9&amp;"|"&amp;14, $P$105:$P$282, 0)), 0)))))</f>
        <v/>
      </c>
      <c r="G40" s="34">
        <f>IF(B40="","", IFERROR(INDEX(Rates_Master!$E:$E, MATCH(B40, Rates_Master!$A:$A, 0)), IFERROR(INDEX($K$105:$K$282, MATCH($D$6&amp;"|"&amp;$D$7&amp;"|"&amp;$D$8&amp;"|"&amp;$D$9&amp;"|"&amp;14, $P$105:$P$282, 0)), 0)))</f>
        <v/>
      </c>
      <c r="H40" s="35">
        <f>IF(OR(B40="", F40=""), 0, ROUND(F40 * G40, 2))</f>
        <v/>
      </c>
      <c r="I40" s="21">
        <f>IF(B40="","", IF(ISNUMBER(SEARCH("2.10", B40)), "A", "W"))</f>
        <v/>
      </c>
      <c r="J40" s="36">
        <f>IF(H$41&gt;0, ROUND(H40 / H$41 * 100, 1), 0)</f>
        <v/>
      </c>
      <c r="K40" s="37">
        <f>IFERROR(INDEX($N$105:$N$282, MATCH($D$6&amp;"|"&amp;$D$7&amp;"|"&amp;$D$8&amp;"|"&amp;$D$9&amp;"|"&amp;14, $P$105:$P$282, 0)), "")</f>
        <v/>
      </c>
      <c r="L40" s="38">
        <f>IF(AND(ISNUMBER(F40), F40&gt;0, D$10&gt;0), ROUND(F40 * 8 / D$10, 4), "")</f>
        <v/>
      </c>
      <c r="M40" s="37">
        <f>IF(AND(ISNUMBER(F40), F40&gt;0, D$10&gt;0), ROUND(D$10 / (F40 * 8), 2), "")</f>
        <v/>
      </c>
      <c r="N40" s="39">
        <f>IF(B40="","", "CPWD Standard Earthwork Production Resource")</f>
        <v/>
      </c>
      <c r="O40" s="39">
        <f>IF(B40="","", IF(B40="0101", IF($D$22="NO", "OMITTED DEDUCTION (DAR Item 2.5): 0.40 Bhishti-day @ Rs 617 = Rs 246.80 direct. Compounded with GST 14.05% (Rs 34.68) + CPOH 15% (Rs 42.22) + Cess 1% (Rs 3.24) = Rs 326.94/10 cum -&gt; -Rs 33.00/cum deduction.", "Watering by Bhishti to OMC: 25 cum/8-hr day (0.40 day/10 cum)."), IF(OR(B40="0003", B40="0011", B40="0113"),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MATCH($D$6&amp;"|"&amp;$D$7&amp;"|"&amp;$D$8&amp;"|"&amp;$D$9&amp;"|"&amp;14, $P$105:$P$282, 0)), ""))))</f>
        <v/>
      </c>
    </row>
    <row r="41" ht="24" customHeight="1">
      <c r="A41" s="40" t="inlineStr">
        <is>
          <t>Direct Production Cost W = Σ Amount (all active resource lines):</t>
        </is>
      </c>
      <c r="B41" s="92" t="n"/>
      <c r="C41" s="92" t="n"/>
      <c r="D41" s="92" t="n"/>
      <c r="E41" s="92" t="n"/>
      <c r="F41" s="92" t="n"/>
      <c r="G41" s="93" t="n"/>
      <c r="H41" s="42">
        <f>ROUND(SUM(H27:H40), 2)</f>
        <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f>ROUND(SUMIF(I27:I40, "A", H27:H40), 2)</f>
        <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f>H41</f>
        <v/>
      </c>
      <c r="F46" s="52" t="inlineStr">
        <is>
          <t>—</t>
        </is>
      </c>
      <c r="G46" s="51">
        <f>0</f>
        <v/>
      </c>
      <c r="H46" s="53">
        <f>H41</f>
        <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f>H46 - H42</f>
        <v/>
      </c>
      <c r="F47" s="54">
        <f>Factor_Water</f>
        <v/>
      </c>
      <c r="G47" s="51">
        <f>IF(C47="YES", ROUND(E47 * F47, 2), 0)</f>
        <v/>
      </c>
      <c r="H47" s="53">
        <f>H46 + G47</f>
        <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f>H47</f>
        <v/>
      </c>
      <c r="F48" s="58" t="inlineStr">
        <is>
          <t>—</t>
        </is>
      </c>
      <c r="G48" s="57">
        <f>0</f>
        <v/>
      </c>
      <c r="H48" s="59">
        <f>H47</f>
        <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f>H48 - H42</f>
        <v/>
      </c>
      <c r="F49" s="54">
        <f>Factor_GST</f>
        <v/>
      </c>
      <c r="G49" s="51">
        <f>IF(C49="YES", ROUND(E49 * F49, 2), 0)</f>
        <v/>
      </c>
      <c r="H49" s="53">
        <f>H48 + G49</f>
        <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f>H49</f>
        <v/>
      </c>
      <c r="F50" s="58" t="inlineStr">
        <is>
          <t>—</t>
        </is>
      </c>
      <c r="G50" s="57">
        <f>0</f>
        <v/>
      </c>
      <c r="H50" s="59">
        <f>H49</f>
        <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f>H50 - H42</f>
        <v/>
      </c>
      <c r="F51" s="54">
        <f>Factor_CPOH</f>
        <v/>
      </c>
      <c r="G51" s="51">
        <f>IF(C51="YES", ROUND(E51 * F51, 2), 0)</f>
        <v/>
      </c>
      <c r="H51" s="53">
        <f>H50 + G51</f>
        <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f>H51</f>
        <v/>
      </c>
      <c r="F52" s="58" t="inlineStr">
        <is>
          <t>—</t>
        </is>
      </c>
      <c r="G52" s="57">
        <f>0</f>
        <v/>
      </c>
      <c r="H52" s="59">
        <f>H51</f>
        <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f>H52</f>
        <v/>
      </c>
      <c r="F53" s="54">
        <f>Factor_Cess</f>
        <v/>
      </c>
      <c r="G53" s="51">
        <f>IF(C53="YES", ROUND(E53 * F53, 2), 0)</f>
        <v/>
      </c>
      <c r="H53" s="53">
        <f>H52 + G53</f>
        <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f>"Cost for " &amp; D10 &amp; " " &amp; D11</f>
        <v/>
      </c>
      <c r="C54" s="62" t="inlineStr">
        <is>
          <t>—</t>
        </is>
      </c>
      <c r="D54" s="62" t="inlineStr">
        <is>
          <t>Standard Output Batch</t>
        </is>
      </c>
      <c r="E54" s="63">
        <f>H53</f>
        <v/>
      </c>
      <c r="F54" s="64" t="inlineStr">
        <is>
          <t>—</t>
        </is>
      </c>
      <c r="G54" s="63">
        <f>0</f>
        <v/>
      </c>
      <c r="H54" s="65">
        <f>H53</f>
        <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f>"Rate per " &amp; D11 &amp; " (unrounded)"</f>
        <v/>
      </c>
      <c r="C55" s="50" t="inlineStr">
        <is>
          <t>—</t>
        </is>
      </c>
      <c r="D55" s="50">
        <f>D11</f>
        <v/>
      </c>
      <c r="E55" s="51">
        <f>H54 / D10</f>
        <v/>
      </c>
      <c r="F55" s="52" t="inlineStr">
        <is>
          <t>—</t>
        </is>
      </c>
      <c r="G55" s="51">
        <f>0</f>
        <v/>
      </c>
      <c r="H55" s="53">
        <f>H54 / D10</f>
        <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f>"FINAL ANALYSED SAY RATE (Rs per " &amp; D11 &amp; ")"</f>
        <v/>
      </c>
      <c r="C56" s="69" t="inlineStr">
        <is>
          <t>—</t>
        </is>
      </c>
      <c r="D56" s="69" t="inlineStr">
        <is>
          <t>MROUND 0.05</t>
        </is>
      </c>
      <c r="E56" s="70">
        <f>H55</f>
        <v/>
      </c>
      <c r="F56" s="71" t="inlineStr">
        <is>
          <t>—</t>
        </is>
      </c>
      <c r="G56" s="70">
        <f>0</f>
        <v/>
      </c>
      <c r="H56" s="72">
        <f>MROUND(H55, 0.05)</f>
        <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f>"Published Benchmark Say Rate (Rs per " &amp; D11 &amp; "):"</f>
        <v/>
      </c>
      <c r="C57" s="50" t="inlineStr">
        <is>
          <t>—</t>
        </is>
      </c>
      <c r="D57" s="50" t="inlineStr">
        <is>
          <t>Benchmark</t>
        </is>
      </c>
      <c r="E57" s="51">
        <f>D14</f>
        <v/>
      </c>
      <c r="F57" s="52" t="inlineStr">
        <is>
          <t>—</t>
        </is>
      </c>
      <c r="G57" s="51">
        <f>0</f>
        <v/>
      </c>
      <c r="H57" s="53">
        <f>D14</f>
        <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f>H56 - H57</f>
        <v/>
      </c>
      <c r="F58" s="64" t="inlineStr">
        <is>
          <t>—</t>
        </is>
      </c>
      <c r="G58" s="63">
        <f>0</f>
        <v/>
      </c>
      <c r="H58" s="65">
        <f>ROUND(H56 - H57, 2)</f>
        <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f>ROUND(G63 * H63, 3)</f>
        <v/>
      </c>
      <c r="J63" s="81" t="n">
        <v>8</v>
      </c>
      <c r="K63" s="80">
        <f>ROUND(I63 / J63, 4)</f>
        <v/>
      </c>
      <c r="L63" s="82">
        <f>IFERROR(ROUND(E63 / K63, 2), "")</f>
        <v/>
      </c>
      <c r="M63" s="83">
        <f>IFERROR(ROUND(I63 / E63, 4), "")</f>
        <v/>
      </c>
      <c r="N63" s="82">
        <f>IFERROR(ROUND(L63 / J63, 2), "")</f>
        <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f>ROUND(G64 * H64, 3)</f>
        <v/>
      </c>
      <c r="J64" s="81" t="n">
        <v>8</v>
      </c>
      <c r="K64" s="80">
        <f>ROUND(I64 / J64, 4)</f>
        <v/>
      </c>
      <c r="L64" s="82">
        <f>IFERROR(ROUND(E64 / K64, 2), "")</f>
        <v/>
      </c>
      <c r="M64" s="83">
        <f>IFERROR(ROUND(I64 / E64, 4), "")</f>
        <v/>
      </c>
      <c r="N64" s="82">
        <f>IFERROR(ROUND(L64 / J64, 2), "")</f>
        <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f>ROUND(G65 * H65, 3)</f>
        <v/>
      </c>
      <c r="J65" s="81" t="n">
        <v>8</v>
      </c>
      <c r="K65" s="80">
        <f>ROUND(I65 / J65, 4)</f>
        <v/>
      </c>
      <c r="L65" s="82">
        <f>IFERROR(ROUND(E65 / K65, 2), "")</f>
        <v/>
      </c>
      <c r="M65" s="83">
        <f>IFERROR(ROUND(I65 / E65, 4), "")</f>
        <v/>
      </c>
      <c r="N65" s="82">
        <f>IFERROR(ROUND(L65 / J65, 2), "")</f>
        <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f>ROUND(G66 * H66, 3)</f>
        <v/>
      </c>
      <c r="J66" s="81" t="n">
        <v>8</v>
      </c>
      <c r="K66" s="80">
        <f>ROUND(I66 / J66, 4)</f>
        <v/>
      </c>
      <c r="L66" s="82">
        <f>IFERROR(ROUND(E66 / K66, 2), "")</f>
        <v/>
      </c>
      <c r="M66" s="83">
        <f>IFERROR(ROUND(I66 / E66, 4), "")</f>
        <v/>
      </c>
      <c r="N66" s="82">
        <f>IFERROR(ROUND(L66 / J66, 2), "")</f>
        <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f>ROUND(G67 * H67, 3)</f>
        <v/>
      </c>
      <c r="J67" s="81" t="n">
        <v>8</v>
      </c>
      <c r="K67" s="80">
        <f>ROUND(I67 / J67, 4)</f>
        <v/>
      </c>
      <c r="L67" s="82">
        <f>IFERROR(ROUND(E67 / K67, 2), "")</f>
        <v/>
      </c>
      <c r="M67" s="83">
        <f>IFERROR(ROUND(I67 / E67, 4), "")</f>
        <v/>
      </c>
      <c r="N67" s="82">
        <f>IFERROR(ROUND(L67 / J67, 2), "")</f>
        <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f>ROUND(G68 * H68, 3)</f>
        <v/>
      </c>
      <c r="J68" s="81" t="n">
        <v>8</v>
      </c>
      <c r="K68" s="80">
        <f>ROUND(I68 / J68, 4)</f>
        <v/>
      </c>
      <c r="L68" s="82">
        <f>IFERROR(ROUND(E68 / K68, 2), "")</f>
        <v/>
      </c>
      <c r="M68" s="83">
        <f>IFERROR(ROUND(I68 / E68, 4), "")</f>
        <v/>
      </c>
      <c r="N68" s="82">
        <f>IFERROR(ROUND(L68 / J68, 2), "")</f>
        <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f>ROUND(G69 * H69, 3)</f>
        <v/>
      </c>
      <c r="J69" s="81" t="n">
        <v>8</v>
      </c>
      <c r="K69" s="80">
        <f>ROUND(I69 / J69, 4)</f>
        <v/>
      </c>
      <c r="L69" s="82">
        <f>IFERROR(ROUND(E69 / K69, 2), "")</f>
        <v/>
      </c>
      <c r="M69" s="83">
        <f>IFERROR(ROUND(I69 / E69, 4), "")</f>
        <v/>
      </c>
      <c r="N69" s="82">
        <f>IFERROR(ROUND(L69 / J69, 2), "")</f>
        <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f>ROUND(G70 * H70, 3)</f>
        <v/>
      </c>
      <c r="J70" s="81" t="n">
        <v>8</v>
      </c>
      <c r="K70" s="80">
        <f>ROUND(I70 / J70, 4)</f>
        <v/>
      </c>
      <c r="L70" s="82">
        <f>IFERROR(ROUND(E70 / K70, 2), "")</f>
        <v/>
      </c>
      <c r="M70" s="83">
        <f>IFERROR(ROUND(I70 / E70, 4), "")</f>
        <v/>
      </c>
      <c r="N70" s="82">
        <f>IFERROR(ROUND(L70 / J70, 2), "")</f>
        <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f>ROUND(G71 * H71, 3)</f>
        <v/>
      </c>
      <c r="J71" s="81" t="n">
        <v>8</v>
      </c>
      <c r="K71" s="80">
        <f>ROUND(I71 / J71, 4)</f>
        <v/>
      </c>
      <c r="L71" s="82">
        <f>IFERROR(ROUND(E71 / K71, 2), "")</f>
        <v/>
      </c>
      <c r="M71" s="83">
        <f>IFERROR(ROUND(I71 / E71, 4), "")</f>
        <v/>
      </c>
      <c r="N71" s="82">
        <f>IFERROR(ROUND(L71 / J71, 2), "")</f>
        <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f>ROUND(G72 * H72, 3)</f>
        <v/>
      </c>
      <c r="J72" s="81" t="n">
        <v>8</v>
      </c>
      <c r="K72" s="80">
        <f>ROUND(I72 / J72, 4)</f>
        <v/>
      </c>
      <c r="L72" s="82">
        <f>IFERROR(ROUND(E72 / K72, 2), "")</f>
        <v/>
      </c>
      <c r="M72" s="83">
        <f>IFERROR(ROUND(I72 / E72, 4), "")</f>
        <v/>
      </c>
      <c r="N72" s="82">
        <f>IFERROR(ROUND(L72 / J72, 2), "")</f>
        <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f>ROUND(G73 * H73, 3)</f>
        <v/>
      </c>
      <c r="J73" s="81" t="n">
        <v>8</v>
      </c>
      <c r="K73" s="80">
        <f>ROUND(I73 / J73, 4)</f>
        <v/>
      </c>
      <c r="L73" s="82">
        <f>IFERROR(ROUND(E73 / K73, 2), "")</f>
        <v/>
      </c>
      <c r="M73" s="83">
        <f>IFERROR(ROUND(I73 / E73, 4), "")</f>
        <v/>
      </c>
      <c r="N73" s="82">
        <f>IFERROR(ROUND(L73 / J73, 2), "")</f>
        <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f>ROUND(G74 * H74, 3)</f>
        <v/>
      </c>
      <c r="J74" s="81" t="n">
        <v>8</v>
      </c>
      <c r="K74" s="80">
        <f>ROUND(I74 / J74, 4)</f>
        <v/>
      </c>
      <c r="L74" s="82">
        <f>IFERROR(ROUND(E74 / K74, 2), "")</f>
        <v/>
      </c>
      <c r="M74" s="83">
        <f>IFERROR(ROUND(I74 / E74, 4), "")</f>
        <v/>
      </c>
      <c r="N74" s="82">
        <f>IFERROR(ROUND(L74 / J74, 2), "")</f>
        <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f>ROUND(G75 * H75, 3)</f>
        <v/>
      </c>
      <c r="J75" s="81" t="n">
        <v>8</v>
      </c>
      <c r="K75" s="80">
        <f>ROUND(I75 / J75, 4)</f>
        <v/>
      </c>
      <c r="L75" s="82">
        <f>IFERROR(ROUND(E75 / K75, 2), "")</f>
        <v/>
      </c>
      <c r="M75" s="83">
        <f>IFERROR(ROUND(I75 / E75, 4), "")</f>
        <v/>
      </c>
      <c r="N75" s="82">
        <f>IFERROR(ROUND(L75 / J75, 2), "")</f>
        <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f>ROUND(G76 * H76, 3)</f>
        <v/>
      </c>
      <c r="J76" s="81" t="n">
        <v>8</v>
      </c>
      <c r="K76" s="80">
        <f>ROUND(I76 / J76, 4)</f>
        <v/>
      </c>
      <c r="L76" s="82">
        <f>IFERROR(ROUND(E76 / K76, 2), "")</f>
        <v/>
      </c>
      <c r="M76" s="83">
        <f>IFERROR(ROUND(I76 / E76, 4), "")</f>
        <v/>
      </c>
      <c r="N76" s="82">
        <f>IFERROR(ROUND(L76 / J76, 2), "")</f>
        <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f>ROUND(G77 * H77, 3)</f>
        <v/>
      </c>
      <c r="J77" s="81" t="n">
        <v>8</v>
      </c>
      <c r="K77" s="80">
        <f>ROUND(I77 / J77, 4)</f>
        <v/>
      </c>
      <c r="L77" s="82">
        <f>IFERROR(ROUND(E77 / K77, 2), "")</f>
        <v/>
      </c>
      <c r="M77" s="83">
        <f>IFERROR(ROUND(I77 / E77, 4), "")</f>
        <v/>
      </c>
      <c r="N77" s="82">
        <f>IFERROR(ROUND(L77 / J77, 2), "")</f>
        <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f>ROUND(G78 * H78, 3)</f>
        <v/>
      </c>
      <c r="J78" s="81" t="n">
        <v>8</v>
      </c>
      <c r="K78" s="80">
        <f>ROUND(I78 / J78, 4)</f>
        <v/>
      </c>
      <c r="L78" s="82">
        <f>IFERROR(ROUND(E78 / K78, 2), "")</f>
        <v/>
      </c>
      <c r="M78" s="83">
        <f>IFERROR(ROUND(I78 / E78, 4), "")</f>
        <v/>
      </c>
      <c r="N78" s="82">
        <f>IFERROR(ROUND(L78 / J78, 2), "")</f>
        <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f>ROUND(G79 * H79, 3)</f>
        <v/>
      </c>
      <c r="J79" s="81" t="n">
        <v>8</v>
      </c>
      <c r="K79" s="80">
        <f>ROUND(I79 / J79, 4)</f>
        <v/>
      </c>
      <c r="L79" s="82">
        <f>IFERROR(ROUND(E79 / K79, 2), "")</f>
        <v/>
      </c>
      <c r="M79" s="83">
        <f>IFERROR(ROUND(I79 / E79, 4), "")</f>
        <v/>
      </c>
      <c r="N79" s="82">
        <f>IFERROR(ROUND(L79 / J79, 2), "")</f>
        <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f>ROUND(G80 * H80, 3)</f>
        <v/>
      </c>
      <c r="J80" s="81" t="n">
        <v>8</v>
      </c>
      <c r="K80" s="80">
        <f>ROUND(I80 / J80, 4)</f>
        <v/>
      </c>
      <c r="L80" s="82">
        <f>IFERROR(ROUND(E80 / K80, 2), "")</f>
        <v/>
      </c>
      <c r="M80" s="83">
        <f>IFERROR(ROUND(I80 / E80, 4), "")</f>
        <v/>
      </c>
      <c r="N80" s="82">
        <f>IFERROR(ROUND(L80 / J80, 2), "")</f>
        <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f>ROUND(G81 * H81, 3)</f>
        <v/>
      </c>
      <c r="J81" s="81" t="n">
        <v>8</v>
      </c>
      <c r="K81" s="80">
        <f>ROUND(I81 / J81, 4)</f>
        <v/>
      </c>
      <c r="L81" s="82">
        <f>IFERROR(ROUND(E81 / K81, 2), "")</f>
        <v/>
      </c>
      <c r="M81" s="83">
        <f>IFERROR(ROUND(I81 / E81, 4), "")</f>
        <v/>
      </c>
      <c r="N81" s="82">
        <f>IFERROR(ROUND(L81 / J81, 2), "")</f>
        <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f>ROUND(G82 * H82, 3)</f>
        <v/>
      </c>
      <c r="J82" s="81" t="n">
        <v>8</v>
      </c>
      <c r="K82" s="80">
        <f>ROUND(I82 / J82, 4)</f>
        <v/>
      </c>
      <c r="L82" s="82">
        <f>IFERROR(ROUND(E82 / K82, 2), "")</f>
        <v/>
      </c>
      <c r="M82" s="83">
        <f>IFERROR(ROUND(I82 / E82, 4), "")</f>
        <v/>
      </c>
      <c r="N82" s="82">
        <f>IFERROR(ROUND(L82 / J82, 2), "")</f>
        <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f>ROUND(G83 * H83, 3)</f>
        <v/>
      </c>
      <c r="J83" s="81" t="n">
        <v>8</v>
      </c>
      <c r="K83" s="80">
        <f>ROUND(I83 / J83, 4)</f>
        <v/>
      </c>
      <c r="L83" s="82">
        <f>IFERROR(ROUND(E83 / K83, 2), "")</f>
        <v/>
      </c>
      <c r="M83" s="83">
        <f>IFERROR(ROUND(I83 / E83, 4), "")</f>
        <v/>
      </c>
      <c r="N83" s="82">
        <f>IFERROR(ROUND(L83 / J83, 2), "")</f>
        <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f>ROUND(G84 * H84, 3)</f>
        <v/>
      </c>
      <c r="J84" s="81" t="n">
        <v>8</v>
      </c>
      <c r="K84" s="80">
        <f>ROUND(I84 / J84, 4)</f>
        <v/>
      </c>
      <c r="L84" s="82">
        <f>IFERROR(ROUND(E84 / K84, 2), "")</f>
        <v/>
      </c>
      <c r="M84" s="83">
        <f>IFERROR(ROUND(I84 / E84, 4), "")</f>
        <v/>
      </c>
      <c r="N84" s="82">
        <f>IFERROR(ROUND(L84 / J84, 2), "")</f>
        <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f>ROUND(G85 * H85, 3)</f>
        <v/>
      </c>
      <c r="J85" s="81" t="n">
        <v>8</v>
      </c>
      <c r="K85" s="80">
        <f>ROUND(I85 / J85, 4)</f>
        <v/>
      </c>
      <c r="L85" s="82">
        <f>IFERROR(ROUND(E85 / K85, 2), "")</f>
        <v/>
      </c>
      <c r="M85" s="83">
        <f>IFERROR(ROUND(I85 / E85, 4), "")</f>
        <v/>
      </c>
      <c r="N85" s="82">
        <f>IFERROR(ROUND(L85 / J85, 2), "")</f>
        <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f>ROUND(G86 * H86, 3)</f>
        <v/>
      </c>
      <c r="J86" s="81" t="n">
        <v>8</v>
      </c>
      <c r="K86" s="80">
        <f>ROUND(I86 / J86, 4)</f>
        <v/>
      </c>
      <c r="L86" s="82">
        <f>IFERROR(ROUND(E86 / K86, 2), "")</f>
        <v/>
      </c>
      <c r="M86" s="83">
        <f>IFERROR(ROUND(I86 / E86, 4), "")</f>
        <v/>
      </c>
      <c r="N86" s="82">
        <f>IFERROR(ROUND(L86 / J86, 2), "")</f>
        <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f>ROUND(G87 * H87, 3)</f>
        <v/>
      </c>
      <c r="J87" s="81" t="n">
        <v>8</v>
      </c>
      <c r="K87" s="80">
        <f>ROUND(I87 / J87, 4)</f>
        <v/>
      </c>
      <c r="L87" s="82">
        <f>IFERROR(ROUND(E87 / K87, 2), "")</f>
        <v/>
      </c>
      <c r="M87" s="83">
        <f>IFERROR(ROUND(I87 / E87, 4), "")</f>
        <v/>
      </c>
      <c r="N87" s="82">
        <f>IFERROR(ROUND(L87 / J87, 2), "")</f>
        <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f>ROUND(G88 * H88, 3)</f>
        <v/>
      </c>
      <c r="J88" s="81" t="n">
        <v>8</v>
      </c>
      <c r="K88" s="80">
        <f>ROUND(I88 / J88, 4)</f>
        <v/>
      </c>
      <c r="L88" s="82">
        <f>IFERROR(ROUND(E88 / K88, 2), "")</f>
        <v/>
      </c>
      <c r="M88" s="83">
        <f>IFERROR(ROUND(I88 / E88, 4), "")</f>
        <v/>
      </c>
      <c r="N88" s="82">
        <f>IFERROR(ROUND(L88 / J88, 2), "")</f>
        <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f>ROUND(G89 * H89, 3)</f>
        <v/>
      </c>
      <c r="J89" s="81" t="n">
        <v>8</v>
      </c>
      <c r="K89" s="80">
        <f>ROUND(I89 / J89, 4)</f>
        <v/>
      </c>
      <c r="L89" s="82">
        <f>IFERROR(ROUND(E89 / K89, 2), "")</f>
        <v/>
      </c>
      <c r="M89" s="83">
        <f>IFERROR(ROUND(I89 / E89, 4), "")</f>
        <v/>
      </c>
      <c r="N89" s="82">
        <f>IFERROR(ROUND(L89 / J89, 2), "")</f>
        <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2026-09-09T22:02:16Z</dcterms:modified>
</cp:coreProperties>
</file>