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_xlnm._FilterDatabase" localSheetId="0" hidden="1">'Rates_Master'!$A$1:$E$2201</definedName>
    <definedName name="_xlnm._FilterDatabase" localSheetId="2" hidden="1">'Labour_Machinery_Productivity'!$A$1:$J$3025</definedName>
    <definedName name="_xlnm._FilterDatabase" localSheetId="3" hidden="1">'Sundries_Reference'!$A$1:$H$1218</definedName>
  </definedNames>
  <calcPr calcId="124519" fullCalcOnLoad="1"/>
</workbook>
</file>

<file path=xl/styles.xml><?xml version="1.0" encoding="utf-8"?>
<styleSheet xmlns="http://schemas.openxmlformats.org/spreadsheetml/2006/main">
  <numFmts count="2">
    <numFmt numFmtId="164" formatCode="₹ #,##0.00"/>
    <numFmt numFmtId="165"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8FAFC"/>
        <bgColor rgb="00F8FAFC"/>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9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8" borderId="2" applyAlignment="1" pivotButton="0" quotePrefix="0" xfId="0">
      <alignment horizontal="center" vertical="center"/>
    </xf>
    <xf numFmtId="0" fontId="8" fillId="9" borderId="2" applyAlignment="1" pivotButton="0" quotePrefix="0" xfId="0">
      <alignment horizontal="center" vertical="center"/>
    </xf>
    <xf numFmtId="0" fontId="7" fillId="10" borderId="2" applyAlignment="1" pivotButton="0" quotePrefix="0" xfId="0">
      <alignment horizontal="center" vertical="center"/>
    </xf>
    <xf numFmtId="0" fontId="7" fillId="10" borderId="2" applyAlignment="1" pivotButton="0" quotePrefix="0" xfId="0">
      <alignment horizontal="left" vertical="center" wrapText="1"/>
    </xf>
    <xf numFmtId="0" fontId="2" fillId="6" borderId="2" applyAlignment="1" applyProtection="1" pivotButton="0" quotePrefix="0" xfId="0">
      <alignment horizontal="center" vertical="center"/>
      <protection locked="0" hidden="0"/>
    </xf>
    <xf numFmtId="2" fontId="2" fillId="6" borderId="2" applyAlignment="1" applyProtection="1" pivotButton="0" quotePrefix="0" xfId="0">
      <alignment horizontal="center" vertical="center"/>
      <protection locked="0" hidden="0"/>
    </xf>
    <xf numFmtId="0" fontId="2" fillId="8" borderId="2" applyAlignment="1" pivotButton="0" quotePrefix="0" xfId="0">
      <alignment horizontal="center" vertical="center"/>
    </xf>
    <xf numFmtId="0" fontId="3" fillId="6" borderId="2" applyAlignment="1" applyProtection="1" pivotButton="0" quotePrefix="0" xfId="0">
      <alignment horizontal="left" vertical="center" wrapText="1"/>
      <protection locked="0" hidden="0"/>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0" fontId="1" fillId="2" borderId="0" applyAlignment="1" pivotButton="0" quotePrefix="0" xfId="0">
      <alignment horizontal="left" vertical="center"/>
    </xf>
    <xf numFmtId="0" fontId="0" fillId="8" borderId="2" applyAlignment="1" pivotButton="0" quotePrefix="0" xfId="0">
      <alignment horizontal="left" vertical="center"/>
    </xf>
    <xf numFmtId="0" fontId="0" fillId="8"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8" borderId="2" applyAlignment="1" pivotButton="0" quotePrefix="0" xfId="0">
      <alignment horizontal="right" vertical="center"/>
    </xf>
    <xf numFmtId="0" fontId="7" fillId="0" borderId="2" applyAlignment="1" applyProtection="1" pivotButton="0" quotePrefix="0" xfId="0">
      <alignment horizontal="lef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164" fontId="2" fillId="7" borderId="2" applyAlignment="1" pivotButton="0" quotePrefix="0" xfId="0">
      <alignment horizontal="right" vertical="center"/>
    </xf>
    <xf numFmtId="0" fontId="2" fillId="9" borderId="2" applyAlignment="1" pivotButton="0" quotePrefix="0" xfId="0">
      <alignment horizontal="center" vertical="center"/>
    </xf>
    <xf numFmtId="0" fontId="8" fillId="9" borderId="2" applyAlignment="1" pivotButton="0" quotePrefix="0" xfId="0">
      <alignment horizontal="left" vertical="center"/>
    </xf>
    <xf numFmtId="0" fontId="0" fillId="9" borderId="2" applyAlignment="1" pivotButton="0" quotePrefix="0" xfId="0">
      <alignment horizontal="center" vertical="center"/>
    </xf>
    <xf numFmtId="0" fontId="0" fillId="9" borderId="2" applyAlignment="1" pivotButton="0" quotePrefix="0" xfId="0">
      <alignment horizontal="right" vertical="center"/>
    </xf>
    <xf numFmtId="164" fontId="8" fillId="9" borderId="2" applyAlignment="1" pivotButton="0" quotePrefix="0" xfId="0">
      <alignment horizontal="right" vertical="center"/>
    </xf>
    <xf numFmtId="0" fontId="2" fillId="4" borderId="2" applyAlignment="1" pivotButton="0" quotePrefix="0" xfId="0">
      <alignment horizontal="left" vertical="center"/>
    </xf>
    <xf numFmtId="164" fontId="3" fillId="4" borderId="2" applyAlignment="1" pivotButton="0" quotePrefix="0" xfId="0">
      <alignment horizontal="right" vertical="center"/>
    </xf>
    <xf numFmtId="0" fontId="3" fillId="4" borderId="2" applyAlignment="1" pivotButton="0" quotePrefix="0" xfId="0">
      <alignment horizontal="left" vertical="center" wrapText="1"/>
    </xf>
    <xf numFmtId="0" fontId="2" fillId="3" borderId="2" applyAlignment="1" pivotButton="0" quotePrefix="0" xfId="0">
      <alignment horizontal="left" vertical="center"/>
    </xf>
    <xf numFmtId="164" fontId="3" fillId="3" borderId="2" applyAlignment="1" pivotButton="0" quotePrefix="0" xfId="0">
      <alignment horizontal="right" vertical="center"/>
    </xf>
    <xf numFmtId="0" fontId="3" fillId="3" borderId="2" applyAlignment="1" pivotButton="0" quotePrefix="0" xfId="0">
      <alignment horizontal="left" vertical="center" wrapText="1"/>
    </xf>
    <xf numFmtId="0" fontId="7" fillId="10" borderId="0" pivotButton="0" quotePrefix="0" xfId="0"/>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0" borderId="2" pivotButton="0" quotePrefix="0" xfId="0"/>
    <xf numFmtId="2" fontId="0" fillId="6" borderId="2" applyAlignment="1" applyProtection="1" pivotButton="0" quotePrefix="0" xfId="0">
      <alignment horizontal="right" vertical="center"/>
      <protection locked="0" hidden="0"/>
    </xf>
    <xf numFmtId="2" fontId="0" fillId="8" borderId="2" applyAlignment="1" pivotButton="0" quotePrefix="0" xfId="0">
      <alignment horizontal="right" vertical="center"/>
    </xf>
    <xf numFmtId="0" fontId="7" fillId="0" borderId="2" pivotButton="0" quotePrefix="0" xfId="0"/>
    <xf numFmtId="0" fontId="7" fillId="1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c r="E9" s="9" t="n">
        <v>7700</v>
      </c>
    </row>
    <row r="10" ht="20" customHeight="1">
      <c r="A10" s="2" t="inlineStr">
        <is>
          <t>0009</t>
        </is>
      </c>
      <c r="B10" s="3" t="inlineStr">
        <is>
          <t>Hire Charges of Plants &amp; Machinery</t>
        </is>
      </c>
      <c r="C10" s="3" t="inlineStr">
        <is>
          <t>Pumping charges of concrete including Hire charges of pump,</t>
        </is>
      </c>
      <c r="D10" s="4" t="inlineStr"/>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 Note :- 1. Above hire - charges (from item code 0001 to 0083) include cost of services of operating staff, Cost of lubricating oil, diesel / Petrol/ Kerosene oil , other consumables for running the plant and machinery and excluding GST.  2. The hire charges of plant machinery on per day basis are for single shift of eight working hours.</t>
        </is>
      </c>
      <c r="D79" s="8" t="inlineStr">
        <is>
          <t>day</t>
        </is>
      </c>
      <c r="E79" s="9" t="n">
        <v>1200</v>
      </c>
    </row>
    <row r="80" ht="20" customHeight="1">
      <c r="A80" s="2" t="inlineStr">
        <is>
          <t>0084</t>
        </is>
      </c>
      <c r="B80" s="3" t="inlineStr">
        <is>
          <t>Hire Charges of Plants &amp; Machinery</t>
        </is>
      </c>
      <c r="C80" s="3" t="inlineStr">
        <is>
          <t>Hire charges of diesel truck - 9 tonne (witout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c r="E124" s="5" t="n">
        <v>485</v>
      </c>
    </row>
    <row r="125" ht="20" customHeight="1">
      <c r="A125" s="6" t="inlineStr">
        <is>
          <t>0163</t>
        </is>
      </c>
      <c r="B125" s="7" t="inlineStr">
        <is>
          <t>Labour Wages</t>
        </is>
      </c>
      <c r="C125" s="7" t="inlineStr">
        <is>
          <t>Labour for installation of uPVC extruded casement/ sliding windows</t>
        </is>
      </c>
      <c r="D125" s="8" t="inlineStr"/>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c r="E129" s="9" t="n">
        <v>225</v>
      </c>
    </row>
    <row r="130" ht="20" customHeight="1">
      <c r="A130" s="2" t="inlineStr">
        <is>
          <t>0224</t>
        </is>
      </c>
      <c r="B130" s="3" t="inlineStr">
        <is>
          <t>Building Materials</t>
        </is>
      </c>
      <c r="C130" s="3" t="inlineStr">
        <is>
          <t>Fibre (reinforced by organic fibres and / or inorganic synthetic fibre)</t>
        </is>
      </c>
      <c r="D130" s="4" t="inlineStr"/>
      <c r="E130" s="5" t="n">
        <v>210</v>
      </c>
    </row>
    <row r="131" ht="20" customHeight="1">
      <c r="A131" s="6" t="inlineStr">
        <is>
          <t>0225</t>
        </is>
      </c>
      <c r="B131" s="7" t="inlineStr">
        <is>
          <t>Building Materials</t>
        </is>
      </c>
      <c r="C131" s="7" t="inlineStr">
        <is>
          <t>Fibre (reinforced by organic fibres and / or inorganic synthetic fibre)</t>
        </is>
      </c>
      <c r="D131" s="8" t="inlineStr"/>
      <c r="E131" s="9" t="n">
        <v>210</v>
      </c>
    </row>
    <row r="132" ht="20" customHeight="1">
      <c r="A132" s="2" t="inlineStr">
        <is>
          <t>0226</t>
        </is>
      </c>
      <c r="B132" s="3" t="inlineStr">
        <is>
          <t>Building Materials</t>
        </is>
      </c>
      <c r="C132" s="3" t="inlineStr">
        <is>
          <t>Fibre (reinforced by organic fibres and / or inorganic synthetic fibre)</t>
        </is>
      </c>
      <c r="D132" s="4" t="inlineStr"/>
      <c r="E132" s="5" t="n">
        <v>210</v>
      </c>
    </row>
    <row r="133" ht="20" customHeight="1">
      <c r="A133" s="6" t="inlineStr">
        <is>
          <t>0227</t>
        </is>
      </c>
      <c r="B133" s="7" t="inlineStr">
        <is>
          <t>Building Materials</t>
        </is>
      </c>
      <c r="C133" s="7" t="inlineStr">
        <is>
          <t>Fibre (reinforced by organic fibres and / or inorganic synthetic fibre)</t>
        </is>
      </c>
      <c r="D133" s="8" t="inlineStr"/>
      <c r="E133" s="9" t="n">
        <v>210</v>
      </c>
    </row>
    <row r="134" ht="20" customHeight="1">
      <c r="A134" s="2" t="inlineStr">
        <is>
          <t>0228</t>
        </is>
      </c>
      <c r="B134" s="3" t="inlineStr">
        <is>
          <t>Building Materials</t>
        </is>
      </c>
      <c r="C134" s="3" t="inlineStr">
        <is>
          <t>Fibre (reinforced by organic fibres and / or inorganic synthetic fibre)</t>
        </is>
      </c>
      <c r="D134" s="4" t="inlineStr"/>
      <c r="E134" s="5" t="n">
        <v>200</v>
      </c>
    </row>
    <row r="135" ht="20" customHeight="1">
      <c r="A135" s="6" t="inlineStr">
        <is>
          <t>0229</t>
        </is>
      </c>
      <c r="B135" s="7" t="inlineStr">
        <is>
          <t>Building Materials</t>
        </is>
      </c>
      <c r="C135" s="7" t="inlineStr">
        <is>
          <t>Fibre (reinforced by organic fibres and / or inorganic synthetic fibre)</t>
        </is>
      </c>
      <c r="D135" s="8" t="inlineStr"/>
      <c r="E135" s="9" t="n">
        <v>175</v>
      </c>
    </row>
    <row r="136" ht="20" customHeight="1">
      <c r="A136" s="2" t="inlineStr">
        <is>
          <t>0230</t>
        </is>
      </c>
      <c r="B136" s="3" t="inlineStr">
        <is>
          <t>Building Materials</t>
        </is>
      </c>
      <c r="C136" s="3" t="inlineStr">
        <is>
          <t>Fibre (reinforced by organic fibres and / or inorganic synthetic fibre)</t>
        </is>
      </c>
      <c r="D136" s="4" t="inlineStr"/>
      <c r="E136" s="5" t="n">
        <v>280</v>
      </c>
    </row>
    <row r="137" ht="20" customHeight="1">
      <c r="A137" s="6" t="inlineStr">
        <is>
          <t>0231</t>
        </is>
      </c>
      <c r="B137" s="7" t="inlineStr">
        <is>
          <t>Building Materials</t>
        </is>
      </c>
      <c r="C137" s="7" t="inlineStr">
        <is>
          <t>Fibre (reinforced by organic fibres and / or inorganic synthetic fibre)</t>
        </is>
      </c>
      <c r="D137" s="8" t="inlineStr"/>
      <c r="E137" s="9" t="n">
        <v>310</v>
      </c>
    </row>
    <row r="138" ht="20" customHeight="1">
      <c r="A138" s="2" t="inlineStr">
        <is>
          <t>0232</t>
        </is>
      </c>
      <c r="B138" s="3" t="inlineStr">
        <is>
          <t>Building Materials</t>
        </is>
      </c>
      <c r="C138" s="3" t="inlineStr">
        <is>
          <t>Fibre (reinforced by organic fibres and / or inorganic synthetic fibre)</t>
        </is>
      </c>
      <c r="D138" s="4" t="inlineStr"/>
      <c r="E138" s="5" t="n">
        <v>400</v>
      </c>
    </row>
    <row r="139" ht="20" customHeight="1">
      <c r="A139" s="6" t="inlineStr">
        <is>
          <t>0233</t>
        </is>
      </c>
      <c r="B139" s="7" t="inlineStr">
        <is>
          <t>Building Materials</t>
        </is>
      </c>
      <c r="C139" s="7" t="inlineStr">
        <is>
          <t>Fibre (reinforced by organic fibres and / or inorganic synthetic fibre)</t>
        </is>
      </c>
      <c r="D139" s="8" t="inlineStr"/>
      <c r="E139" s="9" t="n">
        <v>165</v>
      </c>
    </row>
    <row r="140" ht="20" customHeight="1">
      <c r="A140" s="2" t="inlineStr">
        <is>
          <t>0234</t>
        </is>
      </c>
      <c r="B140" s="3" t="inlineStr">
        <is>
          <t>Building Materials</t>
        </is>
      </c>
      <c r="C140" s="3" t="inlineStr">
        <is>
          <t>Fibre (reinforced by organic fibres and / or inorganic synthetic fibre)</t>
        </is>
      </c>
      <c r="D140" s="4" t="inlineStr"/>
      <c r="E140" s="5" t="n">
        <v>555</v>
      </c>
    </row>
    <row r="141" ht="20" customHeight="1">
      <c r="A141" s="6" t="inlineStr">
        <is>
          <t>0235</t>
        </is>
      </c>
      <c r="B141" s="7" t="inlineStr">
        <is>
          <t>Building Materials</t>
        </is>
      </c>
      <c r="C141" s="7" t="inlineStr">
        <is>
          <t>Fibre (reinforced by organic fibres and / or inorganic synthetic fibre)</t>
        </is>
      </c>
      <c r="D141" s="8" t="inlineStr"/>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cement board 6 mm thick</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cement board 8 mm thick</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c r="E148" s="5" t="n">
        <v>195</v>
      </c>
    </row>
    <row r="149" ht="20" customHeight="1">
      <c r="A149" s="6" t="inlineStr">
        <is>
          <t>0243</t>
        </is>
      </c>
      <c r="B149" s="7" t="inlineStr">
        <is>
          <t>Building Materials</t>
        </is>
      </c>
      <c r="C149" s="7" t="inlineStr">
        <is>
          <t>8 mm thick mulitipurpose cement bonded wood particle board</t>
        </is>
      </c>
      <c r="D149" s="8" t="inlineStr"/>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c r="E190" s="5" t="n">
        <v>230</v>
      </c>
    </row>
    <row r="191" ht="20" customHeight="1">
      <c r="A191" s="6" t="inlineStr">
        <is>
          <t>0347</t>
        </is>
      </c>
      <c r="B191" s="7" t="inlineStr">
        <is>
          <t>Building Materials</t>
        </is>
      </c>
      <c r="C191" s="7" t="inlineStr">
        <is>
          <t>Extra for veneered particle board with Commercial veneering on both</t>
        </is>
      </c>
      <c r="D191" s="8" t="inlineStr"/>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weighing not less than 0.350 kg</t>
        </is>
      </c>
      <c r="E239" s="9" t="n">
        <v>175</v>
      </c>
    </row>
    <row r="240" ht="20" customHeight="1">
      <c r="A240" s="2" t="inlineStr">
        <is>
          <t>0413</t>
        </is>
      </c>
      <c r="B240" s="3" t="inlineStr">
        <is>
          <t>Building Materials</t>
        </is>
      </c>
      <c r="C240" s="3" t="inlineStr">
        <is>
          <t>Brass mortice latch and lock 100x65 mm with 6 levers and a pair of</t>
        </is>
      </c>
      <c r="D240" s="4" t="inlineStr"/>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weighing not less than 0.357kg</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c r="E249" s="9" t="n">
        <v>126</v>
      </c>
    </row>
    <row r="250" ht="20" customHeight="1">
      <c r="A250" s="2" t="inlineStr">
        <is>
          <t>0425</t>
        </is>
      </c>
      <c r="B250" s="3" t="inlineStr">
        <is>
          <t>Building Materials</t>
        </is>
      </c>
      <c r="C250" s="3" t="inlineStr">
        <is>
          <t>Brass casement stays (straight peg type) 250 mm weighing not less</t>
        </is>
      </c>
      <c r="D250" s="4" t="inlineStr"/>
      <c r="E250" s="5" t="n">
        <v>100</v>
      </c>
    </row>
    <row r="251" ht="20" customHeight="1">
      <c r="A251" s="6" t="inlineStr">
        <is>
          <t>0426</t>
        </is>
      </c>
      <c r="B251" s="7" t="inlineStr">
        <is>
          <t>Building Materials</t>
        </is>
      </c>
      <c r="C251" s="7" t="inlineStr">
        <is>
          <t>Brass casement stays (straight peg type) 200 mm weighing not less</t>
        </is>
      </c>
      <c r="D251" s="8" t="inlineStr"/>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curtain rod 25 mm dia 1.20mm thick</t>
        </is>
      </c>
      <c r="E271" s="9" t="n">
        <v>170</v>
      </c>
    </row>
    <row r="272" ht="20" customHeight="1">
      <c r="A272" s="2" t="inlineStr">
        <is>
          <t>0456</t>
        </is>
      </c>
      <c r="B272" s="3" t="inlineStr">
        <is>
          <t>Building Materials</t>
        </is>
      </c>
      <c r="C272" s="3" t="inlineStr">
        <is>
          <t>Stainless steel SS grade 304,</t>
        </is>
      </c>
      <c r="D272" s="4" t="inlineStr">
        <is>
          <t>brackets ( curtain rod)</t>
        </is>
      </c>
      <c r="E272" s="5" t="n">
        <v>46</v>
      </c>
    </row>
    <row r="273" ht="20" customHeight="1">
      <c r="A273" s="6" t="inlineStr">
        <is>
          <t>0457</t>
        </is>
      </c>
      <c r="B273" s="7" t="inlineStr">
        <is>
          <t>Building Materials</t>
        </is>
      </c>
      <c r="C273" s="7" t="inlineStr">
        <is>
          <t>Stainless steel SS grade 304,</t>
        </is>
      </c>
      <c r="D273" s="8" t="inlineStr">
        <is>
          <t>brackets ( curtain rod)</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c r="E288" s="5" t="n">
        <v>140</v>
      </c>
    </row>
    <row r="289" ht="20" customHeight="1">
      <c r="A289" s="6" t="inlineStr">
        <is>
          <t>0570</t>
        </is>
      </c>
      <c r="B289" s="7" t="inlineStr">
        <is>
          <t>Building Materials</t>
        </is>
      </c>
      <c r="C289" s="7" t="inlineStr">
        <is>
          <t>Chromium plated Brass casement stays (straight peg type) 250 mm No.</t>
        </is>
      </c>
      <c r="D289" s="8" t="inlineStr"/>
      <c r="E289" s="9" t="n">
        <v>120</v>
      </c>
    </row>
    <row r="290" ht="20" customHeight="1">
      <c r="A290" s="2" t="inlineStr">
        <is>
          <t>0571</t>
        </is>
      </c>
      <c r="B290" s="3" t="inlineStr">
        <is>
          <t>Building Materials</t>
        </is>
      </c>
      <c r="C290" s="3" t="inlineStr">
        <is>
          <t>Chromium plated Brass casement stays (straight peg type) 200 mm</t>
        </is>
      </c>
      <c r="D290" s="4" t="inlineStr"/>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c r="E366" s="5" t="n">
        <v>1800</v>
      </c>
    </row>
    <row r="367" ht="20" customHeight="1">
      <c r="A367" s="6" t="inlineStr">
        <is>
          <t>0714</t>
        </is>
      </c>
      <c r="B367" s="7" t="inlineStr">
        <is>
          <t>Building Materials</t>
        </is>
      </c>
      <c r="C367" s="7" t="inlineStr">
        <is>
          <t>Block board construction flush door with teak wood ply on both faces</t>
        </is>
      </c>
      <c r="D367" s="8" t="inlineStr"/>
      <c r="E367" s="9" t="n">
        <v>1600</v>
      </c>
    </row>
    <row r="368" ht="20" customHeight="1">
      <c r="A368" s="2" t="inlineStr">
        <is>
          <t>0715</t>
        </is>
      </c>
      <c r="B368" s="3" t="inlineStr">
        <is>
          <t>Building Materials</t>
        </is>
      </c>
      <c r="C368" s="3" t="inlineStr">
        <is>
          <t>Block board construction flush door with teak wood ply on both faces</t>
        </is>
      </c>
      <c r="D368" s="4" t="inlineStr"/>
      <c r="E368" s="5" t="n">
        <v>1400</v>
      </c>
    </row>
    <row r="369" ht="20" customHeight="1">
      <c r="A369" s="6" t="inlineStr">
        <is>
          <t>0717</t>
        </is>
      </c>
      <c r="B369" s="7" t="inlineStr">
        <is>
          <t>Building Materials</t>
        </is>
      </c>
      <c r="C369" s="7" t="inlineStr">
        <is>
          <t>Block board construction flush door with commercial ply on both faces</t>
        </is>
      </c>
      <c r="D369" s="8" t="inlineStr"/>
      <c r="E369" s="9" t="n">
        <v>950</v>
      </c>
    </row>
    <row r="370" ht="20" customHeight="1">
      <c r="A370" s="2" t="inlineStr">
        <is>
          <t>0718</t>
        </is>
      </c>
      <c r="B370" s="3" t="inlineStr">
        <is>
          <t>Building Materials</t>
        </is>
      </c>
      <c r="C370" s="3" t="inlineStr">
        <is>
          <t>Block board construction flush door with commercial ply on both faces</t>
        </is>
      </c>
      <c r="D370" s="4" t="inlineStr"/>
      <c r="E370" s="5" t="n">
        <v>900</v>
      </c>
    </row>
    <row r="371" ht="20" customHeight="1">
      <c r="A371" s="6" t="inlineStr">
        <is>
          <t>0719</t>
        </is>
      </c>
      <c r="B371" s="7" t="inlineStr">
        <is>
          <t>Building Materials</t>
        </is>
      </c>
      <c r="C371" s="7" t="inlineStr">
        <is>
          <t>Block board construction flush door with commercial ply on both faces</t>
        </is>
      </c>
      <c r="D371" s="8" t="inlineStr"/>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c r="E396" s="5" t="n">
        <v>220</v>
      </c>
    </row>
    <row r="397" ht="20" customHeight="1">
      <c r="A397" s="6" t="inlineStr">
        <is>
          <t>0806</t>
        </is>
      </c>
      <c r="B397" s="7" t="inlineStr">
        <is>
          <t>Building Materials</t>
        </is>
      </c>
      <c r="C397" s="7" t="inlineStr">
        <is>
          <t>Ready mixed pink or grey primer on wood work (hard and soft wood)</t>
        </is>
      </c>
      <c r="D397" s="8" t="inlineStr"/>
      <c r="E397" s="9" t="n">
        <v>105</v>
      </c>
    </row>
    <row r="398" ht="20" customHeight="1">
      <c r="A398" s="2" t="inlineStr">
        <is>
          <t>0808</t>
        </is>
      </c>
      <c r="B398" s="3" t="inlineStr">
        <is>
          <t>Building Materials</t>
        </is>
      </c>
      <c r="C398" s="3" t="inlineStr">
        <is>
          <t>Water thinnable cement primer for interior wall surface, having VOC</t>
        </is>
      </c>
      <c r="D398" s="4" t="inlineStr"/>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c r="E444" s="5" t="n">
        <v>800</v>
      </c>
    </row>
    <row r="445" ht="20" customHeight="1">
      <c r="A445" s="6" t="inlineStr">
        <is>
          <t>0978</t>
        </is>
      </c>
      <c r="B445" s="7" t="inlineStr">
        <is>
          <t>Building Materials</t>
        </is>
      </c>
      <c r="C445" s="7" t="inlineStr">
        <is>
          <t>Extra for mechanical devices chain and cranked operation for operating</t>
        </is>
      </c>
      <c r="D445" s="8" t="inlineStr"/>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c r="E472" s="5" t="n">
        <v>430</v>
      </c>
    </row>
    <row r="473" ht="20" customHeight="1">
      <c r="A473" s="6" t="inlineStr">
        <is>
          <t>1022</t>
        </is>
      </c>
      <c r="B473" s="7" t="inlineStr">
        <is>
          <t>Building Materials</t>
        </is>
      </c>
      <c r="C473" s="7" t="inlineStr">
        <is>
          <t>Galvanised steel bolts &amp; nuts 6 mm dia and 25 mm long round head</t>
        </is>
      </c>
      <c r="D473" s="8" t="inlineStr"/>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c r="E566" s="5" t="n">
        <v>90</v>
      </c>
    </row>
    <row r="567" ht="20" customHeight="1">
      <c r="A567" s="6" t="inlineStr">
        <is>
          <t>1256</t>
        </is>
      </c>
      <c r="B567" s="7" t="inlineStr">
        <is>
          <t>Building Materials</t>
        </is>
      </c>
      <c r="C567" s="7" t="inlineStr">
        <is>
          <t>Cementitious polymer base coat confirming to EOTA ETAG 004</t>
        </is>
      </c>
      <c r="D567" s="8" t="inlineStr"/>
      <c r="E567" s="9" t="n">
        <v>40</v>
      </c>
    </row>
    <row r="568" ht="20" customHeight="1">
      <c r="A568" s="2" t="inlineStr">
        <is>
          <t>1257</t>
        </is>
      </c>
      <c r="B568" s="3" t="inlineStr">
        <is>
          <t>Building Materials</t>
        </is>
      </c>
      <c r="C568" s="3" t="inlineStr">
        <is>
          <t>Fiberglass mesh with alkali-resistant coating having mass per unit</t>
        </is>
      </c>
      <c r="D568" s="4" t="inlineStr"/>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c r="E624" s="5" t="n">
        <v>270</v>
      </c>
    </row>
    <row r="625" ht="20" customHeight="1">
      <c r="A625" s="6" t="inlineStr">
        <is>
          <t>1533</t>
        </is>
      </c>
      <c r="B625" s="7" t="inlineStr">
        <is>
          <t>Building Materials</t>
        </is>
      </c>
      <c r="C625" s="7" t="inlineStr">
        <is>
          <t>Flush pipe with union spreaders and clamps all in C.P. brass for</t>
        </is>
      </c>
      <c r="D625" s="8" t="inlineStr"/>
      <c r="E625" s="9" t="n">
        <v>400</v>
      </c>
    </row>
    <row r="626" ht="20" customHeight="1">
      <c r="A626" s="2" t="inlineStr">
        <is>
          <t>1534</t>
        </is>
      </c>
      <c r="B626" s="3" t="inlineStr">
        <is>
          <t>Building Materials</t>
        </is>
      </c>
      <c r="C626" s="3" t="inlineStr">
        <is>
          <t>Flush pipe with union spreaders and clamps all in C.P. brass for</t>
        </is>
      </c>
      <c r="D626" s="4" t="inlineStr"/>
      <c r="E626" s="5" t="n">
        <v>520</v>
      </c>
    </row>
    <row r="627" ht="20" customHeight="1">
      <c r="A627" s="6" t="inlineStr">
        <is>
          <t>1535</t>
        </is>
      </c>
      <c r="B627" s="7" t="inlineStr">
        <is>
          <t>Building Materials</t>
        </is>
      </c>
      <c r="C627" s="7" t="inlineStr">
        <is>
          <t>Flush pipe with union spreaders and clamps all in C.P. brass for</t>
        </is>
      </c>
      <c r="D627" s="8" t="inlineStr"/>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c r="E645" s="9" t="n">
        <v>1050</v>
      </c>
    </row>
    <row r="646" ht="20" customHeight="1">
      <c r="A646" s="2" t="inlineStr">
        <is>
          <t>1617</t>
        </is>
      </c>
      <c r="B646" s="3" t="inlineStr">
        <is>
          <t>Building Materials</t>
        </is>
      </c>
      <c r="C646" s="3" t="inlineStr">
        <is>
          <t>S.C.I. soil, waste and vent single socketed pipe 1.80 metres long:</t>
        </is>
      </c>
      <c r="D646" s="4" t="inlineStr"/>
      <c r="E646" s="5" t="n">
        <v>1135</v>
      </c>
    </row>
    <row r="647" ht="20" customHeight="1">
      <c r="A647" s="6" t="inlineStr">
        <is>
          <t>1618</t>
        </is>
      </c>
      <c r="B647" s="7" t="inlineStr">
        <is>
          <t>Building Materials</t>
        </is>
      </c>
      <c r="C647" s="7" t="inlineStr">
        <is>
          <t>S.C.I. soil, waste and vent single socketed pipe 1.80 metres long:</t>
        </is>
      </c>
      <c r="D647" s="8" t="inlineStr"/>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c r="E673" s="9" t="n">
        <v>550</v>
      </c>
    </row>
    <row r="674" ht="20" customHeight="1">
      <c r="A674" s="2" t="inlineStr">
        <is>
          <t>1659</t>
        </is>
      </c>
      <c r="B674" s="3" t="inlineStr">
        <is>
          <t>Building Materials</t>
        </is>
      </c>
      <c r="C674" s="3" t="inlineStr">
        <is>
          <t>Sand cast iron S&amp;S plain double unequal junctions: 100x100x75x</t>
        </is>
      </c>
      <c r="D674" s="4" t="inlineStr"/>
      <c r="E674" s="5" t="n">
        <v>615</v>
      </c>
    </row>
    <row r="675" ht="20" customHeight="1">
      <c r="A675" s="6" t="inlineStr">
        <is>
          <t>1662</t>
        </is>
      </c>
      <c r="B675" s="7" t="inlineStr">
        <is>
          <t>Building Materials</t>
        </is>
      </c>
      <c r="C675" s="7" t="inlineStr">
        <is>
          <t>Sand cast iron S&amp;S double unequal junctions: 100x100x75x75 mm dia</t>
        </is>
      </c>
      <c r="D675" s="8" t="inlineStr"/>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c r="E688" s="5" t="n">
        <v>30</v>
      </c>
    </row>
    <row r="689" ht="20" customHeight="1">
      <c r="A689" s="6" t="inlineStr">
        <is>
          <t>1688</t>
        </is>
      </c>
      <c r="B689" s="7" t="inlineStr">
        <is>
          <t>Building Materials</t>
        </is>
      </c>
      <c r="C689" s="7" t="inlineStr">
        <is>
          <t>Unplasticised P.V.C. connection pipe with brass union 30 cm long</t>
        </is>
      </c>
      <c r="D689" s="8" t="inlineStr"/>
      <c r="E689" s="9" t="n">
        <v>35</v>
      </c>
    </row>
    <row r="690" ht="20" customHeight="1">
      <c r="A690" s="2" t="inlineStr">
        <is>
          <t>1689</t>
        </is>
      </c>
      <c r="B690" s="3" t="inlineStr">
        <is>
          <t>Building Materials</t>
        </is>
      </c>
      <c r="C690" s="3" t="inlineStr">
        <is>
          <t>Unplasticised P.V.C. connection pipe with brass union 45 cm long</t>
        </is>
      </c>
      <c r="D690" s="4" t="inlineStr"/>
      <c r="E690" s="5" t="n">
        <v>35</v>
      </c>
    </row>
    <row r="691" ht="20" customHeight="1">
      <c r="A691" s="6" t="inlineStr">
        <is>
          <t>1690</t>
        </is>
      </c>
      <c r="B691" s="7" t="inlineStr">
        <is>
          <t>Building Materials</t>
        </is>
      </c>
      <c r="C691" s="7" t="inlineStr">
        <is>
          <t>Unplasticised P.V.C. connection pipe with brass union 45 cm long</t>
        </is>
      </c>
      <c r="D691" s="8" t="inlineStr"/>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c r="E750" s="5" t="n">
        <v>170</v>
      </c>
    </row>
    <row r="751" ht="20" customHeight="1">
      <c r="A751" s="6" t="inlineStr">
        <is>
          <t>1893</t>
        </is>
      </c>
      <c r="B751" s="7" t="inlineStr">
        <is>
          <t>Building Materials</t>
        </is>
      </c>
      <c r="C751" s="7" t="inlineStr">
        <is>
          <t>C.I. trap for standard urinal with vent arm with operating and other</t>
        </is>
      </c>
      <c r="D751" s="8" t="inlineStr"/>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c r="E800" s="5" t="n">
        <v>2500</v>
      </c>
    </row>
    <row r="801" ht="20" customHeight="1">
      <c r="A801" s="6" t="inlineStr">
        <is>
          <t>1966</t>
        </is>
      </c>
      <c r="B801" s="7" t="inlineStr">
        <is>
          <t>Building Materials</t>
        </is>
      </c>
      <c r="C801" s="7" t="inlineStr">
        <is>
          <t>Floor mounted white vitrous china double trap syphonic WC with</t>
        </is>
      </c>
      <c r="D801" s="8" t="inlineStr"/>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c r="E899" s="9" t="n">
        <v>300</v>
      </c>
    </row>
    <row r="900" ht="20" customHeight="1">
      <c r="A900" s="2" t="inlineStr">
        <is>
          <t>2407</t>
        </is>
      </c>
      <c r="B900" s="3" t="inlineStr">
        <is>
          <t>Building Materials</t>
        </is>
      </c>
      <c r="C900" s="3" t="inlineStr">
        <is>
          <t>Float glass panes of nominal thickness 5 mm (weight not less than</t>
        </is>
      </c>
      <c r="D900" s="4" t="inlineStr"/>
      <c r="E900" s="5" t="n">
        <v>500</v>
      </c>
    </row>
    <row r="901" ht="20" customHeight="1">
      <c r="A901" s="6" t="inlineStr">
        <is>
          <t>2408</t>
        </is>
      </c>
      <c r="B901" s="7" t="inlineStr">
        <is>
          <t>Building Materials</t>
        </is>
      </c>
      <c r="C901" s="7" t="inlineStr">
        <is>
          <t>Float glass panes of nominal thickness 8 mm (weight not less than</t>
        </is>
      </c>
      <c r="D901" s="8" t="inlineStr"/>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c r="E927" s="9" t="n">
        <v>870</v>
      </c>
    </row>
    <row r="928" ht="20" customHeight="1">
      <c r="A928" s="2" t="inlineStr">
        <is>
          <t>2483</t>
        </is>
      </c>
      <c r="B928" s="3" t="inlineStr">
        <is>
          <t>Building Materials</t>
        </is>
      </c>
      <c r="C928" s="3" t="inlineStr">
        <is>
          <t>Ply wood 7 ply with teak ply on one face and commercial ply on another</t>
        </is>
      </c>
      <c r="D928" s="4" t="inlineStr"/>
      <c r="E928" s="5" t="n">
        <v>950</v>
      </c>
    </row>
    <row r="929" ht="20" customHeight="1">
      <c r="A929" s="6" t="inlineStr">
        <is>
          <t>2484</t>
        </is>
      </c>
      <c r="B929" s="7" t="inlineStr">
        <is>
          <t>Building Materials</t>
        </is>
      </c>
      <c r="C929" s="7" t="inlineStr">
        <is>
          <t>Pre-laminated with decorative lamination on both side exterior</t>
        </is>
      </c>
      <c r="D929" s="8" t="inlineStr"/>
      <c r="E929" s="9" t="n">
        <v>460</v>
      </c>
    </row>
    <row r="930" ht="20" customHeight="1">
      <c r="A930" s="2" t="inlineStr">
        <is>
          <t>2485</t>
        </is>
      </c>
      <c r="B930" s="3" t="inlineStr">
        <is>
          <t>Building Materials</t>
        </is>
      </c>
      <c r="C930" s="3" t="inlineStr">
        <is>
          <t>Pre-laminated with decorative lamination on both side exterior</t>
        </is>
      </c>
      <c r="D930" s="4" t="inlineStr"/>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sheet 20mm thick pre laminated on both side</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c r="E1023" s="9" t="n">
        <v>1200</v>
      </c>
    </row>
    <row r="1024" ht="20" customHeight="1">
      <c r="A1024" s="2" t="inlineStr">
        <is>
          <t>3621</t>
        </is>
      </c>
      <c r="B1024" s="3" t="inlineStr">
        <is>
          <t>Building Materials</t>
        </is>
      </c>
      <c r="C1024" s="3" t="inlineStr">
        <is>
          <t>C.C.I. (spun) socketed soil, waste and vent pipe 1.80 metres long:</t>
        </is>
      </c>
      <c r="D1024" s="4" t="inlineStr"/>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c r="E1042" s="5" t="n">
        <v>850</v>
      </c>
    </row>
    <row r="1043" ht="20" customHeight="1">
      <c r="A1043" s="6" t="inlineStr">
        <is>
          <t>3681</t>
        </is>
      </c>
      <c r="B1043" s="7" t="inlineStr">
        <is>
          <t>Building Materials</t>
        </is>
      </c>
      <c r="C1043" s="7" t="inlineStr">
        <is>
          <t>S.C.I. S&amp;S single equal invert branch of required degree 100x100x</t>
        </is>
      </c>
      <c r="D1043" s="8" t="inlineStr"/>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c r="E1045" s="9" t="n">
        <v>530</v>
      </c>
    </row>
    <row r="1046" ht="20" customHeight="1">
      <c r="A1046" s="2" t="inlineStr">
        <is>
          <t>3686</t>
        </is>
      </c>
      <c r="B1046" s="3" t="inlineStr">
        <is>
          <t>Building Materials</t>
        </is>
      </c>
      <c r="C1046" s="3" t="inlineStr">
        <is>
          <t>S.C.I. S&amp;S double equal invert branch of required degree 75x75x75x</t>
        </is>
      </c>
      <c r="D1046" s="4" t="inlineStr"/>
      <c r="E1046" s="5" t="n">
        <v>425</v>
      </c>
    </row>
    <row r="1047" ht="20" customHeight="1">
      <c r="A1047" s="6" t="inlineStr">
        <is>
          <t>3690</t>
        </is>
      </c>
      <c r="B1047" s="7" t="inlineStr">
        <is>
          <t>Building Materials</t>
        </is>
      </c>
      <c r="C1047" s="7" t="inlineStr">
        <is>
          <t>S.C.I. S&amp;S single unequal invert branch of required degree 100x100x</t>
        </is>
      </c>
      <c r="D1047" s="8" t="inlineStr"/>
      <c r="E1047" s="9" t="n">
        <v>545</v>
      </c>
    </row>
    <row r="1048" ht="20" customHeight="1">
      <c r="A1048" s="2" t="inlineStr">
        <is>
          <t>3695</t>
        </is>
      </c>
      <c r="B1048" s="3" t="inlineStr">
        <is>
          <t>Building Materials</t>
        </is>
      </c>
      <c r="C1048" s="3" t="inlineStr">
        <is>
          <t>S.C.I. S&amp;S double unequal invert branch of required degree 100x100x</t>
        </is>
      </c>
      <c r="D1048" s="4" t="inlineStr"/>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c r="E1121" s="9" t="n">
        <v>250</v>
      </c>
    </row>
    <row r="1122" ht="20" customHeight="1">
      <c r="A1122" s="2" t="inlineStr">
        <is>
          <t>7031</t>
        </is>
      </c>
      <c r="B1122" s="3" t="inlineStr">
        <is>
          <t>Building Materials</t>
        </is>
      </c>
      <c r="C1122" s="3" t="inlineStr">
        <is>
          <t>12.5 mm thick tapered edge moisture resistant plain Gypsum plaster</t>
        </is>
      </c>
      <c r="D1122" s="4" t="inlineStr"/>
      <c r="E1122" s="5" t="n">
        <v>275</v>
      </c>
    </row>
    <row r="1123" ht="20" customHeight="1">
      <c r="A1123" s="6" t="inlineStr">
        <is>
          <t>7032</t>
        </is>
      </c>
      <c r="B1123" s="7" t="inlineStr">
        <is>
          <t>Building Materials</t>
        </is>
      </c>
      <c r="C1123" s="7" t="inlineStr">
        <is>
          <t>Frosted glass sheet of nominal thickness 4 mm (weighing not less than</t>
        </is>
      </c>
      <c r="D1123" s="8" t="inlineStr"/>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c r="E1145" s="9" t="n">
        <v>35</v>
      </c>
    </row>
    <row r="1146" ht="20" customHeight="1">
      <c r="A1146" s="2" t="inlineStr">
        <is>
          <t>7064</t>
        </is>
      </c>
      <c r="B1146" s="3" t="inlineStr">
        <is>
          <t>Building Materials</t>
        </is>
      </c>
      <c r="C1146" s="3" t="inlineStr">
        <is>
          <t>Oxidised M.S.casement stay (straight peg type) 250 mm not less than</t>
        </is>
      </c>
      <c r="D1146" s="4" t="inlineStr"/>
      <c r="E1146" s="5" t="n">
        <v>30</v>
      </c>
    </row>
    <row r="1147" ht="20" customHeight="1">
      <c r="A1147" s="6" t="inlineStr">
        <is>
          <t>7065</t>
        </is>
      </c>
      <c r="B1147" s="7" t="inlineStr">
        <is>
          <t>Building Materials</t>
        </is>
      </c>
      <c r="C1147" s="7" t="inlineStr">
        <is>
          <t>Oxidised M.S. casement stay (straight peg type) 200 mm not less than</t>
        </is>
      </c>
      <c r="D1147" s="8" t="inlineStr"/>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c r="E1160" s="5" t="n">
        <v>2480</v>
      </c>
    </row>
    <row r="1161" ht="20" customHeight="1">
      <c r="A1161" s="6" t="inlineStr">
        <is>
          <t>7096</t>
        </is>
      </c>
      <c r="B1161" s="7" t="inlineStr">
        <is>
          <t>Building Materials</t>
        </is>
      </c>
      <c r="C1161" s="7" t="inlineStr">
        <is>
          <t>Stainless steel kitchen sink - with drain board 510 x 1040 mm bowl</t>
        </is>
      </c>
      <c r="D1161" s="8" t="inlineStr"/>
      <c r="E1161" s="9" t="n">
        <v>3000</v>
      </c>
    </row>
    <row r="1162" ht="20" customHeight="1">
      <c r="A1162" s="2" t="inlineStr">
        <is>
          <t>7097</t>
        </is>
      </c>
      <c r="B1162" s="3" t="inlineStr">
        <is>
          <t>Building Materials</t>
        </is>
      </c>
      <c r="C1162" s="3" t="inlineStr">
        <is>
          <t>Stainless steel kitchen sink - with drain board 510 x 1040 mm bowl</t>
        </is>
      </c>
      <c r="D1162" s="4" t="inlineStr"/>
      <c r="E1162" s="5" t="n">
        <v>2800</v>
      </c>
    </row>
    <row r="1163" ht="20" customHeight="1">
      <c r="A1163" s="6" t="inlineStr">
        <is>
          <t>7098</t>
        </is>
      </c>
      <c r="B1163" s="7" t="inlineStr">
        <is>
          <t>Building Materials</t>
        </is>
      </c>
      <c r="C1163" s="7" t="inlineStr">
        <is>
          <t>Stainless steel kitchen sink - with drain board 510x1040 mm bowl</t>
        </is>
      </c>
      <c r="D1163" s="8" t="inlineStr"/>
      <c r="E1163" s="9" t="n">
        <v>2500</v>
      </c>
    </row>
    <row r="1164" ht="20" customHeight="1">
      <c r="A1164" s="2" t="inlineStr">
        <is>
          <t>7101</t>
        </is>
      </c>
      <c r="B1164" s="3" t="inlineStr">
        <is>
          <t>Building Materials</t>
        </is>
      </c>
      <c r="C1164" s="3" t="inlineStr">
        <is>
          <t>Stainless steel kitchen sink - without drain board 610x510 mm bowl</t>
        </is>
      </c>
      <c r="D1164" s="4" t="inlineStr"/>
      <c r="E1164" s="5" t="n">
        <v>1800</v>
      </c>
    </row>
    <row r="1165" ht="20" customHeight="1">
      <c r="A1165" s="6" t="inlineStr">
        <is>
          <t>7102</t>
        </is>
      </c>
      <c r="B1165" s="7" t="inlineStr">
        <is>
          <t>Building Materials</t>
        </is>
      </c>
      <c r="C1165" s="7" t="inlineStr">
        <is>
          <t>Stainless steel kitchen sink - without drain board 610x460 mm bowl</t>
        </is>
      </c>
      <c r="D1165" s="8" t="inlineStr"/>
      <c r="E1165" s="9" t="n">
        <v>1200</v>
      </c>
    </row>
    <row r="1166" ht="20" customHeight="1">
      <c r="A1166" s="2" t="inlineStr">
        <is>
          <t>7103</t>
        </is>
      </c>
      <c r="B1166" s="3" t="inlineStr">
        <is>
          <t>Building Materials</t>
        </is>
      </c>
      <c r="C1166" s="3" t="inlineStr">
        <is>
          <t>Stainless steel kitchen sink - without drain board 470x420 mm bowl</t>
        </is>
      </c>
      <c r="D1166" s="4" t="inlineStr"/>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c r="E1176" s="5" t="n">
        <v>25</v>
      </c>
    </row>
    <row r="1177" ht="20" customHeight="1">
      <c r="A1177" s="6" t="inlineStr">
        <is>
          <t>7118</t>
        </is>
      </c>
      <c r="B1177" s="7" t="inlineStr">
        <is>
          <t>Building Materials</t>
        </is>
      </c>
      <c r="C1177" s="7" t="inlineStr">
        <is>
          <t>Semi Rigid PVC waste pipe for sink and wash basin 40 mm dia with</t>
        </is>
      </c>
      <c r="D1177" s="8" t="inlineStr"/>
      <c r="E1177" s="9" t="n">
        <v>33</v>
      </c>
    </row>
    <row r="1178" ht="20" customHeight="1">
      <c r="A1178" s="2" t="inlineStr">
        <is>
          <t>7119</t>
        </is>
      </c>
      <c r="B1178" s="3" t="inlineStr">
        <is>
          <t>Building Materials</t>
        </is>
      </c>
      <c r="C1178" s="3" t="inlineStr">
        <is>
          <t>Flexible (coil shaped) PVC waste pipe for sink and wash basin 32mm dia</t>
        </is>
      </c>
      <c r="D1178" s="4" t="inlineStr"/>
      <c r="E1178" s="5" t="n">
        <v>35</v>
      </c>
    </row>
    <row r="1179" ht="20" customHeight="1">
      <c r="A1179" s="6" t="inlineStr">
        <is>
          <t>7120</t>
        </is>
      </c>
      <c r="B1179" s="7" t="inlineStr">
        <is>
          <t>Building Materials</t>
        </is>
      </c>
      <c r="C1179" s="7" t="inlineStr">
        <is>
          <t>Flexible (coil shaped) PVC waste pipe for sink and wash basin 40 No.</t>
        </is>
      </c>
      <c r="D1179" s="8" t="inlineStr"/>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c r="E1182" s="5" t="n">
        <v>550</v>
      </c>
    </row>
    <row r="1183" ht="20" customHeight="1">
      <c r="A1183" s="6" t="inlineStr">
        <is>
          <t>7126</t>
        </is>
      </c>
      <c r="B1183" s="7" t="inlineStr">
        <is>
          <t>Building Materials</t>
        </is>
      </c>
      <c r="C1183" s="7" t="inlineStr">
        <is>
          <t>White Vitreous china 10 litre (full flush) capacity controlled low level</t>
        </is>
      </c>
      <c r="D1183" s="8" t="inlineStr"/>
      <c r="E1183" s="9" t="n">
        <v>700</v>
      </c>
    </row>
    <row r="1184" ht="20" customHeight="1">
      <c r="A1184" s="2" t="inlineStr">
        <is>
          <t>7127</t>
        </is>
      </c>
      <c r="B1184" s="3" t="inlineStr">
        <is>
          <t>Building Materials</t>
        </is>
      </c>
      <c r="C1184" s="3" t="inlineStr">
        <is>
          <t>Coloured Vitreous china 10 litre (full flush) capacity controlled low level</t>
        </is>
      </c>
      <c r="D1184" s="4" t="inlineStr"/>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c r="E1187" s="9" t="n">
        <v>675</v>
      </c>
    </row>
    <row r="1188" ht="20" customHeight="1">
      <c r="A1188" s="2" t="inlineStr">
        <is>
          <t>7131</t>
        </is>
      </c>
      <c r="B1188" s="3" t="inlineStr">
        <is>
          <t>Building Materials</t>
        </is>
      </c>
      <c r="C1188" s="3" t="inlineStr">
        <is>
          <t>Square shape 450x450 mm precast R.C.C. manhole cover with frame -</t>
        </is>
      </c>
      <c r="D1188" s="4" t="inlineStr"/>
      <c r="E1188" s="5" t="n">
        <v>575</v>
      </c>
    </row>
    <row r="1189" ht="20" customHeight="1">
      <c r="A1189" s="6" t="inlineStr">
        <is>
          <t>7132</t>
        </is>
      </c>
      <c r="B1189" s="7" t="inlineStr">
        <is>
          <t>Building Materials</t>
        </is>
      </c>
      <c r="C1189" s="7" t="inlineStr">
        <is>
          <t>Circular shape 450 mm dia precast R.C.C. manhole cover with frame -</t>
        </is>
      </c>
      <c r="D1189" s="8" t="inlineStr"/>
      <c r="E1189" s="9" t="n">
        <v>575</v>
      </c>
    </row>
    <row r="1190" ht="20" customHeight="1">
      <c r="A1190" s="2" t="inlineStr">
        <is>
          <t>7133</t>
        </is>
      </c>
      <c r="B1190" s="3" t="inlineStr">
        <is>
          <t>Building Materials</t>
        </is>
      </c>
      <c r="C1190" s="3" t="inlineStr">
        <is>
          <t>Rectangular shape 500x500 mm precast R.C.C. manhole cover with</t>
        </is>
      </c>
      <c r="D1190" s="4" t="inlineStr"/>
      <c r="E1190" s="5" t="n">
        <v>670</v>
      </c>
    </row>
    <row r="1191" ht="20" customHeight="1">
      <c r="A1191" s="6" t="inlineStr">
        <is>
          <t>7134</t>
        </is>
      </c>
      <c r="B1191" s="7" t="inlineStr">
        <is>
          <t>Building Materials</t>
        </is>
      </c>
      <c r="C1191" s="7" t="inlineStr">
        <is>
          <t>Circular shape 500 mm dia precast R.C.C. manhole cover with frame-</t>
        </is>
      </c>
      <c r="D1191" s="8" t="inlineStr"/>
      <c r="E1191" s="9" t="n">
        <v>575</v>
      </c>
    </row>
    <row r="1192" ht="20" customHeight="1">
      <c r="A1192" s="2" t="inlineStr">
        <is>
          <t>7135</t>
        </is>
      </c>
      <c r="B1192" s="3" t="inlineStr">
        <is>
          <t>Building Materials</t>
        </is>
      </c>
      <c r="C1192" s="3" t="inlineStr">
        <is>
          <t>Circular shape 560 mm dia precast R.C.C. manhole cover with frame -</t>
        </is>
      </c>
      <c r="D1192" s="4" t="inlineStr"/>
      <c r="E1192" s="5" t="n">
        <v>880</v>
      </c>
    </row>
    <row r="1193" ht="20" customHeight="1">
      <c r="A1193" s="6" t="inlineStr">
        <is>
          <t>7136</t>
        </is>
      </c>
      <c r="B1193" s="7" t="inlineStr">
        <is>
          <t>Building Materials</t>
        </is>
      </c>
      <c r="C1193" s="7" t="inlineStr">
        <is>
          <t>Circular shape 560 mm dia precast R.C.C. manhole cover with frame -</t>
        </is>
      </c>
      <c r="D1193" s="8" t="inlineStr"/>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c r="E1199" s="9" t="n">
        <v>1430</v>
      </c>
    </row>
    <row r="1200" ht="20" customHeight="1">
      <c r="A1200" s="2" t="inlineStr">
        <is>
          <t>7157</t>
        </is>
      </c>
      <c r="B1200" s="3" t="inlineStr">
        <is>
          <t>Building Materials</t>
        </is>
      </c>
      <c r="C1200" s="3" t="inlineStr">
        <is>
          <t>Laminated veneer lumber confirming to TADS 15:1995 manufactured No.</t>
        </is>
      </c>
      <c r="D1200" s="4" t="inlineStr"/>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c r="E1207" s="9" t="n">
        <v>70</v>
      </c>
    </row>
    <row r="1208" ht="20" customHeight="1">
      <c r="A1208" s="2" t="inlineStr">
        <is>
          <t>7189</t>
        </is>
      </c>
      <c r="B1208" s="3" t="inlineStr">
        <is>
          <t>Building Materials</t>
        </is>
      </c>
      <c r="C1208" s="3" t="inlineStr">
        <is>
          <t>U-PVC pipes (working pressure 4 kg / cm²) Single socketed pipe</t>
        </is>
      </c>
      <c r="D1208" s="4" t="inlineStr"/>
      <c r="E1208" s="5" t="n">
        <v>130</v>
      </c>
    </row>
    <row r="1209" ht="20" customHeight="1">
      <c r="A1209" s="6" t="inlineStr">
        <is>
          <t>7190</t>
        </is>
      </c>
      <c r="B1209" s="7" t="inlineStr">
        <is>
          <t>Building Materials</t>
        </is>
      </c>
      <c r="C1209" s="7" t="inlineStr">
        <is>
          <t>U-PVC pipes (working pressure 4 kg / cm²) Rubber (Seal) Ring</t>
        </is>
      </c>
      <c r="D1209" s="8" t="inlineStr"/>
      <c r="E1209" s="9" t="n">
        <v>8</v>
      </c>
    </row>
    <row r="1210" ht="20" customHeight="1">
      <c r="A1210" s="2" t="inlineStr">
        <is>
          <t>7191</t>
        </is>
      </c>
      <c r="B1210" s="3" t="inlineStr">
        <is>
          <t>Building Materials</t>
        </is>
      </c>
      <c r="C1210" s="3" t="inlineStr">
        <is>
          <t>U-PVC pipes (working pressure 4 kg / cm²) Rubber (Seal) Ring</t>
        </is>
      </c>
      <c r="D1210" s="4" t="inlineStr"/>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c r="E1228" s="5" t="n">
        <v>225</v>
      </c>
    </row>
    <row r="1229" ht="20" customHeight="1">
      <c r="A1229" s="6" t="inlineStr">
        <is>
          <t>7237</t>
        </is>
      </c>
      <c r="B1229" s="7" t="inlineStr">
        <is>
          <t>Building Materials</t>
        </is>
      </c>
      <c r="C1229" s="7" t="inlineStr">
        <is>
          <t>Precast chequered cement tiles 22 mm thick medium shade using</t>
        </is>
      </c>
      <c r="D1229" s="8" t="inlineStr"/>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c r="E1306" s="5" t="n">
        <v>240</v>
      </c>
    </row>
    <row r="1307" ht="20" customHeight="1">
      <c r="A1307" s="6" t="inlineStr">
        <is>
          <t>7367</t>
        </is>
      </c>
      <c r="B1307" s="7" t="inlineStr">
        <is>
          <t>Building Materials</t>
        </is>
      </c>
      <c r="C1307" s="7" t="inlineStr">
        <is>
          <t>Galvanised M.S. sheet 0.5 mm thick pressed channel section of size</t>
        </is>
      </c>
      <c r="D1307" s="8" t="inlineStr"/>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c r="E1310" s="5" t="n">
        <v>445</v>
      </c>
    </row>
    <row r="1311" ht="20" customHeight="1">
      <c r="A1311" s="6" t="inlineStr">
        <is>
          <t>7376</t>
        </is>
      </c>
      <c r="B1311" s="7" t="inlineStr">
        <is>
          <t>Building Materials</t>
        </is>
      </c>
      <c r="C1311" s="7" t="inlineStr">
        <is>
          <t>G.I. flush pipe and C.P. brass spreader including C.P. connecting pipe</t>
        </is>
      </c>
      <c r="D1311" s="8" t="inlineStr"/>
      <c r="E1311" s="9" t="n">
        <v>765</v>
      </c>
    </row>
    <row r="1312" ht="20" customHeight="1">
      <c r="A1312" s="2" t="inlineStr">
        <is>
          <t>7377</t>
        </is>
      </c>
      <c r="B1312" s="3" t="inlineStr">
        <is>
          <t>Building Materials</t>
        </is>
      </c>
      <c r="C1312" s="3" t="inlineStr">
        <is>
          <t>G.i. flush pipe and C.P. brass spreader including C.P. connecting pipe</t>
        </is>
      </c>
      <c r="D1312" s="4" t="inlineStr"/>
      <c r="E1312" s="5" t="n">
        <v>1050</v>
      </c>
    </row>
    <row r="1313" ht="20" customHeight="1">
      <c r="A1313" s="6" t="inlineStr">
        <is>
          <t>7378</t>
        </is>
      </c>
      <c r="B1313" s="7" t="inlineStr">
        <is>
          <t>Building Materials</t>
        </is>
      </c>
      <c r="C1313" s="7" t="inlineStr">
        <is>
          <t>G.I. flush pipe and C.P. brass spreader including C.P. connecting pipe No.</t>
        </is>
      </c>
      <c r="D1313" s="8" t="inlineStr"/>
      <c r="E1313" s="9" t="n">
        <v>1430</v>
      </c>
    </row>
    <row r="1314" ht="20" customHeight="1">
      <c r="A1314" s="2" t="inlineStr">
        <is>
          <t>7379</t>
        </is>
      </c>
      <c r="B1314" s="3" t="inlineStr">
        <is>
          <t>Building Materials</t>
        </is>
      </c>
      <c r="C1314" s="3" t="inlineStr">
        <is>
          <t>White vitreous china clay half stall urinal flat back 580x380x350 mm or</t>
        </is>
      </c>
      <c r="D1314" s="4" t="inlineStr"/>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c r="E1371" s="9" t="n">
        <v>575</v>
      </c>
    </row>
    <row r="1372" ht="20" customHeight="1">
      <c r="A1372" s="2" t="inlineStr">
        <is>
          <t>7453</t>
        </is>
      </c>
      <c r="B1372" s="3" t="inlineStr">
        <is>
          <t>Building Materials</t>
        </is>
      </c>
      <c r="C1372" s="3" t="inlineStr">
        <is>
          <t>Raj nagar plain white marble (table rubbed and polished) 18 mm thick</t>
        </is>
      </c>
      <c r="D1372" s="4" t="inlineStr"/>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c r="E1385" s="9" t="n">
        <v>100</v>
      </c>
    </row>
    <row r="1386" ht="20" customHeight="1">
      <c r="A1386" s="2" t="inlineStr">
        <is>
          <t>7496</t>
        </is>
      </c>
      <c r="B1386" s="3" t="inlineStr">
        <is>
          <t>Building Materials</t>
        </is>
      </c>
      <c r="C1386" s="3" t="inlineStr">
        <is>
          <t>PTMT Ball Cock 20mm complete with Epoxy Coated Aluminium Rod &amp;</t>
        </is>
      </c>
      <c r="D1386" s="4" t="inlineStr"/>
      <c r="E1386" s="5" t="n">
        <v>135</v>
      </c>
    </row>
    <row r="1387" ht="20" customHeight="1">
      <c r="A1387" s="6" t="inlineStr">
        <is>
          <t>7497</t>
        </is>
      </c>
      <c r="B1387" s="7" t="inlineStr">
        <is>
          <t>Building Materials</t>
        </is>
      </c>
      <c r="C1387" s="7" t="inlineStr">
        <is>
          <t>PTMT Ball Cock 25mm complete with Epoxy Coated Aluminium Rod &amp;</t>
        </is>
      </c>
      <c r="D1387" s="8" t="inlineStr"/>
      <c r="E1387" s="9" t="n">
        <v>290</v>
      </c>
    </row>
    <row r="1388" ht="20" customHeight="1">
      <c r="A1388" s="2" t="inlineStr">
        <is>
          <t>7498</t>
        </is>
      </c>
      <c r="B1388" s="3" t="inlineStr">
        <is>
          <t>Building Materials</t>
        </is>
      </c>
      <c r="C1388" s="3" t="inlineStr">
        <is>
          <t>PTMT Ball Cock 40mm complete with Epoxy Coated Aluminium Rod &amp;</t>
        </is>
      </c>
      <c r="D1388" s="4" t="inlineStr"/>
      <c r="E1388" s="5" t="n">
        <v>480</v>
      </c>
    </row>
    <row r="1389" ht="20" customHeight="1">
      <c r="A1389" s="6" t="inlineStr">
        <is>
          <t>7499</t>
        </is>
      </c>
      <c r="B1389" s="7" t="inlineStr">
        <is>
          <t>Building Materials</t>
        </is>
      </c>
      <c r="C1389" s="7" t="inlineStr">
        <is>
          <t>PTMT Ball Cock 50mm complete with Epoxy Coated Aluminium Rod &amp;</t>
        </is>
      </c>
      <c r="D1389" s="8" t="inlineStr"/>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c r="E1410" s="5" t="n">
        <v>700</v>
      </c>
    </row>
    <row r="1411" ht="20" customHeight="1">
      <c r="A1411" s="6" t="inlineStr">
        <is>
          <t>7622</t>
        </is>
      </c>
      <c r="B1411" s="7" t="inlineStr">
        <is>
          <t>Building Materials</t>
        </is>
      </c>
      <c r="C1411" s="7" t="inlineStr">
        <is>
          <t>Hubless centrifugally cast (spun) iron pipes as per IS 15905 - 75 mm dia</t>
        </is>
      </c>
      <c r="D1411" s="8" t="inlineStr"/>
      <c r="E1411" s="9" t="n">
        <v>570</v>
      </c>
    </row>
    <row r="1412" ht="20" customHeight="1">
      <c r="A1412" s="2" t="inlineStr">
        <is>
          <t>7623</t>
        </is>
      </c>
      <c r="B1412" s="3" t="inlineStr">
        <is>
          <t>Building Materials</t>
        </is>
      </c>
      <c r="C1412" s="3" t="inlineStr">
        <is>
          <t>Hubless centrifugally cast (spun) iron plain bend as per IS 15905 -</t>
        </is>
      </c>
      <c r="D1412" s="4" t="inlineStr"/>
      <c r="E1412" s="5" t="n">
        <v>230</v>
      </c>
    </row>
    <row r="1413" ht="20" customHeight="1">
      <c r="A1413" s="6" t="inlineStr">
        <is>
          <t>7624</t>
        </is>
      </c>
      <c r="B1413" s="7" t="inlineStr">
        <is>
          <t>Building Materials</t>
        </is>
      </c>
      <c r="C1413" s="7" t="inlineStr">
        <is>
          <t>Hubless centrifugally cast (spun) iron plain bend as per IS 15905 -</t>
        </is>
      </c>
      <c r="D1413" s="8" t="inlineStr"/>
      <c r="E1413" s="9" t="n">
        <v>160</v>
      </c>
    </row>
    <row r="1414" ht="20" customHeight="1">
      <c r="A1414" s="2" t="inlineStr">
        <is>
          <t>7625</t>
        </is>
      </c>
      <c r="B1414" s="3" t="inlineStr">
        <is>
          <t>Building Materials</t>
        </is>
      </c>
      <c r="C1414" s="3" t="inlineStr">
        <is>
          <t>Hubless centrifugally cast (spun) iron double equal plain junction as per</t>
        </is>
      </c>
      <c r="D1414" s="4" t="inlineStr"/>
      <c r="E1414" s="5" t="n">
        <v>510</v>
      </c>
    </row>
    <row r="1415" ht="20" customHeight="1">
      <c r="A1415" s="6" t="inlineStr">
        <is>
          <t>7626</t>
        </is>
      </c>
      <c r="B1415" s="7" t="inlineStr">
        <is>
          <t>Building Materials</t>
        </is>
      </c>
      <c r="C1415" s="7" t="inlineStr">
        <is>
          <t>Hubless centrifugally cast (spun) iron double equal plain junction as per</t>
        </is>
      </c>
      <c r="D1415" s="8" t="inlineStr"/>
      <c r="E1415" s="9" t="n">
        <v>275</v>
      </c>
    </row>
    <row r="1416" ht="20" customHeight="1">
      <c r="A1416" s="2" t="inlineStr">
        <is>
          <t>7627</t>
        </is>
      </c>
      <c r="B1416" s="3" t="inlineStr">
        <is>
          <t>Building Materials</t>
        </is>
      </c>
      <c r="C1416" s="3" t="inlineStr">
        <is>
          <t>Hubless centrifugally cast (spun) iron single equal plain junction as per</t>
        </is>
      </c>
      <c r="D1416" s="4" t="inlineStr"/>
      <c r="E1416" s="5" t="n">
        <v>400</v>
      </c>
    </row>
    <row r="1417" ht="20" customHeight="1">
      <c r="A1417" s="6" t="inlineStr">
        <is>
          <t>7628</t>
        </is>
      </c>
      <c r="B1417" s="7" t="inlineStr">
        <is>
          <t>Building Materials</t>
        </is>
      </c>
      <c r="C1417" s="7" t="inlineStr">
        <is>
          <t>Hubless centrifugally cast (spun) iron single equal plain junction as per</t>
        </is>
      </c>
      <c r="D1417" s="8" t="inlineStr"/>
      <c r="E1417" s="9" t="n">
        <v>215</v>
      </c>
    </row>
    <row r="1418" ht="20" customHeight="1">
      <c r="A1418" s="2" t="inlineStr">
        <is>
          <t>7629</t>
        </is>
      </c>
      <c r="B1418" s="3" t="inlineStr">
        <is>
          <t>Building Materials</t>
        </is>
      </c>
      <c r="C1418" s="3" t="inlineStr">
        <is>
          <t>Hubless centrifugally cast (spun) iron double unequal plain junction as</t>
        </is>
      </c>
      <c r="D1418" s="4" t="inlineStr"/>
      <c r="E1418" s="5" t="n">
        <v>400</v>
      </c>
    </row>
    <row r="1419" ht="20" customHeight="1">
      <c r="A1419" s="6" t="inlineStr">
        <is>
          <t>7630</t>
        </is>
      </c>
      <c r="B1419" s="7" t="inlineStr">
        <is>
          <t>Building Materials</t>
        </is>
      </c>
      <c r="C1419" s="7" t="inlineStr">
        <is>
          <t>Hubless centrifugally cast (spun) iron single unequal plain junction as</t>
        </is>
      </c>
      <c r="D1419" s="8" t="inlineStr"/>
      <c r="E1419" s="9" t="n">
        <v>375</v>
      </c>
    </row>
    <row r="1420" ht="20" customHeight="1">
      <c r="A1420" s="2" t="inlineStr">
        <is>
          <t>7631</t>
        </is>
      </c>
      <c r="B1420" s="3" t="inlineStr">
        <is>
          <t>Building Materials</t>
        </is>
      </c>
      <c r="C1420" s="3" t="inlineStr">
        <is>
          <t>Hubless centrifugally cast (spun) iron double equal plain invert</t>
        </is>
      </c>
      <c r="D1420" s="4" t="inlineStr"/>
      <c r="E1420" s="5" t="n">
        <v>625</v>
      </c>
    </row>
    <row r="1421" ht="20" customHeight="1">
      <c r="A1421" s="6" t="inlineStr">
        <is>
          <t>7632</t>
        </is>
      </c>
      <c r="B1421" s="7" t="inlineStr">
        <is>
          <t>Building Materials</t>
        </is>
      </c>
      <c r="C1421" s="7" t="inlineStr">
        <is>
          <t>Hubless centrifugally cast (spun) iron single equal plain invert branch as</t>
        </is>
      </c>
      <c r="D1421" s="8" t="inlineStr"/>
      <c r="E1421" s="9" t="n">
        <v>390</v>
      </c>
    </row>
    <row r="1422" ht="20" customHeight="1">
      <c r="A1422" s="2" t="inlineStr">
        <is>
          <t>7633</t>
        </is>
      </c>
      <c r="B1422" s="3" t="inlineStr">
        <is>
          <t>Building Materials</t>
        </is>
      </c>
      <c r="C1422" s="3" t="inlineStr">
        <is>
          <t>Hubless centrifugally cast (spun) iron single equal plain invert branch as</t>
        </is>
      </c>
      <c r="D1422" s="4" t="inlineStr"/>
      <c r="E1422" s="5" t="n">
        <v>260</v>
      </c>
    </row>
    <row r="1423" ht="20" customHeight="1">
      <c r="A1423" s="6" t="inlineStr">
        <is>
          <t>7634</t>
        </is>
      </c>
      <c r="B1423" s="7" t="inlineStr">
        <is>
          <t>Building Materials</t>
        </is>
      </c>
      <c r="C1423" s="7" t="inlineStr">
        <is>
          <t>Hubless centrifugally cast (spun) iron single unequal plain invert branch</t>
        </is>
      </c>
      <c r="D1423" s="8" t="inlineStr"/>
      <c r="E1423" s="9" t="n">
        <v>430</v>
      </c>
    </row>
    <row r="1424" ht="20" customHeight="1">
      <c r="A1424" s="2" t="inlineStr">
        <is>
          <t>7635</t>
        </is>
      </c>
      <c r="B1424" s="3" t="inlineStr">
        <is>
          <t>Building Materials</t>
        </is>
      </c>
      <c r="C1424" s="3" t="inlineStr">
        <is>
          <t>Hubless centrifugally cast (spun) iron 65 mm offset with 100 mm dia</t>
        </is>
      </c>
      <c r="D1424" s="4" t="inlineStr"/>
      <c r="E1424" s="5" t="n">
        <v>360</v>
      </c>
    </row>
    <row r="1425" ht="20" customHeight="1">
      <c r="A1425" s="6" t="inlineStr">
        <is>
          <t>7636</t>
        </is>
      </c>
      <c r="B1425" s="7" t="inlineStr">
        <is>
          <t>Building Materials</t>
        </is>
      </c>
      <c r="C1425" s="7" t="inlineStr">
        <is>
          <t>Hubless centrifugally cast (spun) iron 65 mm offset with 75 mm dia pipe</t>
        </is>
      </c>
      <c r="D1425" s="8" t="inlineStr"/>
      <c r="E1425" s="9" t="n">
        <v>295</v>
      </c>
    </row>
    <row r="1426" ht="20" customHeight="1">
      <c r="A1426" s="2" t="inlineStr">
        <is>
          <t>7637</t>
        </is>
      </c>
      <c r="B1426" s="3" t="inlineStr">
        <is>
          <t>Building Materials</t>
        </is>
      </c>
      <c r="C1426" s="3" t="inlineStr">
        <is>
          <t>Hubless centrifugally cast (spun) iron 130 mm offset with 100 mm dia</t>
        </is>
      </c>
      <c r="D1426" s="4" t="inlineStr"/>
      <c r="E1426" s="5" t="n">
        <v>440</v>
      </c>
    </row>
    <row r="1427" ht="20" customHeight="1">
      <c r="A1427" s="6" t="inlineStr">
        <is>
          <t>7638</t>
        </is>
      </c>
      <c r="B1427" s="7" t="inlineStr">
        <is>
          <t>Building Materials</t>
        </is>
      </c>
      <c r="C1427" s="7" t="inlineStr">
        <is>
          <t>Hubless centrifugally cast (spun) iron 130 mm offset with 75 mm dia</t>
        </is>
      </c>
      <c r="D1427" s="8" t="inlineStr"/>
      <c r="E1427" s="9" t="n">
        <v>310</v>
      </c>
    </row>
    <row r="1428" ht="20" customHeight="1">
      <c r="A1428" s="2" t="inlineStr">
        <is>
          <t>7639</t>
        </is>
      </c>
      <c r="B1428" s="3" t="inlineStr">
        <is>
          <t>Building Materials</t>
        </is>
      </c>
      <c r="C1428" s="3" t="inlineStr">
        <is>
          <t>Hubless centrifugally cast (spun) iron bend with access door - 100mm No.</t>
        </is>
      </c>
      <c r="D1428" s="4" t="inlineStr"/>
      <c r="E1428" s="5" t="n">
        <v>365</v>
      </c>
    </row>
    <row r="1429" ht="20" customHeight="1">
      <c r="A1429" s="6" t="inlineStr">
        <is>
          <t>7640</t>
        </is>
      </c>
      <c r="B1429" s="7" t="inlineStr">
        <is>
          <t>Building Materials</t>
        </is>
      </c>
      <c r="C1429" s="7" t="inlineStr">
        <is>
          <t>Hubless centrifugally cast (spun) iron bend with access door - 75mm dia</t>
        </is>
      </c>
      <c r="D1429" s="8" t="inlineStr"/>
      <c r="E1429" s="9" t="n">
        <v>290</v>
      </c>
    </row>
    <row r="1430" ht="20" customHeight="1">
      <c r="A1430" s="2" t="inlineStr">
        <is>
          <t>7641</t>
        </is>
      </c>
      <c r="B1430" s="3" t="inlineStr">
        <is>
          <t>Building Materials</t>
        </is>
      </c>
      <c r="C1430" s="3" t="inlineStr">
        <is>
          <t>Hubless centrifugally cast (spun) iron terminal guard (slotted cowl) -</t>
        </is>
      </c>
      <c r="D1430" s="4" t="inlineStr"/>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c r="E1432" s="5" t="n">
        <v>385</v>
      </c>
    </row>
    <row r="1433" ht="20" customHeight="1">
      <c r="A1433" s="6" t="inlineStr">
        <is>
          <t>7644</t>
        </is>
      </c>
      <c r="B1433" s="7" t="inlineStr">
        <is>
          <t>Building Materials</t>
        </is>
      </c>
      <c r="C1433" s="7" t="inlineStr">
        <is>
          <t>SS 304 grade shielded coupling with EPDM rubber gasket for 100mm dia</t>
        </is>
      </c>
      <c r="D1433" s="8" t="inlineStr"/>
      <c r="E1433" s="9" t="n">
        <v>275</v>
      </c>
    </row>
    <row r="1434" ht="20" customHeight="1">
      <c r="A1434" s="2" t="inlineStr">
        <is>
          <t>7645</t>
        </is>
      </c>
      <c r="B1434" s="3" t="inlineStr">
        <is>
          <t>Building Materials</t>
        </is>
      </c>
      <c r="C1434" s="3" t="inlineStr">
        <is>
          <t>SS 304 grade shielded coupling with EPDM rubber gasket for 75 mm dia</t>
        </is>
      </c>
      <c r="D1434" s="4" t="inlineStr"/>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c r="E1467" s="9" t="n">
        <v>13050</v>
      </c>
    </row>
    <row r="1468" ht="20" customHeight="1">
      <c r="A1468" s="2" t="inlineStr">
        <is>
          <t>7685</t>
        </is>
      </c>
      <c r="B1468" s="3" t="inlineStr">
        <is>
          <t>Building Materials</t>
        </is>
      </c>
      <c r="C1468" s="3" t="inlineStr">
        <is>
          <t>Ductile Iron Specials suitable for mechanical jointing as per I.S. 9523</t>
        </is>
      </c>
      <c r="D1468" s="4" t="inlineStr"/>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c r="E1491" s="9" t="n">
        <v>5190</v>
      </c>
    </row>
    <row r="1492" ht="20" customHeight="1">
      <c r="A1492" s="2" t="inlineStr">
        <is>
          <t>7709</t>
        </is>
      </c>
      <c r="B1492" s="3" t="inlineStr">
        <is>
          <t>Building Materials</t>
        </is>
      </c>
      <c r="C1492" s="3" t="inlineStr">
        <is>
          <t>S&amp;S Centrifugally (Spun) C.I. Pipe Specials as per IS 1538 suitable</t>
        </is>
      </c>
      <c r="D1492" s="4" t="inlineStr"/>
      <c r="E1492" s="5" t="n">
        <v>6200</v>
      </c>
    </row>
    <row r="1493" ht="20" customHeight="1">
      <c r="A1493" s="6" t="inlineStr">
        <is>
          <t>7710</t>
        </is>
      </c>
      <c r="B1493" s="7" t="inlineStr">
        <is>
          <t>Building Materials</t>
        </is>
      </c>
      <c r="C1493" s="7" t="inlineStr">
        <is>
          <t>S&amp;S Centrifugally (Spun) C.I. Pipe specials suitable for mechanical</t>
        </is>
      </c>
      <c r="D1493" s="8" t="inlineStr"/>
      <c r="E1493" s="9" t="n">
        <v>8571</v>
      </c>
    </row>
    <row r="1494" ht="20" customHeight="1">
      <c r="A1494" s="2" t="inlineStr">
        <is>
          <t>7711</t>
        </is>
      </c>
      <c r="B1494" s="3" t="inlineStr">
        <is>
          <t>Building Materials</t>
        </is>
      </c>
      <c r="C1494" s="3" t="inlineStr">
        <is>
          <t>S&amp;S Centrifugally (Spun) C.I. Pipe Specials suitable for mechanical</t>
        </is>
      </c>
      <c r="D1494" s="4" t="inlineStr"/>
      <c r="E1494" s="5" t="n">
        <v>9048</v>
      </c>
    </row>
    <row r="1495" ht="20" customHeight="1">
      <c r="A1495" s="6" t="inlineStr">
        <is>
          <t>7712</t>
        </is>
      </c>
      <c r="B1495" s="7" t="inlineStr">
        <is>
          <t>Building Materials</t>
        </is>
      </c>
      <c r="C1495" s="7" t="inlineStr">
        <is>
          <t>Screwed double flanged centrifugally cast (spun) C.I. Pipe of Class B</t>
        </is>
      </c>
      <c r="D1495" s="8" t="inlineStr"/>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c r="E1550" s="5" t="n">
        <v>212</v>
      </c>
    </row>
    <row r="1551" ht="20" customHeight="1">
      <c r="A1551" s="6" t="inlineStr">
        <is>
          <t>7801</t>
        </is>
      </c>
      <c r="B1551" s="7" t="inlineStr">
        <is>
          <t>Building Materials</t>
        </is>
      </c>
      <c r="C1551" s="7" t="inlineStr">
        <is>
          <t>Ceramic Glazed Tiles 1st quality 300 x 300 mm in all shades and</t>
        </is>
      </c>
      <c r="D1551" s="8" t="inlineStr"/>
      <c r="E1551" s="9" t="n">
        <v>209.1</v>
      </c>
    </row>
    <row r="1552" ht="20" customHeight="1">
      <c r="A1552" s="2" t="inlineStr">
        <is>
          <t>7802</t>
        </is>
      </c>
      <c r="B1552" s="3" t="inlineStr">
        <is>
          <t>Building Materials</t>
        </is>
      </c>
      <c r="C1552" s="3" t="inlineStr">
        <is>
          <t>Ceramic Glazed Tiles 1st quality 300 x 300 in all shades designs</t>
        </is>
      </c>
      <c r="D1552" s="4" t="inlineStr"/>
      <c r="E1552" s="5" t="n">
        <v>260</v>
      </c>
    </row>
    <row r="1553" ht="20" customHeight="1">
      <c r="A1553" s="6" t="inlineStr">
        <is>
          <t>7803</t>
        </is>
      </c>
      <c r="B1553" s="7" t="inlineStr">
        <is>
          <t>Building Materials</t>
        </is>
      </c>
      <c r="C1553" s="7" t="inlineStr">
        <is>
          <t>Rectified Ceramic Glazed Tiles 1st quality 300 x 300 mm or more in</t>
        </is>
      </c>
      <c r="D1553" s="8" t="inlineStr"/>
      <c r="E1553" s="9" t="n">
        <v>340</v>
      </c>
    </row>
    <row r="1554" ht="20" customHeight="1">
      <c r="A1554" s="2" t="inlineStr">
        <is>
          <t>7804</t>
        </is>
      </c>
      <c r="B1554" s="3" t="inlineStr">
        <is>
          <t>Building Materials</t>
        </is>
      </c>
      <c r="C1554" s="3" t="inlineStr">
        <is>
          <t>Rectified Ceramic Glazed Tiles 1st quality 300 x 300 mm or more in</t>
        </is>
      </c>
      <c r="D1554" s="4" t="inlineStr"/>
      <c r="E1554" s="5" t="n">
        <v>400</v>
      </c>
    </row>
    <row r="1555" ht="20" customHeight="1">
      <c r="A1555" s="6" t="inlineStr">
        <is>
          <t>7805</t>
        </is>
      </c>
      <c r="B1555" s="7" t="inlineStr">
        <is>
          <t>Building Materials</t>
        </is>
      </c>
      <c r="C1555" s="7" t="inlineStr">
        <is>
          <t>Salem Stainless steel AISI - 304 (18/8) Orrisa pattern W.C. pan</t>
        </is>
      </c>
      <c r="D1555" s="8" t="inlineStr"/>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c r="E1565" s="9" t="n">
        <v>46.5</v>
      </c>
    </row>
    <row r="1566" ht="20" customHeight="1">
      <c r="A1566" s="2" t="inlineStr">
        <is>
          <t>7863</t>
        </is>
      </c>
      <c r="B1566" s="3" t="inlineStr">
        <is>
          <t>Building Materials</t>
        </is>
      </c>
      <c r="C1566" s="3" t="inlineStr">
        <is>
          <t>15 mm nominal bore and 45 cm length PVC connection pipe with</t>
        </is>
      </c>
      <c r="D1566" s="4" t="inlineStr"/>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c r="E1574" s="5" t="n">
        <v>4700</v>
      </c>
    </row>
    <row r="1575" ht="20" customHeight="1">
      <c r="A1575" s="6" t="inlineStr">
        <is>
          <t>7902</t>
        </is>
      </c>
      <c r="B1575" s="7" t="inlineStr">
        <is>
          <t>Building Materials</t>
        </is>
      </c>
      <c r="C1575" s="7" t="inlineStr">
        <is>
          <t>Machine moulded common burnt clay modular perforated bricks of</t>
        </is>
      </c>
      <c r="D1575" s="8" t="inlineStr"/>
      <c r="E1575" s="9" t="n">
        <v>5200</v>
      </c>
    </row>
    <row r="1576" ht="20" customHeight="1">
      <c r="A1576" s="2" t="inlineStr">
        <is>
          <t>7903</t>
        </is>
      </c>
      <c r="B1576" s="3" t="inlineStr">
        <is>
          <t>Building Materials</t>
        </is>
      </c>
      <c r="C1576" s="3" t="inlineStr">
        <is>
          <t>Machine moulded common burnt clay FPS (non modular) bricks of</t>
        </is>
      </c>
      <c r="D1576" s="4" t="inlineStr"/>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with compressor</t>
        </is>
      </c>
      <c r="E1585" s="9" t="n">
        <v>105</v>
      </c>
    </row>
    <row r="1586" ht="20" customHeight="1">
      <c r="A1586" s="2" t="inlineStr">
        <is>
          <t>7919</t>
        </is>
      </c>
      <c r="B1586" s="3" t="inlineStr">
        <is>
          <t>Building Materials</t>
        </is>
      </c>
      <c r="C1586" s="3" t="inlineStr">
        <is>
          <t>50mm thick cement concrete shotcrete(guniting)</t>
        </is>
      </c>
      <c r="D1586" s="4" t="inlineStr">
        <is>
          <t>with compressor</t>
        </is>
      </c>
      <c r="E1586" s="5" t="n">
        <v>160</v>
      </c>
    </row>
    <row r="1587" ht="20" customHeight="1">
      <c r="A1587" s="6" t="inlineStr">
        <is>
          <t>7920</t>
        </is>
      </c>
      <c r="B1587" s="7" t="inlineStr">
        <is>
          <t>Building Materials</t>
        </is>
      </c>
      <c r="C1587" s="7" t="inlineStr">
        <is>
          <t>75mm thick cement concrete shotcrete(guniting)</t>
        </is>
      </c>
      <c r="D1587" s="8" t="inlineStr">
        <is>
          <t>with compressor</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injection nipple 12mm dia, 75mm long</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c r="E1603" s="9" t="n">
        <v>1512.37</v>
      </c>
    </row>
    <row r="1604" ht="20" customHeight="1">
      <c r="A1604" s="2" t="inlineStr">
        <is>
          <t>8001</t>
        </is>
      </c>
      <c r="B1604" s="3" t="inlineStr">
        <is>
          <t>Building Materials</t>
        </is>
      </c>
      <c r="C1604" s="3" t="inlineStr">
        <is>
          <t>24 mm thick Factory made shutters with style, rails and panels of</t>
        </is>
      </c>
      <c r="D1604" s="4" t="inlineStr"/>
      <c r="E1604" s="5" t="n">
        <v>1085.93</v>
      </c>
    </row>
    <row r="1605" ht="20" customHeight="1">
      <c r="A1605" s="6" t="inlineStr">
        <is>
          <t>8002</t>
        </is>
      </c>
      <c r="B1605" s="7" t="inlineStr">
        <is>
          <t>Building Materials</t>
        </is>
      </c>
      <c r="C1605" s="7" t="inlineStr">
        <is>
          <t>30 mm thick Factory made shutters with style, rails and panels of</t>
        </is>
      </c>
      <c r="D1605" s="8" t="inlineStr"/>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c r="E1614" s="5" t="n">
        <v>1650</v>
      </c>
    </row>
    <row r="1615" ht="20" customHeight="1">
      <c r="A1615" s="6" t="inlineStr">
        <is>
          <t>8014</t>
        </is>
      </c>
      <c r="B1615" s="7" t="inlineStr">
        <is>
          <t>Building Materials</t>
        </is>
      </c>
      <c r="C1615" s="7" t="inlineStr">
        <is>
          <t>Factory made door frame of size 50x47 mm with wall thickness 5 mm</t>
        </is>
      </c>
      <c r="D1615" s="8" t="inlineStr"/>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Foam 1mm thick</t>
        </is>
      </c>
      <c r="E1617" s="9" t="n">
        <v>8.5</v>
      </c>
    </row>
    <row r="1618" ht="20" customHeight="1">
      <c r="A1618" s="2" t="inlineStr">
        <is>
          <t>8017</t>
        </is>
      </c>
      <c r="B1618" s="3" t="inlineStr">
        <is>
          <t>Building Materials</t>
        </is>
      </c>
      <c r="C1618" s="3" t="inlineStr">
        <is>
          <t>Fire rated door frame made with 1.6 mm thick G.I sheet (120 minutes</t>
        </is>
      </c>
      <c r="D1618" s="4" t="inlineStr"/>
      <c r="E1618" s="5" t="n">
        <v>1000</v>
      </c>
    </row>
    <row r="1619" ht="20" customHeight="1">
      <c r="A1619" s="6" t="inlineStr">
        <is>
          <t>8018</t>
        </is>
      </c>
      <c r="B1619" s="7" t="inlineStr">
        <is>
          <t>Building Materials</t>
        </is>
      </c>
      <c r="C1619" s="7" t="inlineStr">
        <is>
          <t>Fire rated door shutter made with 1.6 mm thick G.I sheet (120 minutes</t>
        </is>
      </c>
      <c r="D1619" s="8" t="inlineStr"/>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c r="E1621" s="9" t="n">
        <v>600</v>
      </c>
    </row>
    <row r="1622" ht="20" customHeight="1">
      <c r="A1622" s="2" t="inlineStr">
        <is>
          <t>8021</t>
        </is>
      </c>
      <c r="B1622" s="3" t="inlineStr">
        <is>
          <t>Building Materials</t>
        </is>
      </c>
      <c r="C1622" s="3" t="inlineStr">
        <is>
          <t>Bamboo wood Tile Flooring 14mm thick of minimum size 1800mm x</t>
        </is>
      </c>
      <c r="D1622" s="4" t="inlineStr"/>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Grade 5052, 4 mm thick for</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c r="E1665" s="9" t="n">
        <v>282.9</v>
      </c>
    </row>
    <row r="1666" ht="20" customHeight="1">
      <c r="A1666" s="2" t="inlineStr">
        <is>
          <t>8126</t>
        </is>
      </c>
      <c r="B1666" s="3" t="inlineStr">
        <is>
          <t>Building Materials</t>
        </is>
      </c>
      <c r="C1666" s="3" t="inlineStr">
        <is>
          <t>uPVC</t>
        </is>
      </c>
      <c r="D1666" s="4" t="inlineStr">
        <is>
          <t>extruded (big series) casement window frame size 67x60 mm</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c r="E1672" s="5" t="n">
        <v>85</v>
      </c>
    </row>
    <row r="1673" ht="20" customHeight="1">
      <c r="A1673" s="6" t="inlineStr">
        <is>
          <t>8135</t>
        </is>
      </c>
      <c r="B1673" s="7" t="inlineStr">
        <is>
          <t>Building Materials</t>
        </is>
      </c>
      <c r="C1673" s="7" t="inlineStr">
        <is>
          <t>uPVC extruded (small series) 3 track sliding window frame size</t>
        </is>
      </c>
      <c r="D1673" s="8" t="inlineStr"/>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door sash/ 3 track sliding</t>
        </is>
      </c>
      <c r="E1679" s="9" t="n">
        <v>350</v>
      </c>
    </row>
    <row r="1680" ht="20" customHeight="1">
      <c r="A1680" s="2" t="inlineStr">
        <is>
          <t>8144</t>
        </is>
      </c>
      <c r="B1680" s="3" t="inlineStr">
        <is>
          <t>Building Materials</t>
        </is>
      </c>
      <c r="C1680" s="3" t="inlineStr">
        <is>
          <t>Bamboo Mat corrugated sheets 3.5 to 4mm thick conforming to</t>
        </is>
      </c>
      <c r="D1680" s="4" t="inlineStr"/>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clear silicon</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c r="E1751" s="9" t="n">
        <v>800</v>
      </c>
    </row>
    <row r="1752" ht="20" customHeight="1">
      <c r="A1752" s="2" t="inlineStr">
        <is>
          <t>8563</t>
        </is>
      </c>
      <c r="B1752" s="3" t="inlineStr">
        <is>
          <t>Building Materials</t>
        </is>
      </c>
      <c r="C1752" s="3" t="inlineStr">
        <is>
          <t>15 mm thick, light weight, integral densified micro look edged,false</t>
        </is>
      </c>
      <c r="D1752" s="4" t="inlineStr"/>
      <c r="E1752" s="5" t="n">
        <v>720</v>
      </c>
    </row>
    <row r="1753" ht="20" customHeight="1">
      <c r="A1753" s="6" t="inlineStr">
        <is>
          <t>8565</t>
        </is>
      </c>
      <c r="B1753" s="7" t="inlineStr">
        <is>
          <t>Building Materials</t>
        </is>
      </c>
      <c r="C1753" s="7" t="inlineStr">
        <is>
          <t>Galavanised MS hanger rod 6 mm dia MS fully threaded up to 1000mm</t>
        </is>
      </c>
      <c r="D1753" s="8" t="inlineStr"/>
      <c r="E1753" s="9" t="n">
        <v>26</v>
      </c>
    </row>
    <row r="1754" ht="20" customHeight="1">
      <c r="A1754" s="2" t="inlineStr">
        <is>
          <t>8566</t>
        </is>
      </c>
      <c r="B1754" s="3" t="inlineStr">
        <is>
          <t>Building Materials</t>
        </is>
      </c>
      <c r="C1754" s="3" t="inlineStr">
        <is>
          <t>Powder coated steel section main-T ceiling sections 15x42x0.40 mm</t>
        </is>
      </c>
      <c r="D1754" s="4" t="inlineStr"/>
      <c r="E1754" s="5" t="n">
        <v>235</v>
      </c>
    </row>
    <row r="1755" ht="20" customHeight="1">
      <c r="A1755" s="6" t="inlineStr">
        <is>
          <t>8567</t>
        </is>
      </c>
      <c r="B1755" s="7" t="inlineStr">
        <is>
          <t>Building Materials</t>
        </is>
      </c>
      <c r="C1755" s="7" t="inlineStr">
        <is>
          <t>Galvanized mild steel perimeter wall angle 22x19x0.40 mm (3000mm No.</t>
        </is>
      </c>
      <c r="D1755" s="8" t="inlineStr"/>
      <c r="E1755" s="9" t="n">
        <v>115</v>
      </c>
    </row>
    <row r="1756" ht="20" customHeight="1">
      <c r="A1756" s="2" t="inlineStr">
        <is>
          <t>8568</t>
        </is>
      </c>
      <c r="B1756" s="3" t="inlineStr">
        <is>
          <t>Building Materials</t>
        </is>
      </c>
      <c r="C1756" s="3" t="inlineStr">
        <is>
          <t>Powder coated Galvanised Iron intermediate cross-T section 15x42x</t>
        </is>
      </c>
      <c r="D1756" s="4" t="inlineStr"/>
      <c r="E1756" s="5" t="n">
        <v>95</v>
      </c>
    </row>
    <row r="1757" ht="20" customHeight="1">
      <c r="A1757" s="6" t="inlineStr">
        <is>
          <t>8569</t>
        </is>
      </c>
      <c r="B1757" s="7" t="inlineStr">
        <is>
          <t>Building Materials</t>
        </is>
      </c>
      <c r="C1757" s="7" t="inlineStr">
        <is>
          <t>Powder coated Galvanized Iron intermediate cross-T section 15x42x</t>
        </is>
      </c>
      <c r="D1757" s="8" t="inlineStr"/>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c r="E1762" s="5" t="n">
        <v>190</v>
      </c>
    </row>
    <row r="1763" ht="20" customHeight="1">
      <c r="A1763" s="6" t="inlineStr">
        <is>
          <t>8578</t>
        </is>
      </c>
      <c r="B1763" s="7" t="inlineStr">
        <is>
          <t>Building Materials</t>
        </is>
      </c>
      <c r="C1763" s="7" t="inlineStr">
        <is>
          <t>Crates made of Mesh type 10x12 (D=100 mm) Zn+10% Al alloy +PVC</t>
        </is>
      </c>
      <c r="D1763" s="8" t="inlineStr"/>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c r="E1768" s="5" t="n">
        <v>685</v>
      </c>
    </row>
    <row r="1769" ht="20" customHeight="1">
      <c r="A1769" s="6" t="inlineStr">
        <is>
          <t>8590</t>
        </is>
      </c>
      <c r="B1769" s="7" t="inlineStr">
        <is>
          <t>Building Materials</t>
        </is>
      </c>
      <c r="C1769" s="7" t="inlineStr">
        <is>
          <t>Galvanised Steel main Tee ceiling section Size 24x38x0.33 mm (3 metre</t>
        </is>
      </c>
      <c r="D1769" s="8" t="inlineStr"/>
      <c r="E1769" s="9" t="n">
        <v>120</v>
      </c>
    </row>
    <row r="1770" ht="20" customHeight="1">
      <c r="A1770" s="2" t="inlineStr">
        <is>
          <t>8591</t>
        </is>
      </c>
      <c r="B1770" s="3" t="inlineStr">
        <is>
          <t>Building Materials</t>
        </is>
      </c>
      <c r="C1770" s="3" t="inlineStr">
        <is>
          <t>Galvanised Steel perimeter wall Angle Size 24 x 24 x 0.40 mm (3.00 metre</t>
        </is>
      </c>
      <c r="D1770" s="4" t="inlineStr"/>
      <c r="E1770" s="5" t="n">
        <v>65</v>
      </c>
    </row>
    <row r="1771" ht="20" customHeight="1">
      <c r="A1771" s="6" t="inlineStr">
        <is>
          <t>8592</t>
        </is>
      </c>
      <c r="B1771" s="7" t="inlineStr">
        <is>
          <t>Building Materials</t>
        </is>
      </c>
      <c r="C1771" s="7" t="inlineStr">
        <is>
          <t>Galvanised Steel intermediate cross T section Size 24 x 25 x 0.33mm</t>
        </is>
      </c>
      <c r="D1771" s="8" t="inlineStr"/>
      <c r="E1771" s="9" t="n">
        <v>40</v>
      </c>
    </row>
    <row r="1772" ht="20" customHeight="1">
      <c r="A1772" s="2" t="inlineStr">
        <is>
          <t>8593</t>
        </is>
      </c>
      <c r="B1772" s="3" t="inlineStr">
        <is>
          <t>Building Materials</t>
        </is>
      </c>
      <c r="C1772" s="3" t="inlineStr">
        <is>
          <t>Galvanised Steel intermediate cross T section Size 24 x 25 x 0.33mm</t>
        </is>
      </c>
      <c r="D1772" s="4" t="inlineStr"/>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c r="E1776" s="5" t="n">
        <v>677</v>
      </c>
    </row>
    <row r="1777" ht="20" customHeight="1">
      <c r="A1777" s="6" t="inlineStr">
        <is>
          <t>8598</t>
        </is>
      </c>
      <c r="B1777" s="7" t="inlineStr">
        <is>
          <t>Building Materials</t>
        </is>
      </c>
      <c r="C1777" s="7" t="inlineStr">
        <is>
          <t>GI Metal Tile Clip in Perforated Beveled edge global white colour tiles</t>
        </is>
      </c>
      <c r="D1777" s="8" t="inlineStr"/>
      <c r="E1777" s="9" t="n">
        <v>782</v>
      </c>
    </row>
    <row r="1778" ht="20" customHeight="1">
      <c r="A1778" s="2" t="inlineStr">
        <is>
          <t>8599</t>
        </is>
      </c>
      <c r="B1778" s="3" t="inlineStr">
        <is>
          <t>Building Materials</t>
        </is>
      </c>
      <c r="C1778" s="3" t="inlineStr">
        <is>
          <t>GI Metal Tile Lay-in Plain Tegular edge global white color tiles of Size</t>
        </is>
      </c>
      <c r="D1778" s="4" t="inlineStr"/>
      <c r="E1778" s="5" t="n">
        <v>612</v>
      </c>
    </row>
    <row r="1779" ht="20" customHeight="1">
      <c r="A1779" s="6" t="inlineStr">
        <is>
          <t>8600</t>
        </is>
      </c>
      <c r="B1779" s="7" t="inlineStr">
        <is>
          <t>Building Materials</t>
        </is>
      </c>
      <c r="C1779" s="7" t="inlineStr">
        <is>
          <t>GI Metal Tile Lay-in Perforated Tegular edge global white color tiles</t>
        </is>
      </c>
      <c r="D1779" s="8" t="inlineStr"/>
      <c r="E1779" s="9" t="n">
        <v>715</v>
      </c>
    </row>
    <row r="1780" ht="20" customHeight="1">
      <c r="A1780" s="2" t="inlineStr">
        <is>
          <t>8601</t>
        </is>
      </c>
      <c r="B1780" s="3" t="inlineStr">
        <is>
          <t>Building Materials</t>
        </is>
      </c>
      <c r="C1780" s="3" t="inlineStr">
        <is>
          <t>PVC Laminated Gypsum Tiles (Square edge) of Size 595x595 mm</t>
        </is>
      </c>
      <c r="D1780" s="4" t="inlineStr"/>
      <c r="E1780" s="5" t="n">
        <v>880</v>
      </c>
    </row>
    <row r="1781" ht="20" customHeight="1">
      <c r="A1781" s="6" t="inlineStr">
        <is>
          <t>8602</t>
        </is>
      </c>
      <c r="B1781" s="7" t="inlineStr">
        <is>
          <t>Building Materials</t>
        </is>
      </c>
      <c r="C1781" s="7" t="inlineStr">
        <is>
          <t>Gypsum Tiles Fully Perforated Square edge of Size 595x595 mm</t>
        </is>
      </c>
      <c r="D1781" s="8" t="inlineStr"/>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L-shape level adjuster of size 85x25x2 mm</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conforming to IS 15622:2006 group (B1a)</t>
        </is>
      </c>
      <c r="E1799" s="9" t="n">
        <v>659.72</v>
      </c>
    </row>
    <row r="1800" ht="20" customHeight="1">
      <c r="A1800" s="2" t="inlineStr">
        <is>
          <t>8622</t>
        </is>
      </c>
      <c r="B1800" s="3" t="inlineStr">
        <is>
          <t>Building Materials</t>
        </is>
      </c>
      <c r="C1800" s="3" t="inlineStr">
        <is>
          <t>Vitrified floor tile 80x80 cm</t>
        </is>
      </c>
      <c r="D1800" s="4" t="inlineStr">
        <is>
          <t>conforming to IS 15622:2006 group (B1a)</t>
        </is>
      </c>
      <c r="E1800" s="5" t="n">
        <v>850</v>
      </c>
    </row>
    <row r="1801" ht="20" customHeight="1">
      <c r="A1801" s="6" t="inlineStr">
        <is>
          <t>8623</t>
        </is>
      </c>
      <c r="B1801" s="7" t="inlineStr">
        <is>
          <t>Building Materials</t>
        </is>
      </c>
      <c r="C1801" s="7" t="inlineStr">
        <is>
          <t>Vitrified floor tile 100x100 cm</t>
        </is>
      </c>
      <c r="D1801" s="8" t="inlineStr">
        <is>
          <t>conforming to IS 15622:2006 group (B1a)</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c r="E1803" s="9" t="n">
        <v>43.27</v>
      </c>
    </row>
    <row r="1804" ht="20" customHeight="1">
      <c r="A1804" s="2" t="inlineStr">
        <is>
          <t>8627</t>
        </is>
      </c>
      <c r="B1804" s="3" t="inlineStr">
        <is>
          <t>Building Materials</t>
        </is>
      </c>
      <c r="C1804" s="3" t="inlineStr">
        <is>
          <t>Poly propylene- Random - Co - Polymer (PPR) pipes PN-16 (SDR 7.4) -</t>
        </is>
      </c>
      <c r="D1804" s="4" t="inlineStr"/>
      <c r="E1804" s="5" t="n">
        <v>66.8</v>
      </c>
    </row>
    <row r="1805" ht="20" customHeight="1">
      <c r="A1805" s="6" t="inlineStr">
        <is>
          <t>8628</t>
        </is>
      </c>
      <c r="B1805" s="7" t="inlineStr">
        <is>
          <t>Building Materials</t>
        </is>
      </c>
      <c r="C1805" s="7" t="inlineStr">
        <is>
          <t>Poly propylene- Random - Co - Polymer (PPR) pipes PN-16 (SDR 7.4) -</t>
        </is>
      </c>
      <c r="D1805" s="8" t="inlineStr"/>
      <c r="E1805" s="9" t="n">
        <v>107.47</v>
      </c>
    </row>
    <row r="1806" ht="20" customHeight="1">
      <c r="A1806" s="2" t="inlineStr">
        <is>
          <t>8629</t>
        </is>
      </c>
      <c r="B1806" s="3" t="inlineStr">
        <is>
          <t>Building Materials</t>
        </is>
      </c>
      <c r="C1806" s="3" t="inlineStr">
        <is>
          <t>Poly propylene- Random - Co - Polymer (PPR) pipes PN-16 (SDR 7.4) -</t>
        </is>
      </c>
      <c r="D1806" s="4" t="inlineStr"/>
      <c r="E1806" s="5" t="n">
        <v>161.07</v>
      </c>
    </row>
    <row r="1807" ht="20" customHeight="1">
      <c r="A1807" s="6" t="inlineStr">
        <is>
          <t>8630</t>
        </is>
      </c>
      <c r="B1807" s="7" t="inlineStr">
        <is>
          <t>Building Materials</t>
        </is>
      </c>
      <c r="C1807" s="7" t="inlineStr">
        <is>
          <t>Poly propylene- Random - Co - Polymer (PPR) pipes PN-10 (SDR 11) -</t>
        </is>
      </c>
      <c r="D1807" s="8" t="inlineStr"/>
      <c r="E1807" s="9" t="n">
        <v>252.22</v>
      </c>
    </row>
    <row r="1808" ht="20" customHeight="1">
      <c r="A1808" s="2" t="inlineStr">
        <is>
          <t>8631</t>
        </is>
      </c>
      <c r="B1808" s="3" t="inlineStr">
        <is>
          <t>Building Materials</t>
        </is>
      </c>
      <c r="C1808" s="3" t="inlineStr">
        <is>
          <t>Poly propylene- Random - Co - Polymer (PPR) pipes PN-10 (SDR 11) -</t>
        </is>
      </c>
      <c r="D1808" s="4" t="inlineStr"/>
      <c r="E1808" s="5" t="n">
        <v>281.73</v>
      </c>
    </row>
    <row r="1809" ht="20" customHeight="1">
      <c r="A1809" s="6" t="inlineStr">
        <is>
          <t>8632</t>
        </is>
      </c>
      <c r="B1809" s="7" t="inlineStr">
        <is>
          <t>Building Materials</t>
        </is>
      </c>
      <c r="C1809" s="7" t="inlineStr">
        <is>
          <t>Poly propylene- Random - Co - Polymer (PPR) pipes PN-10 (SDR 11) -</t>
        </is>
      </c>
      <c r="D1809" s="8" t="inlineStr"/>
      <c r="E1809" s="9" t="n">
        <v>418.18</v>
      </c>
    </row>
    <row r="1810" ht="20" customHeight="1">
      <c r="A1810" s="2" t="inlineStr">
        <is>
          <t>8633</t>
        </is>
      </c>
      <c r="B1810" s="3" t="inlineStr">
        <is>
          <t>Building Materials</t>
        </is>
      </c>
      <c r="C1810" s="3" t="inlineStr">
        <is>
          <t>Poly propylene- Random - Co - Polymer (PPR) pipes PN-10 (SDR 11) -</t>
        </is>
      </c>
      <c r="D1810" s="4" t="inlineStr"/>
      <c r="E1810" s="5" t="n">
        <v>597.63</v>
      </c>
    </row>
    <row r="1811" ht="20" customHeight="1">
      <c r="A1811" s="6" t="inlineStr">
        <is>
          <t>8634</t>
        </is>
      </c>
      <c r="B1811" s="7" t="inlineStr">
        <is>
          <t>Building Materials</t>
        </is>
      </c>
      <c r="C1811" s="7" t="inlineStr">
        <is>
          <t>Poly propylene- Random - Co - Polymer (PPR) pipes PN-10 (SDR 11) -</t>
        </is>
      </c>
      <c r="D1811" s="8" t="inlineStr"/>
      <c r="E1811" s="9" t="n">
        <v>885.83</v>
      </c>
    </row>
    <row r="1812" ht="20" customHeight="1">
      <c r="A1812" s="2" t="inlineStr">
        <is>
          <t>8635</t>
        </is>
      </c>
      <c r="B1812" s="3" t="inlineStr">
        <is>
          <t>Building Materials</t>
        </is>
      </c>
      <c r="C1812" s="3" t="inlineStr">
        <is>
          <t>Poly propylene- Random - Co - Polymer (PPR) pipes PN-10 (SDR 11) -</t>
        </is>
      </c>
      <c r="D1812" s="4" t="inlineStr"/>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c r="E1849" s="9" t="n">
        <v>210</v>
      </c>
    </row>
    <row r="1850" ht="20" customHeight="1">
      <c r="A1850" s="2" t="inlineStr">
        <is>
          <t>8673</t>
        </is>
      </c>
      <c r="B1850" s="3" t="inlineStr">
        <is>
          <t>Building Materials</t>
        </is>
      </c>
      <c r="C1850" s="3" t="inlineStr">
        <is>
          <t>Precoated galvanised steel flashings/aprons 0.50 mm TCT and upto</t>
        </is>
      </c>
      <c r="D1850" s="4" t="inlineStr"/>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c r="E1869" s="9" t="n">
        <v>280</v>
      </c>
    </row>
    <row r="1870" ht="20" customHeight="1">
      <c r="A1870" s="2" t="inlineStr">
        <is>
          <t>8696</t>
        </is>
      </c>
      <c r="B1870" s="3" t="inlineStr">
        <is>
          <t>Building Materials</t>
        </is>
      </c>
      <c r="C1870" s="3" t="inlineStr">
        <is>
          <t>Chain link fabric fencing mesh of size 50x50 mm made of G.I. wire of dia</t>
        </is>
      </c>
      <c r="D1870" s="4" t="inlineStr"/>
      <c r="E1870" s="5" t="n">
        <v>300</v>
      </c>
    </row>
    <row r="1871" ht="20" customHeight="1">
      <c r="A1871" s="6" t="inlineStr">
        <is>
          <t>8697</t>
        </is>
      </c>
      <c r="B1871" s="7" t="inlineStr">
        <is>
          <t>Building Materials</t>
        </is>
      </c>
      <c r="C1871" s="7" t="inlineStr">
        <is>
          <t>Chain link fabric fencing mesh of size 25x25 mm made of G.I. wire of dia</t>
        </is>
      </c>
      <c r="D1871" s="8" t="inlineStr"/>
      <c r="E1871" s="9" t="n">
        <v>360</v>
      </c>
    </row>
    <row r="1872" ht="20" customHeight="1">
      <c r="A1872" s="2" t="inlineStr">
        <is>
          <t>8698</t>
        </is>
      </c>
      <c r="B1872" s="3" t="inlineStr">
        <is>
          <t>Building Materials</t>
        </is>
      </c>
      <c r="C1872" s="3" t="inlineStr">
        <is>
          <t>Stainless steel cramps(weight 260 grams) with nuts, bolts and washer</t>
        </is>
      </c>
      <c r="D1872" s="4" t="inlineStr"/>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c r="E1878" s="5" t="n">
        <v>9</v>
      </c>
    </row>
    <row r="1879" ht="20" customHeight="1">
      <c r="A1879" s="6" t="inlineStr">
        <is>
          <t>8705</t>
        </is>
      </c>
      <c r="B1879" s="7" t="inlineStr">
        <is>
          <t>Building Materials</t>
        </is>
      </c>
      <c r="C1879" s="7" t="inlineStr">
        <is>
          <t>50 mmX42 mmX2 mm thick Factory made door frame of PVC extruded</t>
        </is>
      </c>
      <c r="D1879" s="8" t="inlineStr"/>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c r="E1882" s="5" t="n">
        <v>2326</v>
      </c>
    </row>
    <row r="1883" ht="20" customHeight="1">
      <c r="A1883" s="6" t="inlineStr">
        <is>
          <t>8709</t>
        </is>
      </c>
      <c r="B1883" s="7" t="inlineStr">
        <is>
          <t>Building Materials</t>
        </is>
      </c>
      <c r="C1883" s="7" t="inlineStr">
        <is>
          <t>30 mm thick factory made solid PVC profile panelled door single piece</t>
        </is>
      </c>
      <c r="D1883" s="8" t="inlineStr"/>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c r="E1891" s="9" t="n">
        <v>28</v>
      </c>
    </row>
    <row r="1892" ht="20" customHeight="1">
      <c r="A1892" s="2" t="inlineStr">
        <is>
          <t>8720</t>
        </is>
      </c>
      <c r="B1892" s="3" t="inlineStr">
        <is>
          <t>Building Materials</t>
        </is>
      </c>
      <c r="C1892" s="3" t="inlineStr">
        <is>
          <t>Ceiling sections 0.55 mm thick having a knurled web of 51.55 mm and two</t>
        </is>
      </c>
      <c r="D1892" s="4" t="inlineStr"/>
      <c r="E1892" s="5" t="n">
        <v>35</v>
      </c>
    </row>
    <row r="1893" ht="20" customHeight="1">
      <c r="A1893" s="6" t="inlineStr">
        <is>
          <t>8721</t>
        </is>
      </c>
      <c r="B1893" s="7" t="inlineStr">
        <is>
          <t>Building Materials</t>
        </is>
      </c>
      <c r="C1893" s="7" t="inlineStr">
        <is>
          <t>Perimeter channel having one flange of 20 mm and another flange of</t>
        </is>
      </c>
      <c r="D1893" s="8" t="inlineStr"/>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c r="E1904" s="5" t="n">
        <v>255</v>
      </c>
    </row>
    <row r="1905" ht="20" customHeight="1">
      <c r="A1905" s="6" t="inlineStr">
        <is>
          <t>8735</t>
        </is>
      </c>
      <c r="B1905" s="7" t="inlineStr">
        <is>
          <t>Building Materials</t>
        </is>
      </c>
      <c r="C1905" s="7" t="inlineStr">
        <is>
          <t>35 mm thick factory made solid panel PVC door shutter of single</t>
        </is>
      </c>
      <c r="D1905" s="8" t="inlineStr"/>
      <c r="E1905" s="9" t="n">
        <v>2150</v>
      </c>
    </row>
    <row r="1906" ht="20" customHeight="1">
      <c r="A1906" s="2" t="inlineStr">
        <is>
          <t>8736</t>
        </is>
      </c>
      <c r="B1906" s="3" t="inlineStr">
        <is>
          <t>Building Materials</t>
        </is>
      </c>
      <c r="C1906" s="3" t="inlineStr">
        <is>
          <t>35 mm thick factory made solid panel PVC door shutter of single</t>
        </is>
      </c>
      <c r="D1906" s="4" t="inlineStr"/>
      <c r="E1906" s="5" t="n">
        <v>2600</v>
      </c>
    </row>
    <row r="1907" ht="20" customHeight="1">
      <c r="A1907" s="6" t="inlineStr">
        <is>
          <t>8737</t>
        </is>
      </c>
      <c r="B1907" s="7" t="inlineStr">
        <is>
          <t>Building Materials</t>
        </is>
      </c>
      <c r="C1907" s="7" t="inlineStr">
        <is>
          <t>Stainless steel wire guage (Grade-304) aperture 1.4 mm and 0.50mm</t>
        </is>
      </c>
      <c r="D1907" s="8" t="inlineStr"/>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c r="E1908" s="5" t="n">
        <v>1050</v>
      </c>
    </row>
    <row r="1909" ht="20" customHeight="1">
      <c r="A1909" s="6" t="inlineStr">
        <is>
          <t>8739</t>
        </is>
      </c>
      <c r="B1909" s="7" t="inlineStr">
        <is>
          <t>Building Materials</t>
        </is>
      </c>
      <c r="C1909" s="7" t="inlineStr">
        <is>
          <t>Fire rated door shuttere made with 16 SWG G.I. sheet (60 minutes)</t>
        </is>
      </c>
      <c r="D1909" s="8" t="inlineStr"/>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c r="E1915" s="9" t="n">
        <v>355</v>
      </c>
    </row>
    <row r="1916" ht="20" customHeight="1">
      <c r="A1916" s="2" t="inlineStr">
        <is>
          <t>8746</t>
        </is>
      </c>
      <c r="B1916" s="3" t="inlineStr">
        <is>
          <t>Building Materials</t>
        </is>
      </c>
      <c r="C1916" s="3" t="inlineStr">
        <is>
          <t>37 mm thick Factory made shutter with style,rails and panels of PVC</t>
        </is>
      </c>
      <c r="D1916" s="4" t="inlineStr"/>
      <c r="E1916" s="5" t="n">
        <v>2400</v>
      </c>
    </row>
    <row r="1917" ht="20" customHeight="1">
      <c r="A1917" s="6" t="inlineStr">
        <is>
          <t>8747</t>
        </is>
      </c>
      <c r="B1917" s="7" t="inlineStr">
        <is>
          <t>Building Materials</t>
        </is>
      </c>
      <c r="C1917" s="7" t="inlineStr">
        <is>
          <t>75 mm x 53 mm x 2.0 mm thick Factory made door frame of PVC</t>
        </is>
      </c>
      <c r="D1917" s="8" t="inlineStr"/>
      <c r="E1917" s="9" t="n">
        <v>400</v>
      </c>
    </row>
    <row r="1918" ht="20" customHeight="1">
      <c r="A1918" s="2" t="inlineStr">
        <is>
          <t>8748</t>
        </is>
      </c>
      <c r="B1918" s="3" t="inlineStr">
        <is>
          <t>Building Materials</t>
        </is>
      </c>
      <c r="C1918" s="3" t="inlineStr">
        <is>
          <t>37 mm thick Factory made fusion welded shutter with style, rails and</t>
        </is>
      </c>
      <c r="D1918" s="4" t="inlineStr"/>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c r="E1922" s="5" t="n">
        <v>56</v>
      </c>
    </row>
    <row r="1923" ht="20" customHeight="1">
      <c r="A1923" s="6" t="inlineStr">
        <is>
          <t>8753</t>
        </is>
      </c>
      <c r="B1923" s="7" t="inlineStr">
        <is>
          <t>Building Materials</t>
        </is>
      </c>
      <c r="C1923" s="7" t="inlineStr">
        <is>
          <t>Stainless Steel (SS - 304) with adjustable double nylon roller (weight</t>
        </is>
      </c>
      <c r="D1923" s="8" t="inlineStr"/>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c r="E1925" s="9" t="n">
        <v>245</v>
      </c>
    </row>
    <row r="1926" ht="20" customHeight="1">
      <c r="A1926" s="2" t="inlineStr">
        <is>
          <t>8758</t>
        </is>
      </c>
      <c r="B1926" s="3" t="inlineStr">
        <is>
          <t>Building Materials</t>
        </is>
      </c>
      <c r="C1926" s="3" t="inlineStr">
        <is>
          <t>Stainless steel friction hinges (SS-304 grade) size 350 x 19 x 1.9 mm for</t>
        </is>
      </c>
      <c r="D1926" s="4" t="inlineStr"/>
      <c r="E1926" s="5" t="n">
        <v>345</v>
      </c>
    </row>
    <row r="1927" ht="20" customHeight="1">
      <c r="A1927" s="6" t="inlineStr">
        <is>
          <t>8759</t>
        </is>
      </c>
      <c r="B1927" s="7" t="inlineStr">
        <is>
          <t>Building Materials</t>
        </is>
      </c>
      <c r="C1927" s="7" t="inlineStr">
        <is>
          <t>Stainless steel friction hinges (SS-304 grade) size 400 x 19 x 1.9 mm for</t>
        </is>
      </c>
      <c r="D1927" s="8" t="inlineStr"/>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c r="E1928" s="5" t="n">
        <v>22500</v>
      </c>
    </row>
    <row r="1929" ht="20" customHeight="1">
      <c r="A1929" s="6" t="inlineStr">
        <is>
          <t>8761</t>
        </is>
      </c>
      <c r="B1929" s="7" t="inlineStr">
        <is>
          <t>Building Materials</t>
        </is>
      </c>
      <c r="C1929" s="7" t="inlineStr">
        <is>
          <t>Scaffolding net made of high density polyethylene UV stabilized having</t>
        </is>
      </c>
      <c r="D1929" s="8" t="inlineStr"/>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c r="E1937" s="9" t="n">
        <v>130</v>
      </c>
    </row>
    <row r="1938" ht="20" customHeight="1">
      <c r="A1938" s="2" t="inlineStr">
        <is>
          <t>8780</t>
        </is>
      </c>
      <c r="B1938" s="3" t="inlineStr">
        <is>
          <t>Building Materials</t>
        </is>
      </c>
      <c r="C1938" s="3" t="inlineStr">
        <is>
          <t>SS pipe 304 grades with press fit technology as per JIS 3448 standard</t>
        </is>
      </c>
      <c r="D1938" s="4" t="inlineStr"/>
      <c r="E1938" s="5" t="n">
        <v>243</v>
      </c>
    </row>
    <row r="1939" ht="20" customHeight="1">
      <c r="A1939" s="6" t="inlineStr">
        <is>
          <t>8781</t>
        </is>
      </c>
      <c r="B1939" s="7" t="inlineStr">
        <is>
          <t>Building Materials</t>
        </is>
      </c>
      <c r="C1939" s="7" t="inlineStr">
        <is>
          <t>SS pipe 304 grades with press fit technology as per JIS 3448 standard</t>
        </is>
      </c>
      <c r="D1939" s="8" t="inlineStr"/>
      <c r="E1939" s="9" t="n">
        <v>297</v>
      </c>
    </row>
    <row r="1940" ht="20" customHeight="1">
      <c r="A1940" s="2" t="inlineStr">
        <is>
          <t>8782</t>
        </is>
      </c>
      <c r="B1940" s="3" t="inlineStr">
        <is>
          <t>Building Materials</t>
        </is>
      </c>
      <c r="C1940" s="3" t="inlineStr">
        <is>
          <t>SS pipe 304 grades with press fit technology as per JIS 3448 standard</t>
        </is>
      </c>
      <c r="D1940" s="4" t="inlineStr"/>
      <c r="E1940" s="5" t="n">
        <v>423</v>
      </c>
    </row>
    <row r="1941" ht="20" customHeight="1">
      <c r="A1941" s="6" t="inlineStr">
        <is>
          <t>8783</t>
        </is>
      </c>
      <c r="B1941" s="7" t="inlineStr">
        <is>
          <t>Building Materials</t>
        </is>
      </c>
      <c r="C1941" s="7" t="inlineStr">
        <is>
          <t>SS pipe 304 grades with press fit technology as per JIS 3448 standard</t>
        </is>
      </c>
      <c r="D1941" s="8" t="inlineStr"/>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c r="E2003" s="9" t="n">
        <v>179</v>
      </c>
    </row>
    <row r="2004" ht="20" customHeight="1">
      <c r="A2004" s="2" t="inlineStr">
        <is>
          <t>8846</t>
        </is>
      </c>
      <c r="B2004" s="3" t="inlineStr">
        <is>
          <t>Building Materials</t>
        </is>
      </c>
      <c r="C2004" s="3" t="inlineStr">
        <is>
          <t>Stainless steel Male thread Tee for 22.22 mm outer dia X 15 mm nomina</t>
        </is>
      </c>
      <c r="D2004" s="4" t="inlineStr"/>
      <c r="E2004" s="5" t="n">
        <v>200</v>
      </c>
    </row>
    <row r="2005" ht="20" customHeight="1">
      <c r="A2005" s="6" t="inlineStr">
        <is>
          <t>8847</t>
        </is>
      </c>
      <c r="B2005" s="7" t="inlineStr">
        <is>
          <t>Building Materials</t>
        </is>
      </c>
      <c r="C2005" s="7" t="inlineStr">
        <is>
          <t>Stainless steel Male thread Tee for 22.22 mm outer dia X 20 mm nominal</t>
        </is>
      </c>
      <c r="D2005" s="8" t="inlineStr"/>
      <c r="E2005" s="9" t="n">
        <v>205</v>
      </c>
    </row>
    <row r="2006" ht="20" customHeight="1">
      <c r="A2006" s="2" t="inlineStr">
        <is>
          <t>8849</t>
        </is>
      </c>
      <c r="B2006" s="3" t="inlineStr">
        <is>
          <t>Building Materials</t>
        </is>
      </c>
      <c r="C2006" s="3" t="inlineStr">
        <is>
          <t>Stainless steel Male thread Tee for 28.58 mm outer dia X 20 mm nominal</t>
        </is>
      </c>
      <c r="D2006" s="4" t="inlineStr"/>
      <c r="E2006" s="5" t="n">
        <v>273</v>
      </c>
    </row>
    <row r="2007" ht="20" customHeight="1">
      <c r="A2007" s="6" t="inlineStr">
        <is>
          <t>8850</t>
        </is>
      </c>
      <c r="B2007" s="7" t="inlineStr">
        <is>
          <t>Building Materials</t>
        </is>
      </c>
      <c r="C2007" s="7" t="inlineStr">
        <is>
          <t>Stainless steel Male thread Tee for 28.58 mm outer dia X 25 mm nominal</t>
        </is>
      </c>
      <c r="D2007" s="8" t="inlineStr"/>
      <c r="E2007" s="9" t="n">
        <v>273</v>
      </c>
    </row>
    <row r="2008" ht="20" customHeight="1">
      <c r="A2008" s="2" t="inlineStr">
        <is>
          <t>8851</t>
        </is>
      </c>
      <c r="B2008" s="3" t="inlineStr">
        <is>
          <t>Building Materials</t>
        </is>
      </c>
      <c r="C2008" s="3" t="inlineStr">
        <is>
          <t>Stainless steel Male thread Tee for 34.00 mm outer dia X 15 mm nominal</t>
        </is>
      </c>
      <c r="D2008" s="4" t="inlineStr"/>
      <c r="E2008" s="5" t="n">
        <v>437</v>
      </c>
    </row>
    <row r="2009" ht="20" customHeight="1">
      <c r="A2009" s="6" t="inlineStr">
        <is>
          <t>8852</t>
        </is>
      </c>
      <c r="B2009" s="7" t="inlineStr">
        <is>
          <t>Building Materials</t>
        </is>
      </c>
      <c r="C2009" s="7" t="inlineStr">
        <is>
          <t>Stainless steel Male thread Tee for 34.00 mm outer dia X 20 mm nominal</t>
        </is>
      </c>
      <c r="D2009" s="8" t="inlineStr"/>
      <c r="E2009" s="9" t="n">
        <v>437</v>
      </c>
    </row>
    <row r="2010" ht="20" customHeight="1">
      <c r="A2010" s="2" t="inlineStr">
        <is>
          <t>8853</t>
        </is>
      </c>
      <c r="B2010" s="3" t="inlineStr">
        <is>
          <t>Building Materials</t>
        </is>
      </c>
      <c r="C2010" s="3" t="inlineStr">
        <is>
          <t>Stainless steel Male thread Tee for 34.00 mm outer dia X 25 mm nominal</t>
        </is>
      </c>
      <c r="D2010" s="4" t="inlineStr"/>
      <c r="E2010" s="5" t="n">
        <v>437</v>
      </c>
    </row>
    <row r="2011" ht="20" customHeight="1">
      <c r="A2011" s="6" t="inlineStr">
        <is>
          <t>8854</t>
        </is>
      </c>
      <c r="B2011" s="7" t="inlineStr">
        <is>
          <t>Building Materials</t>
        </is>
      </c>
      <c r="C2011" s="7" t="inlineStr">
        <is>
          <t>Stainless steel Male thread Tee for 34.00 mm outer dia X 32 mm nominal</t>
        </is>
      </c>
      <c r="D2011" s="8" t="inlineStr"/>
      <c r="E2011" s="9" t="n">
        <v>437</v>
      </c>
    </row>
    <row r="2012" ht="20" customHeight="1">
      <c r="A2012" s="2" t="inlineStr">
        <is>
          <t>8855</t>
        </is>
      </c>
      <c r="B2012" s="3" t="inlineStr">
        <is>
          <t>Building Materials</t>
        </is>
      </c>
      <c r="C2012" s="3" t="inlineStr">
        <is>
          <t>Stainless steel Male thread Tee for 42.70 mm outer dia X 15 mm nominal</t>
        </is>
      </c>
      <c r="D2012" s="4" t="inlineStr"/>
      <c r="E2012" s="5" t="n">
        <v>683</v>
      </c>
    </row>
    <row r="2013" ht="20" customHeight="1">
      <c r="A2013" s="6" t="inlineStr">
        <is>
          <t>8856</t>
        </is>
      </c>
      <c r="B2013" s="7" t="inlineStr">
        <is>
          <t>Building Materials</t>
        </is>
      </c>
      <c r="C2013" s="7" t="inlineStr">
        <is>
          <t>Stainless steel Male thread Tee for 42.70 mm outer dia X 20 mm nominal</t>
        </is>
      </c>
      <c r="D2013" s="8" t="inlineStr"/>
      <c r="E2013" s="9" t="n">
        <v>683</v>
      </c>
    </row>
    <row r="2014" ht="20" customHeight="1">
      <c r="A2014" s="2" t="inlineStr">
        <is>
          <t>8857</t>
        </is>
      </c>
      <c r="B2014" s="3" t="inlineStr">
        <is>
          <t>Building Materials</t>
        </is>
      </c>
      <c r="C2014" s="3" t="inlineStr">
        <is>
          <t>Stainless steel Male thread Tee for 42.70 mm outer dia X 25 mm nominal No.</t>
        </is>
      </c>
      <c r="D2014" s="4" t="inlineStr"/>
      <c r="E2014" s="5" t="n">
        <v>683</v>
      </c>
    </row>
    <row r="2015" ht="20" customHeight="1">
      <c r="A2015" s="6" t="inlineStr">
        <is>
          <t>8858</t>
        </is>
      </c>
      <c r="B2015" s="7" t="inlineStr">
        <is>
          <t>Building Materials</t>
        </is>
      </c>
      <c r="C2015" s="7" t="inlineStr">
        <is>
          <t>Stainless steel Male thread Tee for 42.70 mm outer dia X 32 mm</t>
        </is>
      </c>
      <c r="D2015" s="8" t="inlineStr"/>
      <c r="E2015" s="9" t="n">
        <v>683</v>
      </c>
    </row>
    <row r="2016" ht="20" customHeight="1">
      <c r="A2016" s="2" t="inlineStr">
        <is>
          <t>8859</t>
        </is>
      </c>
      <c r="B2016" s="3" t="inlineStr">
        <is>
          <t>Building Materials</t>
        </is>
      </c>
      <c r="C2016" s="3" t="inlineStr">
        <is>
          <t>Stainless steel Male thread Tee for 42.70 mm outer dia X 40 mm</t>
        </is>
      </c>
      <c r="D2016" s="4" t="inlineStr"/>
      <c r="E2016" s="5" t="n">
        <v>683</v>
      </c>
    </row>
    <row r="2017" ht="20" customHeight="1">
      <c r="A2017" s="6" t="inlineStr">
        <is>
          <t>8860</t>
        </is>
      </c>
      <c r="B2017" s="7" t="inlineStr">
        <is>
          <t>Building Materials</t>
        </is>
      </c>
      <c r="C2017" s="7" t="inlineStr">
        <is>
          <t>Stainless steel Male thread Tee for 48.60 mm outer dia X 15 mm</t>
        </is>
      </c>
      <c r="D2017" s="8" t="inlineStr"/>
      <c r="E2017" s="9" t="n">
        <v>887</v>
      </c>
    </row>
    <row r="2018" ht="20" customHeight="1">
      <c r="A2018" s="2" t="inlineStr">
        <is>
          <t>8861</t>
        </is>
      </c>
      <c r="B2018" s="3" t="inlineStr">
        <is>
          <t>Building Materials</t>
        </is>
      </c>
      <c r="C2018" s="3" t="inlineStr">
        <is>
          <t>Stainless steel Male thread Tee for 48.60 mm outer dia X 20 mm</t>
        </is>
      </c>
      <c r="D2018" s="4" t="inlineStr"/>
      <c r="E2018" s="5" t="n">
        <v>887</v>
      </c>
    </row>
    <row r="2019" ht="20" customHeight="1">
      <c r="A2019" s="6" t="inlineStr">
        <is>
          <t>8862</t>
        </is>
      </c>
      <c r="B2019" s="7" t="inlineStr">
        <is>
          <t>Building Materials</t>
        </is>
      </c>
      <c r="C2019" s="7" t="inlineStr">
        <is>
          <t>Stainless steel Male thread Tee for 48.60 mm outer dia X 25 mm</t>
        </is>
      </c>
      <c r="D2019" s="8" t="inlineStr"/>
      <c r="E2019" s="9" t="n">
        <v>887</v>
      </c>
    </row>
    <row r="2020" ht="20" customHeight="1">
      <c r="A2020" s="2" t="inlineStr">
        <is>
          <t>8863</t>
        </is>
      </c>
      <c r="B2020" s="3" t="inlineStr">
        <is>
          <t>Building Materials</t>
        </is>
      </c>
      <c r="C2020" s="3" t="inlineStr">
        <is>
          <t>Stainless steel Male thread Tee for 48.60 mm outer dia X 32 mm</t>
        </is>
      </c>
      <c r="D2020" s="4" t="inlineStr"/>
      <c r="E2020" s="5" t="n">
        <v>887</v>
      </c>
    </row>
    <row r="2021" ht="20" customHeight="1">
      <c r="A2021" s="6" t="inlineStr">
        <is>
          <t>8864</t>
        </is>
      </c>
      <c r="B2021" s="7" t="inlineStr">
        <is>
          <t>Building Materials</t>
        </is>
      </c>
      <c r="C2021" s="7" t="inlineStr">
        <is>
          <t>Stainless steel Male thread Tee for 48.60 mm outer dia X 40 mm</t>
        </is>
      </c>
      <c r="D2021" s="8" t="inlineStr"/>
      <c r="E2021" s="9" t="n">
        <v>887</v>
      </c>
    </row>
    <row r="2022" ht="20" customHeight="1">
      <c r="A2022" s="2" t="inlineStr">
        <is>
          <t>8865</t>
        </is>
      </c>
      <c r="B2022" s="3" t="inlineStr">
        <is>
          <t>Building Materials</t>
        </is>
      </c>
      <c r="C2022" s="3" t="inlineStr">
        <is>
          <t>Stainless steel Male thread Tee for 48.60 mm outer dia X 50 mm</t>
        </is>
      </c>
      <c r="D2022" s="4" t="inlineStr"/>
      <c r="E2022" s="5" t="n">
        <v>887</v>
      </c>
    </row>
    <row r="2023" ht="20" customHeight="1">
      <c r="A2023" s="6" t="inlineStr">
        <is>
          <t>8866</t>
        </is>
      </c>
      <c r="B2023" s="7" t="inlineStr">
        <is>
          <t>Building Materials</t>
        </is>
      </c>
      <c r="C2023" s="7" t="inlineStr">
        <is>
          <t>Stainless steel Female thread Tee for 15.88 mm outer dia X 15 mm</t>
        </is>
      </c>
      <c r="D2023" s="8" t="inlineStr"/>
      <c r="E2023" s="9" t="n">
        <v>179</v>
      </c>
    </row>
    <row r="2024" ht="20" customHeight="1">
      <c r="A2024" s="2" t="inlineStr">
        <is>
          <t>8867</t>
        </is>
      </c>
      <c r="B2024" s="3" t="inlineStr">
        <is>
          <t>Building Materials</t>
        </is>
      </c>
      <c r="C2024" s="3" t="inlineStr">
        <is>
          <t>Stainless steel Female thread Tee for 22.22 mm outer dia X 15 mm</t>
        </is>
      </c>
      <c r="D2024" s="4" t="inlineStr"/>
      <c r="E2024" s="5" t="n">
        <v>200</v>
      </c>
    </row>
    <row r="2025" ht="20" customHeight="1">
      <c r="A2025" s="6" t="inlineStr">
        <is>
          <t>8868</t>
        </is>
      </c>
      <c r="B2025" s="7" t="inlineStr">
        <is>
          <t>Building Materials</t>
        </is>
      </c>
      <c r="C2025" s="7" t="inlineStr">
        <is>
          <t>Stainless steel Female thread Tee for 22.22 mm outer dia X 20 mm</t>
        </is>
      </c>
      <c r="D2025" s="8" t="inlineStr"/>
      <c r="E2025" s="9" t="n">
        <v>200</v>
      </c>
    </row>
    <row r="2026" ht="20" customHeight="1">
      <c r="A2026" s="2" t="inlineStr">
        <is>
          <t>8869</t>
        </is>
      </c>
      <c r="B2026" s="3" t="inlineStr">
        <is>
          <t>Building Materials</t>
        </is>
      </c>
      <c r="C2026" s="3" t="inlineStr">
        <is>
          <t>Stainless steel Female thread Tee for 28.58 mm outer dia X 15 mm</t>
        </is>
      </c>
      <c r="D2026" s="4" t="inlineStr"/>
      <c r="E2026" s="5" t="n">
        <v>273</v>
      </c>
    </row>
    <row r="2027" ht="20" customHeight="1">
      <c r="A2027" s="6" t="inlineStr">
        <is>
          <t>8870</t>
        </is>
      </c>
      <c r="B2027" s="7" t="inlineStr">
        <is>
          <t>Building Materials</t>
        </is>
      </c>
      <c r="C2027" s="7" t="inlineStr">
        <is>
          <t>Stainless steel Female thread Tee for 28.58 mm outer dia X 20 mm</t>
        </is>
      </c>
      <c r="D2027" s="8" t="inlineStr"/>
      <c r="E2027" s="9" t="n">
        <v>273</v>
      </c>
    </row>
    <row r="2028" ht="20" customHeight="1">
      <c r="A2028" s="2" t="inlineStr">
        <is>
          <t>8871</t>
        </is>
      </c>
      <c r="B2028" s="3" t="inlineStr">
        <is>
          <t>Building Materials</t>
        </is>
      </c>
      <c r="C2028" s="3" t="inlineStr">
        <is>
          <t>Stainless steel Female thread Tee for 28.58 mm outer dia X 25 mm</t>
        </is>
      </c>
      <c r="D2028" s="4" t="inlineStr"/>
      <c r="E2028" s="5" t="n">
        <v>273</v>
      </c>
    </row>
    <row r="2029" ht="20" customHeight="1">
      <c r="A2029" s="6" t="inlineStr">
        <is>
          <t>8872</t>
        </is>
      </c>
      <c r="B2029" s="7" t="inlineStr">
        <is>
          <t>Building Materials</t>
        </is>
      </c>
      <c r="C2029" s="7" t="inlineStr">
        <is>
          <t>Stainless steel Female thread Tee for 34.00 mm outer dia X 15 mm</t>
        </is>
      </c>
      <c r="D2029" s="8" t="inlineStr"/>
      <c r="E2029" s="9" t="n">
        <v>437</v>
      </c>
    </row>
    <row r="2030" ht="20" customHeight="1">
      <c r="A2030" s="2" t="inlineStr">
        <is>
          <t>8873</t>
        </is>
      </c>
      <c r="B2030" s="3" t="inlineStr">
        <is>
          <t>Building Materials</t>
        </is>
      </c>
      <c r="C2030" s="3" t="inlineStr">
        <is>
          <t>Stainless steel Female thread Tee for 34.00 mm outer dia X 20 mm</t>
        </is>
      </c>
      <c r="D2030" s="4" t="inlineStr"/>
      <c r="E2030" s="5" t="n">
        <v>437</v>
      </c>
    </row>
    <row r="2031" ht="20" customHeight="1">
      <c r="A2031" s="6" t="inlineStr">
        <is>
          <t>8874</t>
        </is>
      </c>
      <c r="B2031" s="7" t="inlineStr">
        <is>
          <t>Building Materials</t>
        </is>
      </c>
      <c r="C2031" s="7" t="inlineStr">
        <is>
          <t>Stainless steel Female thread Tee for 34.00 mm outer dia X 25 mm</t>
        </is>
      </c>
      <c r="D2031" s="8" t="inlineStr"/>
      <c r="E2031" s="9" t="n">
        <v>437</v>
      </c>
    </row>
    <row r="2032" ht="20" customHeight="1">
      <c r="A2032" s="2" t="inlineStr">
        <is>
          <t>8875</t>
        </is>
      </c>
      <c r="B2032" s="3" t="inlineStr">
        <is>
          <t>Building Materials</t>
        </is>
      </c>
      <c r="C2032" s="3" t="inlineStr">
        <is>
          <t>Stainless steel Female thread Tee for 34.00 mm outer dia X 32 mm</t>
        </is>
      </c>
      <c r="D2032" s="4" t="inlineStr"/>
      <c r="E2032" s="5" t="n">
        <v>437</v>
      </c>
    </row>
    <row r="2033" ht="20" customHeight="1">
      <c r="A2033" s="6" t="inlineStr">
        <is>
          <t>8876</t>
        </is>
      </c>
      <c r="B2033" s="7" t="inlineStr">
        <is>
          <t>Building Materials</t>
        </is>
      </c>
      <c r="C2033" s="7" t="inlineStr">
        <is>
          <t>Stainless steel Female thread Tee for 42.70 mm outer dia X 15 mm</t>
        </is>
      </c>
      <c r="D2033" s="8" t="inlineStr"/>
      <c r="E2033" s="9" t="n">
        <v>683</v>
      </c>
    </row>
    <row r="2034" ht="20" customHeight="1">
      <c r="A2034" s="2" t="inlineStr">
        <is>
          <t>8877</t>
        </is>
      </c>
      <c r="B2034" s="3" t="inlineStr">
        <is>
          <t>Building Materials</t>
        </is>
      </c>
      <c r="C2034" s="3" t="inlineStr">
        <is>
          <t>Stainless steel Female thread Tee for 42.70 mm outer dia X 20 mm</t>
        </is>
      </c>
      <c r="D2034" s="4" t="inlineStr"/>
      <c r="E2034" s="5" t="n">
        <v>683</v>
      </c>
    </row>
    <row r="2035" ht="20" customHeight="1">
      <c r="A2035" s="6" t="inlineStr">
        <is>
          <t>8878</t>
        </is>
      </c>
      <c r="B2035" s="7" t="inlineStr">
        <is>
          <t>Building Materials</t>
        </is>
      </c>
      <c r="C2035" s="7" t="inlineStr">
        <is>
          <t>Stainless steel Female thread Tee for 42.70 mm outer dia X 25 mm</t>
        </is>
      </c>
      <c r="D2035" s="8" t="inlineStr"/>
      <c r="E2035" s="9" t="n">
        <v>683</v>
      </c>
    </row>
    <row r="2036" ht="20" customHeight="1">
      <c r="A2036" s="2" t="inlineStr">
        <is>
          <t>8879</t>
        </is>
      </c>
      <c r="B2036" s="3" t="inlineStr">
        <is>
          <t>Building Materials</t>
        </is>
      </c>
      <c r="C2036" s="3" t="inlineStr">
        <is>
          <t>Stainless steel Female thread Tee for 42.70 mm outer dia X 32 mm</t>
        </is>
      </c>
      <c r="D2036" s="4" t="inlineStr"/>
      <c r="E2036" s="5" t="n">
        <v>683</v>
      </c>
    </row>
    <row r="2037" ht="20" customHeight="1">
      <c r="A2037" s="6" t="inlineStr">
        <is>
          <t>8880</t>
        </is>
      </c>
      <c r="B2037" s="7" t="inlineStr">
        <is>
          <t>Building Materials</t>
        </is>
      </c>
      <c r="C2037" s="7" t="inlineStr">
        <is>
          <t>Stainless steel Female thread Tee for 42.70 mm outer dia X 40 mm</t>
        </is>
      </c>
      <c r="D2037" s="8" t="inlineStr"/>
      <c r="E2037" s="9" t="n">
        <v>683</v>
      </c>
    </row>
    <row r="2038" ht="20" customHeight="1">
      <c r="A2038" s="2" t="inlineStr">
        <is>
          <t>8881</t>
        </is>
      </c>
      <c r="B2038" s="3" t="inlineStr">
        <is>
          <t>Building Materials</t>
        </is>
      </c>
      <c r="C2038" s="3" t="inlineStr">
        <is>
          <t>Stainless steel Female thread Tee for 48.60 mm outer dia X 15 mm</t>
        </is>
      </c>
      <c r="D2038" s="4" t="inlineStr"/>
      <c r="E2038" s="5" t="n">
        <v>887</v>
      </c>
    </row>
    <row r="2039" ht="20" customHeight="1">
      <c r="A2039" s="6" t="inlineStr">
        <is>
          <t>8882</t>
        </is>
      </c>
      <c r="B2039" s="7" t="inlineStr">
        <is>
          <t>Building Materials</t>
        </is>
      </c>
      <c r="C2039" s="7" t="inlineStr">
        <is>
          <t>Stainless steel Female thread Tee for 48.60 mm outer dia X 20 mm</t>
        </is>
      </c>
      <c r="D2039" s="8" t="inlineStr"/>
      <c r="E2039" s="9" t="n">
        <v>887</v>
      </c>
    </row>
    <row r="2040" ht="20" customHeight="1">
      <c r="A2040" s="2" t="inlineStr">
        <is>
          <t>8883</t>
        </is>
      </c>
      <c r="B2040" s="3" t="inlineStr">
        <is>
          <t>Building Materials</t>
        </is>
      </c>
      <c r="C2040" s="3" t="inlineStr">
        <is>
          <t>Stainless steel Female thread Tee for 48.60 mm outer dia X 25 mm No.</t>
        </is>
      </c>
      <c r="D2040" s="4" t="inlineStr"/>
      <c r="E2040" s="5" t="n">
        <v>887</v>
      </c>
    </row>
    <row r="2041" ht="20" customHeight="1">
      <c r="A2041" s="6" t="inlineStr">
        <is>
          <t>8884</t>
        </is>
      </c>
      <c r="B2041" s="7" t="inlineStr">
        <is>
          <t>Building Materials</t>
        </is>
      </c>
      <c r="C2041" s="7" t="inlineStr">
        <is>
          <t>Stainless steel Female thread Tee for 48.60 mm outer dia X 32 mm</t>
        </is>
      </c>
      <c r="D2041" s="8" t="inlineStr"/>
      <c r="E2041" s="9" t="n">
        <v>887</v>
      </c>
    </row>
    <row r="2042" ht="20" customHeight="1">
      <c r="A2042" s="2" t="inlineStr">
        <is>
          <t>8885</t>
        </is>
      </c>
      <c r="B2042" s="3" t="inlineStr">
        <is>
          <t>Building Materials</t>
        </is>
      </c>
      <c r="C2042" s="3" t="inlineStr">
        <is>
          <t>Stainless steel Female thread Tee for 48.60 mm outer dia X 40 mm</t>
        </is>
      </c>
      <c r="D2042" s="4" t="inlineStr"/>
      <c r="E2042" s="5" t="n">
        <v>887</v>
      </c>
    </row>
    <row r="2043" ht="20" customHeight="1">
      <c r="A2043" s="6" t="inlineStr">
        <is>
          <t>8886</t>
        </is>
      </c>
      <c r="B2043" s="7" t="inlineStr">
        <is>
          <t>Building Materials</t>
        </is>
      </c>
      <c r="C2043" s="7" t="inlineStr">
        <is>
          <t>Stainless steel Female thread Tee for 48.60 mm outer dia X 50 mm</t>
        </is>
      </c>
      <c r="D2043" s="8" t="inlineStr"/>
      <c r="E2043" s="9" t="n">
        <v>887</v>
      </c>
    </row>
    <row r="2044" ht="20" customHeight="1">
      <c r="A2044" s="2" t="inlineStr">
        <is>
          <t>8887</t>
        </is>
      </c>
      <c r="B2044" s="3" t="inlineStr">
        <is>
          <t>Building Materials</t>
        </is>
      </c>
      <c r="C2044" s="3" t="inlineStr">
        <is>
          <t>Stainless steel Female threaded Connector/Adapter for 15.88 mm</t>
        </is>
      </c>
      <c r="D2044" s="4" t="inlineStr"/>
      <c r="E2044" s="5" t="n">
        <v>190</v>
      </c>
    </row>
    <row r="2045" ht="20" customHeight="1">
      <c r="A2045" s="6" t="inlineStr">
        <is>
          <t>8888</t>
        </is>
      </c>
      <c r="B2045" s="7" t="inlineStr">
        <is>
          <t>Building Materials</t>
        </is>
      </c>
      <c r="C2045" s="7" t="inlineStr">
        <is>
          <t>Stainless steel Female threaded Connector/Adapter for 22.22 mm</t>
        </is>
      </c>
      <c r="D2045" s="8" t="inlineStr"/>
      <c r="E2045" s="9" t="n">
        <v>230</v>
      </c>
    </row>
    <row r="2046" ht="20" customHeight="1">
      <c r="A2046" s="2" t="inlineStr">
        <is>
          <t>8889</t>
        </is>
      </c>
      <c r="B2046" s="3" t="inlineStr">
        <is>
          <t>Building Materials</t>
        </is>
      </c>
      <c r="C2046" s="3" t="inlineStr">
        <is>
          <t>Stainless steel Female threaded Connector/Adapter for 22.22 mm</t>
        </is>
      </c>
      <c r="D2046" s="4" t="inlineStr"/>
      <c r="E2046" s="5" t="n">
        <v>237</v>
      </c>
    </row>
    <row r="2047" ht="20" customHeight="1">
      <c r="A2047" s="6" t="inlineStr">
        <is>
          <t>8890</t>
        </is>
      </c>
      <c r="B2047" s="7" t="inlineStr">
        <is>
          <t>Building Materials</t>
        </is>
      </c>
      <c r="C2047" s="7" t="inlineStr">
        <is>
          <t>Stainless steel Female threaded Connector/Adapter for 28.58 mm</t>
        </is>
      </c>
      <c r="D2047" s="8" t="inlineStr"/>
      <c r="E2047" s="9" t="n">
        <v>277</v>
      </c>
    </row>
    <row r="2048" ht="20" customHeight="1">
      <c r="A2048" s="2" t="inlineStr">
        <is>
          <t>8891</t>
        </is>
      </c>
      <c r="B2048" s="3" t="inlineStr">
        <is>
          <t>Building Materials</t>
        </is>
      </c>
      <c r="C2048" s="3" t="inlineStr">
        <is>
          <t>Stainless steel Female threaded Connector/Adapter for 28.58 mm</t>
        </is>
      </c>
      <c r="D2048" s="4" t="inlineStr"/>
      <c r="E2048" s="5" t="n">
        <v>286</v>
      </c>
    </row>
    <row r="2049" ht="20" customHeight="1">
      <c r="A2049" s="6" t="inlineStr">
        <is>
          <t>8892</t>
        </is>
      </c>
      <c r="B2049" s="7" t="inlineStr">
        <is>
          <t>Building Materials</t>
        </is>
      </c>
      <c r="C2049" s="7" t="inlineStr">
        <is>
          <t>Stainless steel Female threaded Connector/Adapter for 28.58 mm</t>
        </is>
      </c>
      <c r="D2049" s="8" t="inlineStr"/>
      <c r="E2049" s="9" t="n">
        <v>337</v>
      </c>
    </row>
    <row r="2050" ht="20" customHeight="1">
      <c r="A2050" s="2" t="inlineStr">
        <is>
          <t>8893</t>
        </is>
      </c>
      <c r="B2050" s="3" t="inlineStr">
        <is>
          <t>Building Materials</t>
        </is>
      </c>
      <c r="C2050" s="3" t="inlineStr">
        <is>
          <t>Stainless steel Female threaded Connector/Adapter for 34.00 mm</t>
        </is>
      </c>
      <c r="D2050" s="4" t="inlineStr"/>
      <c r="E2050" s="5" t="n">
        <v>409</v>
      </c>
    </row>
    <row r="2051" ht="20" customHeight="1">
      <c r="A2051" s="6" t="inlineStr">
        <is>
          <t>8894</t>
        </is>
      </c>
      <c r="B2051" s="7" t="inlineStr">
        <is>
          <t>Building Materials</t>
        </is>
      </c>
      <c r="C2051" s="7" t="inlineStr">
        <is>
          <t>Stainless steel Female threaded Connector/Adapter for 34.00 mm</t>
        </is>
      </c>
      <c r="D2051" s="8" t="inlineStr"/>
      <c r="E2051" s="9" t="n">
        <v>538</v>
      </c>
    </row>
    <row r="2052" ht="20" customHeight="1">
      <c r="A2052" s="2" t="inlineStr">
        <is>
          <t>8898</t>
        </is>
      </c>
      <c r="B2052" s="3" t="inlineStr">
        <is>
          <t>Building Materials</t>
        </is>
      </c>
      <c r="C2052" s="3" t="inlineStr">
        <is>
          <t>Stainless steel Female threaded Connector/Adapter for 48.60 mm</t>
        </is>
      </c>
      <c r="D2052" s="4" t="inlineStr"/>
      <c r="E2052" s="5" t="n">
        <v>965</v>
      </c>
    </row>
    <row r="2053" ht="20" customHeight="1">
      <c r="A2053" s="6" t="inlineStr">
        <is>
          <t>8899</t>
        </is>
      </c>
      <c r="B2053" s="7" t="inlineStr">
        <is>
          <t>Building Materials</t>
        </is>
      </c>
      <c r="C2053" s="7" t="inlineStr">
        <is>
          <t>Stainless steel Male threaded Connector/Adapter for 15.88 mm</t>
        </is>
      </c>
      <c r="D2053" s="8" t="inlineStr"/>
      <c r="E2053" s="9" t="n">
        <v>193</v>
      </c>
    </row>
    <row r="2054" ht="20" customHeight="1">
      <c r="A2054" s="2" t="inlineStr">
        <is>
          <t>8901</t>
        </is>
      </c>
      <c r="B2054" s="3" t="inlineStr">
        <is>
          <t>Building Materials</t>
        </is>
      </c>
      <c r="C2054" s="3" t="inlineStr">
        <is>
          <t>Stainless steel Male threaded Connector/Adapter for 22.22 mm</t>
        </is>
      </c>
      <c r="D2054" s="4" t="inlineStr"/>
      <c r="E2054" s="5" t="n">
        <v>248</v>
      </c>
    </row>
    <row r="2055" ht="20" customHeight="1">
      <c r="A2055" s="6" t="inlineStr">
        <is>
          <t>8904</t>
        </is>
      </c>
      <c r="B2055" s="7" t="inlineStr">
        <is>
          <t>Building Materials</t>
        </is>
      </c>
      <c r="C2055" s="7" t="inlineStr">
        <is>
          <t>Stainless steel Male threaded Connector/Adapter for 34.00 mm</t>
        </is>
      </c>
      <c r="D2055" s="8" t="inlineStr"/>
      <c r="E2055" s="9" t="n">
        <v>461</v>
      </c>
    </row>
    <row r="2056" ht="20" customHeight="1">
      <c r="A2056" s="2" t="inlineStr">
        <is>
          <t>8905</t>
        </is>
      </c>
      <c r="B2056" s="3" t="inlineStr">
        <is>
          <t>Building Materials</t>
        </is>
      </c>
      <c r="C2056" s="3" t="inlineStr">
        <is>
          <t>Stainless steel Male threaded Connector/Adapter for 34.00 mm</t>
        </is>
      </c>
      <c r="D2056" s="4" t="inlineStr"/>
      <c r="E2056" s="5" t="n">
        <v>565</v>
      </c>
    </row>
    <row r="2057" ht="20" customHeight="1">
      <c r="A2057" s="6" t="inlineStr">
        <is>
          <t>8906</t>
        </is>
      </c>
      <c r="B2057" s="7" t="inlineStr">
        <is>
          <t>Building Materials</t>
        </is>
      </c>
      <c r="C2057" s="7" t="inlineStr">
        <is>
          <t>Stainless steel Male threaded Connector/Adapter for 42.70 mm</t>
        </is>
      </c>
      <c r="D2057" s="8" t="inlineStr"/>
      <c r="E2057" s="9" t="n">
        <v>649</v>
      </c>
    </row>
    <row r="2058" ht="20" customHeight="1">
      <c r="A2058" s="2" t="inlineStr">
        <is>
          <t>8907</t>
        </is>
      </c>
      <c r="B2058" s="3" t="inlineStr">
        <is>
          <t>Building Materials</t>
        </is>
      </c>
      <c r="C2058" s="3" t="inlineStr">
        <is>
          <t>Stainless steel Male threaded Connector/Adapter for 42.70 mm outer</t>
        </is>
      </c>
      <c r="D2058" s="4" t="inlineStr"/>
      <c r="E2058" s="5" t="n">
        <v>726</v>
      </c>
    </row>
    <row r="2059" ht="20" customHeight="1">
      <c r="A2059" s="6" t="inlineStr">
        <is>
          <t>8908</t>
        </is>
      </c>
      <c r="B2059" s="7" t="inlineStr">
        <is>
          <t>Building Materials</t>
        </is>
      </c>
      <c r="C2059" s="7" t="inlineStr">
        <is>
          <t>Stainless steel Male threaded Connector/Adapter for 48.60 mm outer</t>
        </is>
      </c>
      <c r="D2059" s="8" t="inlineStr"/>
      <c r="E2059" s="9" t="n">
        <v>840</v>
      </c>
    </row>
    <row r="2060" ht="20" customHeight="1">
      <c r="A2060" s="2" t="inlineStr">
        <is>
          <t>8909</t>
        </is>
      </c>
      <c r="B2060" s="3" t="inlineStr">
        <is>
          <t>Building Materials</t>
        </is>
      </c>
      <c r="C2060" s="3" t="inlineStr">
        <is>
          <t>Stainless steel Male threaded Connector/Adapter for 48.60 mm outer No.</t>
        </is>
      </c>
      <c r="D2060" s="4" t="inlineStr"/>
      <c r="E2060" s="5" t="n">
        <v>1138</v>
      </c>
    </row>
    <row r="2061" ht="20" customHeight="1">
      <c r="A2061" s="6" t="inlineStr">
        <is>
          <t>8910</t>
        </is>
      </c>
      <c r="B2061" s="7" t="inlineStr">
        <is>
          <t>Building Materials</t>
        </is>
      </c>
      <c r="C2061" s="7" t="inlineStr">
        <is>
          <t>Stainless steel Valve Connector for 15.88 mm outer dia X 15 mm</t>
        </is>
      </c>
      <c r="D2061" s="8" t="inlineStr"/>
      <c r="E2061" s="9" t="n">
        <v>234</v>
      </c>
    </row>
    <row r="2062" ht="20" customHeight="1">
      <c r="A2062" s="2" t="inlineStr">
        <is>
          <t>8911</t>
        </is>
      </c>
      <c r="B2062" s="3" t="inlineStr">
        <is>
          <t>Building Materials</t>
        </is>
      </c>
      <c r="C2062" s="3" t="inlineStr">
        <is>
          <t>Stainless steel Valve Connector for 22.22 mm outer dia X 15 mm</t>
        </is>
      </c>
      <c r="D2062" s="4" t="inlineStr"/>
      <c r="E2062" s="5" t="n">
        <v>276</v>
      </c>
    </row>
    <row r="2063" ht="20" customHeight="1">
      <c r="A2063" s="6" t="inlineStr">
        <is>
          <t>8912</t>
        </is>
      </c>
      <c r="B2063" s="7" t="inlineStr">
        <is>
          <t>Building Materials</t>
        </is>
      </c>
      <c r="C2063" s="7" t="inlineStr">
        <is>
          <t>Stainless steel Valve Connector for 22.22 mm outer dia X 20 mm</t>
        </is>
      </c>
      <c r="D2063" s="8" t="inlineStr"/>
      <c r="E2063" s="9" t="n">
        <v>295</v>
      </c>
    </row>
    <row r="2064" ht="20" customHeight="1">
      <c r="A2064" s="2" t="inlineStr">
        <is>
          <t>8913</t>
        </is>
      </c>
      <c r="B2064" s="3" t="inlineStr">
        <is>
          <t>Building Materials</t>
        </is>
      </c>
      <c r="C2064" s="3" t="inlineStr">
        <is>
          <t>Stainless steel Valve Connector for 28.58 mm outer dia X 25 mm</t>
        </is>
      </c>
      <c r="D2064" s="4" t="inlineStr"/>
      <c r="E2064" s="5" t="n">
        <v>424</v>
      </c>
    </row>
    <row r="2065" ht="20" customHeight="1">
      <c r="A2065" s="6" t="inlineStr">
        <is>
          <t>8914</t>
        </is>
      </c>
      <c r="B2065" s="7" t="inlineStr">
        <is>
          <t>Building Materials</t>
        </is>
      </c>
      <c r="C2065" s="7" t="inlineStr">
        <is>
          <t>Stainless steel Valve Connector for 34.00 mm outer dia X 32 mm</t>
        </is>
      </c>
      <c r="D2065" s="8" t="inlineStr"/>
      <c r="E2065" s="9" t="n">
        <v>629</v>
      </c>
    </row>
    <row r="2066" ht="20" customHeight="1">
      <c r="A2066" s="2" t="inlineStr">
        <is>
          <t>8915</t>
        </is>
      </c>
      <c r="B2066" s="3" t="inlineStr">
        <is>
          <t>Building Materials</t>
        </is>
      </c>
      <c r="C2066" s="3" t="inlineStr">
        <is>
          <t>Stainless steel Valve Connector for 42.70 mm outer dia X 40 mm</t>
        </is>
      </c>
      <c r="D2066" s="4" t="inlineStr"/>
      <c r="E2066" s="5" t="n">
        <v>875</v>
      </c>
    </row>
    <row r="2067" ht="20" customHeight="1">
      <c r="A2067" s="6" t="inlineStr">
        <is>
          <t>8916</t>
        </is>
      </c>
      <c r="B2067" s="7" t="inlineStr">
        <is>
          <t>Building Materials</t>
        </is>
      </c>
      <c r="C2067" s="7" t="inlineStr">
        <is>
          <t>Stainless steel Valve Connector for 48.60 mm outer dia X 50 mm</t>
        </is>
      </c>
      <c r="D2067" s="8" t="inlineStr"/>
      <c r="E2067" s="9" t="n">
        <v>1176</v>
      </c>
    </row>
    <row r="2068" ht="20" customHeight="1">
      <c r="A2068" s="2" t="inlineStr">
        <is>
          <t>8917</t>
        </is>
      </c>
      <c r="B2068" s="3" t="inlineStr">
        <is>
          <t>Building Materials</t>
        </is>
      </c>
      <c r="C2068" s="3" t="inlineStr">
        <is>
          <t>SS Female Threaded Elbow 90o for 15.88 mm outer dia X 15 mm</t>
        </is>
      </c>
      <c r="D2068" s="4" t="inlineStr"/>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c r="E2070" s="5" t="n">
        <v>191</v>
      </c>
    </row>
    <row r="2071" ht="20" customHeight="1">
      <c r="A2071" s="6" t="inlineStr">
        <is>
          <t>8920</t>
        </is>
      </c>
      <c r="B2071" s="7" t="inlineStr">
        <is>
          <t>Building Materials</t>
        </is>
      </c>
      <c r="C2071" s="7" t="inlineStr">
        <is>
          <t>Stainless steel Female Threaded Elbow 90o for 28.58 mm outer dia</t>
        </is>
      </c>
      <c r="D2071" s="8" t="inlineStr"/>
      <c r="E2071" s="9" t="n">
        <v>205</v>
      </c>
    </row>
    <row r="2072" ht="20" customHeight="1">
      <c r="A2072" s="2" t="inlineStr">
        <is>
          <t>8921</t>
        </is>
      </c>
      <c r="B2072" s="3" t="inlineStr">
        <is>
          <t>Building Materials</t>
        </is>
      </c>
      <c r="C2072" s="3" t="inlineStr">
        <is>
          <t>Stainless steel Female Threaded Elbow 90o for 34.00 mm outer dia</t>
        </is>
      </c>
      <c r="D2072" s="4" t="inlineStr"/>
      <c r="E2072" s="5" t="n">
        <v>287</v>
      </c>
    </row>
    <row r="2073" ht="20" customHeight="1">
      <c r="A2073" s="6" t="inlineStr">
        <is>
          <t>8922</t>
        </is>
      </c>
      <c r="B2073" s="7" t="inlineStr">
        <is>
          <t>Building Materials</t>
        </is>
      </c>
      <c r="C2073" s="7" t="inlineStr">
        <is>
          <t>Stainless steel Female Threaded Elbow 90o for 42.70 mm outer dia</t>
        </is>
      </c>
      <c r="D2073" s="8" t="inlineStr"/>
      <c r="E2073" s="9" t="n">
        <v>478</v>
      </c>
    </row>
    <row r="2074" ht="20" customHeight="1">
      <c r="A2074" s="2" t="inlineStr">
        <is>
          <t>8923</t>
        </is>
      </c>
      <c r="B2074" s="3" t="inlineStr">
        <is>
          <t>Building Materials</t>
        </is>
      </c>
      <c r="C2074" s="3" t="inlineStr">
        <is>
          <t>Stainless steel Female Threaded Elbow 90o for 42.70 mm outer dia</t>
        </is>
      </c>
      <c r="D2074" s="4" t="inlineStr"/>
      <c r="E2074" s="5" t="n">
        <v>478</v>
      </c>
    </row>
    <row r="2075" ht="20" customHeight="1">
      <c r="A2075" s="6" t="inlineStr">
        <is>
          <t>8924</t>
        </is>
      </c>
      <c r="B2075" s="7" t="inlineStr">
        <is>
          <t>Building Materials</t>
        </is>
      </c>
      <c r="C2075" s="7" t="inlineStr">
        <is>
          <t>Stainless steel Female Threaded Elbow 90o for 48.60 mm outer dia</t>
        </is>
      </c>
      <c r="D2075" s="8" t="inlineStr"/>
      <c r="E2075" s="9" t="n">
        <v>683</v>
      </c>
    </row>
    <row r="2076" ht="20" customHeight="1">
      <c r="A2076" s="2" t="inlineStr">
        <is>
          <t>8925</t>
        </is>
      </c>
      <c r="B2076" s="3" t="inlineStr">
        <is>
          <t>Building Materials</t>
        </is>
      </c>
      <c r="C2076" s="3" t="inlineStr">
        <is>
          <t>Stainless steel Female Threaded Elbow 90o for 48.60 mm outer dia</t>
        </is>
      </c>
      <c r="D2076" s="4" t="inlineStr"/>
      <c r="E2076" s="5" t="n">
        <v>683</v>
      </c>
    </row>
    <row r="2077" ht="20" customHeight="1">
      <c r="A2077" s="6" t="inlineStr">
        <is>
          <t>8927</t>
        </is>
      </c>
      <c r="B2077" s="7" t="inlineStr">
        <is>
          <t>Building Materials</t>
        </is>
      </c>
      <c r="C2077" s="7" t="inlineStr">
        <is>
          <t>Stainless steel Male Threaded Elbow 90o for 22.22 mm outer dia X</t>
        </is>
      </c>
      <c r="D2077" s="8" t="inlineStr"/>
      <c r="E2077" s="9" t="n">
        <v>205</v>
      </c>
    </row>
    <row r="2078" ht="20" customHeight="1">
      <c r="A2078" s="2" t="inlineStr">
        <is>
          <t>8928</t>
        </is>
      </c>
      <c r="B2078" s="3" t="inlineStr">
        <is>
          <t>Building Materials</t>
        </is>
      </c>
      <c r="C2078" s="3" t="inlineStr">
        <is>
          <t>Stainless steel Male Threaded Elbow 900 for 22.22 mm outer dia X</t>
        </is>
      </c>
      <c r="D2078" s="4" t="inlineStr"/>
      <c r="E2078" s="5" t="n">
        <v>205</v>
      </c>
    </row>
    <row r="2079" ht="20" customHeight="1">
      <c r="A2079" s="6" t="inlineStr">
        <is>
          <t>8929</t>
        </is>
      </c>
      <c r="B2079" s="7" t="inlineStr">
        <is>
          <t>Building Materials</t>
        </is>
      </c>
      <c r="C2079" s="7" t="inlineStr">
        <is>
          <t>Stainless steel Male Threaded Elbow 900 for 28.58 mm outer dia X</t>
        </is>
      </c>
      <c r="D2079" s="8" t="inlineStr"/>
      <c r="E2079" s="9" t="n">
        <v>205</v>
      </c>
    </row>
    <row r="2080" ht="20" customHeight="1">
      <c r="A2080" s="2" t="inlineStr">
        <is>
          <t>8930</t>
        </is>
      </c>
      <c r="B2080" s="3" t="inlineStr">
        <is>
          <t>Building Materials</t>
        </is>
      </c>
      <c r="C2080" s="3" t="inlineStr">
        <is>
          <t>Stainless steel MaleThreaded Elbow 900 for 34.00 mm outer dia X</t>
        </is>
      </c>
      <c r="D2080" s="4" t="inlineStr"/>
      <c r="E2080" s="5" t="n">
        <v>287</v>
      </c>
    </row>
    <row r="2081" ht="20" customHeight="1">
      <c r="A2081" s="6" t="inlineStr">
        <is>
          <t>8931</t>
        </is>
      </c>
      <c r="B2081" s="7" t="inlineStr">
        <is>
          <t>Building Materials</t>
        </is>
      </c>
      <c r="C2081" s="7" t="inlineStr">
        <is>
          <t>Stainless steel Male Threaded Elbow 900 for 34.00 mm outer dia X</t>
        </is>
      </c>
      <c r="D2081" s="8" t="inlineStr"/>
      <c r="E2081" s="9" t="n">
        <v>287</v>
      </c>
    </row>
    <row r="2082" ht="20" customHeight="1">
      <c r="A2082" s="2" t="inlineStr">
        <is>
          <t>8932</t>
        </is>
      </c>
      <c r="B2082" s="3" t="inlineStr">
        <is>
          <t>Building Materials</t>
        </is>
      </c>
      <c r="C2082" s="3" t="inlineStr">
        <is>
          <t>Stainless steel Male Threaded Elbow 900 for 42.70 mm outer dia X</t>
        </is>
      </c>
      <c r="D2082" s="4" t="inlineStr"/>
      <c r="E2082" s="5" t="n">
        <v>478</v>
      </c>
    </row>
    <row r="2083" ht="20" customHeight="1">
      <c r="A2083" s="6" t="inlineStr">
        <is>
          <t>8933</t>
        </is>
      </c>
      <c r="B2083" s="7" t="inlineStr">
        <is>
          <t>Building Materials</t>
        </is>
      </c>
      <c r="C2083" s="7" t="inlineStr">
        <is>
          <t>Stainless steel Male Threaded Elbow 900 for 42.70 mm outer dia X</t>
        </is>
      </c>
      <c r="D2083" s="8" t="inlineStr"/>
      <c r="E2083" s="9" t="n">
        <v>478</v>
      </c>
    </row>
    <row r="2084" ht="20" customHeight="1">
      <c r="A2084" s="2" t="inlineStr">
        <is>
          <t>8934</t>
        </is>
      </c>
      <c r="B2084" s="3" t="inlineStr">
        <is>
          <t>Building Materials</t>
        </is>
      </c>
      <c r="C2084" s="3" t="inlineStr">
        <is>
          <t>Stainless steel Male Threaded Elbow 900 for 48.60 mm outer dia X</t>
        </is>
      </c>
      <c r="D2084" s="4" t="inlineStr"/>
      <c r="E2084" s="5" t="n">
        <v>683</v>
      </c>
    </row>
    <row r="2085" ht="20" customHeight="1">
      <c r="A2085" s="6" t="inlineStr">
        <is>
          <t>8935</t>
        </is>
      </c>
      <c r="B2085" s="7" t="inlineStr">
        <is>
          <t>Building Materials</t>
        </is>
      </c>
      <c r="C2085" s="7" t="inlineStr">
        <is>
          <t>Stainless steel Male Threaded Elbow 900 for 48.60 mm outer dia X</t>
        </is>
      </c>
      <c r="D2085" s="8" t="inlineStr"/>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c r="E2104" s="5" t="n">
        <v>630</v>
      </c>
    </row>
    <row r="2105" ht="20" customHeight="1">
      <c r="A2105" s="6" t="inlineStr">
        <is>
          <t>8962</t>
        </is>
      </c>
      <c r="B2105" s="7" t="inlineStr">
        <is>
          <t>Building Materials</t>
        </is>
      </c>
      <c r="C2105" s="7" t="inlineStr">
        <is>
          <t>Synthetic Geogrid having</t>
        </is>
      </c>
      <c r="D2105" s="8" t="inlineStr">
        <is>
          <t>Ultimate tensile strength- 100 kN/m</t>
        </is>
      </c>
      <c r="E2105" s="9" t="n">
        <v>220</v>
      </c>
    </row>
    <row r="2106" ht="20" customHeight="1">
      <c r="A2106" s="2" t="inlineStr">
        <is>
          <t>8963</t>
        </is>
      </c>
      <c r="B2106" s="3" t="inlineStr">
        <is>
          <t>Building Materials</t>
        </is>
      </c>
      <c r="C2106" s="3" t="inlineStr">
        <is>
          <t>Synthetic Geogrid</t>
        </is>
      </c>
      <c r="D2106" s="4" t="inlineStr">
        <is>
          <t>Ultimate tensile strength- 150 kN/m</t>
        </is>
      </c>
      <c r="E2106" s="5" t="n">
        <v>230</v>
      </c>
    </row>
    <row r="2107" ht="20" customHeight="1">
      <c r="A2107" s="6" t="inlineStr">
        <is>
          <t>8964</t>
        </is>
      </c>
      <c r="B2107" s="7" t="inlineStr">
        <is>
          <t>Building Materials</t>
        </is>
      </c>
      <c r="C2107" s="7" t="inlineStr">
        <is>
          <t>Synthetic Geogrid</t>
        </is>
      </c>
      <c r="D2107" s="8" t="inlineStr">
        <is>
          <t>Ultimate tensile strength- 200 kN/m</t>
        </is>
      </c>
      <c r="E2107" s="9" t="n">
        <v>320</v>
      </c>
    </row>
    <row r="2108" ht="20" customHeight="1">
      <c r="A2108" s="2" t="inlineStr">
        <is>
          <t>8965</t>
        </is>
      </c>
      <c r="B2108" s="3" t="inlineStr">
        <is>
          <t>Building Materials</t>
        </is>
      </c>
      <c r="C2108" s="3" t="inlineStr">
        <is>
          <t>Synthetic Geogrid</t>
        </is>
      </c>
      <c r="D2108" s="4" t="inlineStr">
        <is>
          <t>Ultimate tensile strength- 250 kN/m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Ultimate tensile strength- 400kN/m</t>
        </is>
      </c>
      <c r="E2111" s="9" t="n">
        <v>475</v>
      </c>
    </row>
    <row r="2112" ht="20" customHeight="1">
      <c r="A2112" s="2" t="inlineStr">
        <is>
          <t>8969</t>
        </is>
      </c>
      <c r="B2112" s="3" t="inlineStr">
        <is>
          <t>Building Materials</t>
        </is>
      </c>
      <c r="C2112" s="3" t="inlineStr">
        <is>
          <t>Synthetic Geogrid</t>
        </is>
      </c>
      <c r="D2112" s="4" t="inlineStr">
        <is>
          <t>Ultimate tensile strength- 500kN/m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Ultimate tensile strength- 1000kN/m</t>
        </is>
      </c>
      <c r="E2117" s="9" t="n">
        <v>1025</v>
      </c>
    </row>
    <row r="2118" ht="20" customHeight="1">
      <c r="A2118" s="2" t="inlineStr">
        <is>
          <t>8975</t>
        </is>
      </c>
      <c r="B2118" s="3" t="inlineStr">
        <is>
          <t>Building Materials</t>
        </is>
      </c>
      <c r="C2118" s="3" t="inlineStr">
        <is>
          <t>Synthetic Geogrid</t>
        </is>
      </c>
      <c r="D2118" s="4" t="inlineStr">
        <is>
          <t>Ultimate tensile strength- 1100kN/m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autoFilter ref="A1:E220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8" t="n">
        <v>1</v>
      </c>
      <c r="B12" s="19" t="inlineStr">
        <is>
          <t>Water Charges</t>
        </is>
      </c>
      <c r="C12" s="20" t="n">
        <v>0.01</v>
      </c>
      <c r="D12" s="19" t="inlineStr">
        <is>
          <t>Applied on Direct Cost (W)</t>
        </is>
      </c>
      <c r="E12" s="21" t="n"/>
      <c r="F12" s="22">
        <f>IF(E12&lt;&gt;"", E12, C12)</f>
        <v/>
      </c>
      <c r="G12" s="23" t="inlineStr">
        <is>
          <t>CPWD Standard: 1.0% on Direct Cost (W) for water consumed in construction/curing. Toggleable on trade sheets.</t>
        </is>
      </c>
    </row>
    <row r="13" ht="36" customHeight="1">
      <c r="A13" s="18" t="n">
        <v>2</v>
      </c>
      <c r="B13" s="19" t="inlineStr">
        <is>
          <t>Goods and Services Tax (GST)</t>
        </is>
      </c>
      <c r="C13" s="20" t="n">
        <v>0.1405</v>
      </c>
      <c r="D13" s="19" t="inlineStr">
        <is>
          <t>Applied on Compounded Base (X = W + Water)</t>
        </is>
      </c>
      <c r="E13" s="21" t="n"/>
      <c r="F13" s="22">
        <f>IF(E13&lt;&gt;"", E13, C13)</f>
        <v/>
      </c>
      <c r="G13" s="23" t="inlineStr">
        <is>
          <t>CPWD DAR 2019 multiplying factor 0.1405 (14.05% effective works contract rate). Override here for 18% (0.18) or 12% (0.12).</t>
        </is>
      </c>
    </row>
    <row r="14" ht="36" customHeight="1">
      <c r="A14" s="18" t="n">
        <v>3</v>
      </c>
      <c r="B14" s="19" t="inlineStr">
        <is>
          <t>Contractor's Profit &amp; Overheads (CPOH)</t>
        </is>
      </c>
      <c r="C14" s="20" t="n">
        <v>0.15</v>
      </c>
      <c r="D14" s="19" t="inlineStr">
        <is>
          <t>Applied on Compounded Base (Y = X + GST)</t>
        </is>
      </c>
      <c r="E14" s="21" t="n"/>
      <c r="F14" s="22">
        <f>IF(E14&lt;&gt;"", E14, C14)</f>
        <v/>
      </c>
      <c r="G14" s="23" t="inlineStr">
        <is>
          <t>CPWD DAR Standard: 15.0% for site management, head office overheads, tools, and contractor margin.</t>
        </is>
      </c>
    </row>
    <row r="15" ht="36" customHeight="1">
      <c r="A15" s="18" t="n">
        <v>4</v>
      </c>
      <c r="B15" s="19" t="inlineStr">
        <is>
          <t>Building &amp; Other Construction Workers Cess (BOCW)</t>
        </is>
      </c>
      <c r="C15" s="20" t="n">
        <v>0.01</v>
      </c>
      <c r="D15" s="19" t="inlineStr">
        <is>
          <t>Applied on Compounded Base (Z = Y + CPOH)</t>
        </is>
      </c>
      <c r="E15" s="21" t="n"/>
      <c r="F15" s="22">
        <f>IF(E15&lt;&gt;"", E15, C15)</f>
        <v/>
      </c>
      <c r="G15" s="23" t="inlineStr">
        <is>
          <t>Statutory Labour Welfare Cess @ 1.0% per BOCW Welfare Cess Act, 1996.</t>
        </is>
      </c>
    </row>
    <row r="16" ht="36" customHeight="1">
      <c r="A16" s="18" t="n">
        <v>5</v>
      </c>
      <c r="B16" s="19" t="inlineStr">
        <is>
          <t>Sundries Cost Index Multiplier</t>
        </is>
      </c>
      <c r="C16" s="24" t="n">
        <v>2</v>
      </c>
      <c r="D16" s="19" t="inlineStr">
        <is>
          <t>Applied on Base L.S. Allowance (PAR-2012 Base)</t>
        </is>
      </c>
      <c r="E16" s="25" t="n"/>
      <c r="F16" s="26">
        <f>IF(E16&lt;&gt;"", E16, C16)</f>
        <v/>
      </c>
      <c r="G16" s="23"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7" t="inlineStr">
        <is>
          <t>01</t>
        </is>
      </c>
      <c r="B20" s="28" t="inlineStr">
        <is>
          <t>Carriage of Materials</t>
        </is>
      </c>
      <c r="C20" s="4" t="inlineStr">
        <is>
          <t>NO</t>
        </is>
      </c>
      <c r="D20" s="4" t="inlineStr">
        <is>
          <t>NO</t>
        </is>
      </c>
      <c r="E20" s="29" t="inlineStr">
        <is>
          <t>YES</t>
        </is>
      </c>
      <c r="F20" s="4" t="inlineStr">
        <is>
          <t>NO</t>
        </is>
      </c>
      <c r="G20" s="23" t="inlineStr">
        <is>
          <t>Mechanical transport applies 15% CPOH only. Water &amp; Cess omitted (no water used). GST handled separately in freight.</t>
        </is>
      </c>
    </row>
    <row r="21" ht="26" customHeight="1">
      <c r="A21" s="27" t="inlineStr">
        <is>
          <t>02</t>
        </is>
      </c>
      <c r="B21" s="28" t="inlineStr">
        <is>
          <t>Earth Work</t>
        </is>
      </c>
      <c r="C21" s="29" t="inlineStr">
        <is>
          <t>YES</t>
        </is>
      </c>
      <c r="D21" s="29" t="inlineStr">
        <is>
          <t>YES</t>
        </is>
      </c>
      <c r="E21" s="29" t="inlineStr">
        <is>
          <t>YES</t>
        </is>
      </c>
      <c r="F21" s="29" t="inlineStr">
        <is>
          <t>YES</t>
        </is>
      </c>
      <c r="G21" s="23" t="inlineStr">
        <is>
          <t>Standard 5-step compounding chain applied across labour &amp; earthmoving equipment.</t>
        </is>
      </c>
    </row>
    <row r="22" ht="26" customHeight="1">
      <c r="A22" s="27" t="inlineStr">
        <is>
          <t>03</t>
        </is>
      </c>
      <c r="B22" s="28" t="inlineStr">
        <is>
          <t>Mortars</t>
        </is>
      </c>
      <c r="C22" s="4" t="inlineStr">
        <is>
          <t>NO</t>
        </is>
      </c>
      <c r="D22" s="4" t="inlineStr">
        <is>
          <t>NO</t>
        </is>
      </c>
      <c r="E22" s="4" t="inlineStr">
        <is>
          <t>NO</t>
        </is>
      </c>
      <c r="F22" s="4" t="inlineStr">
        <is>
          <t>NO</t>
        </is>
      </c>
      <c r="G22" s="23" t="inlineStr">
        <is>
          <t>Intermediate building block. Stops at direct cost (W). Markup chain is OFF to prevent double taxation when imported into Masonry/Flooring.</t>
        </is>
      </c>
    </row>
    <row r="23" ht="26" customHeight="1">
      <c r="A23" s="27" t="inlineStr">
        <is>
          <t>04</t>
        </is>
      </c>
      <c r="B23" s="28" t="inlineStr">
        <is>
          <t>Concrete Work</t>
        </is>
      </c>
      <c r="C23" s="29" t="inlineStr">
        <is>
          <t>YES</t>
        </is>
      </c>
      <c r="D23" s="29" t="inlineStr">
        <is>
          <t>YES</t>
        </is>
      </c>
      <c r="E23" s="29" t="inlineStr">
        <is>
          <t>YES</t>
        </is>
      </c>
      <c r="F23" s="29" t="inlineStr">
        <is>
          <t>YES</t>
        </is>
      </c>
      <c r="G23" s="23" t="inlineStr">
        <is>
          <t>Standard 5-step compounding chain applied over materials, labour, mixer &amp; vibrator hire.</t>
        </is>
      </c>
    </row>
    <row r="24" ht="26" customHeight="1">
      <c r="A24" s="27" t="inlineStr">
        <is>
          <t>05</t>
        </is>
      </c>
      <c r="B24" s="28" t="inlineStr">
        <is>
          <t>RCC Work</t>
        </is>
      </c>
      <c r="C24" s="29" t="inlineStr">
        <is>
          <t>YES</t>
        </is>
      </c>
      <c r="D24" s="29" t="inlineStr">
        <is>
          <t>YES</t>
        </is>
      </c>
      <c r="E24" s="29" t="inlineStr">
        <is>
          <t>YES</t>
        </is>
      </c>
      <c r="F24" s="29" t="inlineStr">
        <is>
          <t>YES</t>
        </is>
      </c>
      <c r="G24" s="23" t="inlineStr">
        <is>
          <t>Standard 5-step compounding chain. Shuttering and reinforcement are measured &amp; priced separately in CPWD.</t>
        </is>
      </c>
    </row>
    <row r="25" ht="26" customHeight="1">
      <c r="A25" s="27" t="inlineStr">
        <is>
          <t>06</t>
        </is>
      </c>
      <c r="B25" s="28" t="inlineStr">
        <is>
          <t>Masonry Work</t>
        </is>
      </c>
      <c r="C25" s="29" t="inlineStr">
        <is>
          <t>YES</t>
        </is>
      </c>
      <c r="D25" s="29" t="inlineStr">
        <is>
          <t>YES</t>
        </is>
      </c>
      <c r="E25" s="29" t="inlineStr">
        <is>
          <t>YES</t>
        </is>
      </c>
      <c r="F25" s="29" t="inlineStr">
        <is>
          <t>YES</t>
        </is>
      </c>
      <c r="G25" s="23" t="inlineStr">
        <is>
          <t>Imports un-marked Mortar rates as a Material line, then applies full markup chain once over the combined total.</t>
        </is>
      </c>
    </row>
    <row r="26" ht="26" customHeight="1">
      <c r="A26" s="27" t="inlineStr">
        <is>
          <t>07</t>
        </is>
      </c>
      <c r="B26" s="28" t="inlineStr">
        <is>
          <t>Stone Work</t>
        </is>
      </c>
      <c r="C26" s="29" t="inlineStr">
        <is>
          <t>YES</t>
        </is>
      </c>
      <c r="D26" s="29" t="inlineStr">
        <is>
          <t>YES</t>
        </is>
      </c>
      <c r="E26" s="29" t="inlineStr">
        <is>
          <t>YES</t>
        </is>
      </c>
      <c r="F26" s="29" t="inlineStr">
        <is>
          <t>YES</t>
        </is>
      </c>
      <c r="G26" s="23" t="inlineStr">
        <is>
          <t>Imports Mortar rates as Material line; applies full markup chain over stone, mortar, dressing and laying labour.</t>
        </is>
      </c>
    </row>
    <row r="27" ht="26" customHeight="1">
      <c r="A27" s="27" t="inlineStr">
        <is>
          <t>08</t>
        </is>
      </c>
      <c r="B27" s="28" t="inlineStr">
        <is>
          <t>Cladding Work</t>
        </is>
      </c>
      <c r="C27" s="29" t="inlineStr">
        <is>
          <t>YES</t>
        </is>
      </c>
      <c r="D27" s="29" t="inlineStr">
        <is>
          <t>YES</t>
        </is>
      </c>
      <c r="E27" s="29" t="inlineStr">
        <is>
          <t>YES</t>
        </is>
      </c>
      <c r="F27" s="29" t="inlineStr">
        <is>
          <t>YES</t>
        </is>
      </c>
      <c r="G27" s="23" t="inlineStr">
        <is>
          <t>Imports both bedding mortar and pointing mortar rates; applies full markup chain over stone veneer, mortar, scaffolding.</t>
        </is>
      </c>
    </row>
    <row r="28" ht="26" customHeight="1">
      <c r="A28" s="27" t="inlineStr">
        <is>
          <t>09</t>
        </is>
      </c>
      <c r="B28" s="28" t="inlineStr">
        <is>
          <t>Wood &amp; PVC Work</t>
        </is>
      </c>
      <c r="C28" s="29" t="inlineStr">
        <is>
          <t>YES</t>
        </is>
      </c>
      <c r="D28" s="29" t="inlineStr">
        <is>
          <t>YES</t>
        </is>
      </c>
      <c r="E28" s="29" t="inlineStr">
        <is>
          <t>YES</t>
        </is>
      </c>
      <c r="F28" s="29" t="inlineStr">
        <is>
          <t>YES</t>
        </is>
      </c>
      <c r="G28" s="23" t="inlineStr">
        <is>
          <t>Applies full markup chain over timber in scantling (with 5% wastage allowance) and carpentry labour.</t>
        </is>
      </c>
    </row>
    <row r="29" ht="26" customHeight="1">
      <c r="A29" s="27" t="inlineStr">
        <is>
          <t>10</t>
        </is>
      </c>
      <c r="B29" s="28" t="inlineStr">
        <is>
          <t>Steel Work</t>
        </is>
      </c>
      <c r="C29" s="29" t="inlineStr">
        <is>
          <t>YES</t>
        </is>
      </c>
      <c r="D29" s="29" t="inlineStr">
        <is>
          <t>YES</t>
        </is>
      </c>
      <c r="E29" s="29" t="inlineStr">
        <is>
          <t>YES</t>
        </is>
      </c>
      <c r="F29" s="29" t="inlineStr">
        <is>
          <t>YES</t>
        </is>
      </c>
      <c r="G29" s="23" t="inlineStr">
        <is>
          <t>Applies markups over (W - Priming Coat), because priming coat (Item 13.50.3) already contains full statutory markups under Finishing.</t>
        </is>
      </c>
    </row>
    <row r="30" ht="26" customHeight="1">
      <c r="A30" s="27" t="inlineStr">
        <is>
          <t>11</t>
        </is>
      </c>
      <c r="B30" s="28" t="inlineStr">
        <is>
          <t>Flooring</t>
        </is>
      </c>
      <c r="C30" s="29" t="inlineStr">
        <is>
          <t>YES</t>
        </is>
      </c>
      <c r="D30" s="29" t="inlineStr">
        <is>
          <t>YES</t>
        </is>
      </c>
      <c r="E30" s="29" t="inlineStr">
        <is>
          <t>YES</t>
        </is>
      </c>
      <c r="F30" s="29" t="inlineStr">
        <is>
          <t>YES</t>
        </is>
      </c>
      <c r="G30" s="23" t="inlineStr">
        <is>
          <t>Imports Mortar/Concrete bed rate; applies full markup chain over tiles, stone, laying labour and polishing.</t>
        </is>
      </c>
    </row>
    <row r="31" ht="26" customHeight="1">
      <c r="A31" s="27" t="inlineStr">
        <is>
          <t>12</t>
        </is>
      </c>
      <c r="B31" s="28" t="inlineStr">
        <is>
          <t>Roofing</t>
        </is>
      </c>
      <c r="C31" s="29" t="inlineStr">
        <is>
          <t>YES</t>
        </is>
      </c>
      <c r="D31" s="29" t="inlineStr">
        <is>
          <t>YES</t>
        </is>
      </c>
      <c r="E31" s="29" t="inlineStr">
        <is>
          <t>YES</t>
        </is>
      </c>
      <c r="F31" s="29" t="inlineStr">
        <is>
          <t>YES</t>
        </is>
      </c>
      <c r="G31" s="23" t="inlineStr">
        <is>
          <t>Applies full markup chain over roofing sheets, fixing J-hooks/bolts, limpet washers, and carpenter/fixing labour.</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0" t="n">
        <v>1</v>
      </c>
      <c r="J2" s="31"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2" t="n">
        <v>6</v>
      </c>
      <c r="J3" s="33"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0" t="n">
        <v>0</v>
      </c>
      <c r="J4" s="31"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2" t="n">
        <v>0</v>
      </c>
      <c r="J5" s="33"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0" t="n">
        <v>0</v>
      </c>
      <c r="J6" s="31"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2" t="n">
        <v>0</v>
      </c>
      <c r="J7" s="33"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0" t="n">
        <v>3.75</v>
      </c>
      <c r="J8" s="31"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2" t="n">
        <v>10.66</v>
      </c>
      <c r="J9" s="33"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0" t="n">
        <v>2</v>
      </c>
      <c r="J10" s="31"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2" t="n">
        <v>3.25</v>
      </c>
      <c r="J11" s="33"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0" t="n">
        <v>6.8</v>
      </c>
      <c r="J12" s="31"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2" t="n">
        <v>5.6</v>
      </c>
      <c r="J13" s="33"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0" t="n">
        <v>5.9</v>
      </c>
      <c r="J14" s="31"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2" t="n">
        <v>3.6</v>
      </c>
      <c r="J15" s="33"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0" t="n">
        <v>0.4</v>
      </c>
      <c r="J16" s="31"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2" t="n">
        <v>0.008</v>
      </c>
      <c r="J17" s="33"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0" t="n">
        <v>0.008</v>
      </c>
      <c r="J18" s="31"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2" t="n">
        <v>2.2</v>
      </c>
      <c r="J19" s="33"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0" t="n">
        <v>3.6</v>
      </c>
      <c r="J20" s="31"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2" t="n">
        <v>0.4</v>
      </c>
      <c r="J21" s="33"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0" t="n">
        <v>0.008</v>
      </c>
      <c r="J22" s="31"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2" t="n">
        <v>0.008</v>
      </c>
      <c r="J23" s="33"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0" t="n">
        <v>0.008</v>
      </c>
      <c r="J24" s="31"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2" t="n">
        <v>0.008</v>
      </c>
      <c r="J25" s="33"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0" t="n">
        <v>0.4</v>
      </c>
      <c r="J26" s="31"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2" t="n">
        <v>0.041</v>
      </c>
      <c r="J27" s="33"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0" t="n">
        <v>0.041</v>
      </c>
      <c r="J28" s="31"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2" t="n">
        <v>0.32</v>
      </c>
      <c r="J29" s="33"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0" t="n">
        <v>1.2</v>
      </c>
      <c r="J30" s="31"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2" t="n">
        <v>0.063</v>
      </c>
      <c r="J31" s="33"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0" t="n">
        <v>0.063</v>
      </c>
      <c r="J32" s="31"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2" t="n">
        <v>0.705</v>
      </c>
      <c r="J33" s="33"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0" t="n">
        <v>1.59</v>
      </c>
      <c r="J34" s="31"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2" t="n">
        <v>0.355</v>
      </c>
      <c r="J35" s="33"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0" t="n">
        <v>0.5</v>
      </c>
      <c r="J36" s="31"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2" t="n">
        <v>0.55</v>
      </c>
      <c r="J37" s="33"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0" t="n">
        <v>0.125</v>
      </c>
      <c r="J38" s="31"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2" t="n">
        <v>0.125</v>
      </c>
      <c r="J39" s="33"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0" t="n">
        <v>1.06</v>
      </c>
      <c r="J40" s="31"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2" t="n">
        <v>2.825</v>
      </c>
      <c r="J41" s="33"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0" t="n">
        <v>0.885</v>
      </c>
      <c r="J42" s="31"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2" t="n">
        <v>0.45</v>
      </c>
      <c r="J43" s="33"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0" t="n">
        <v>0.55</v>
      </c>
      <c r="J44" s="31"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2" t="n">
        <v>0.125</v>
      </c>
      <c r="J45" s="33"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0" t="n">
        <v>0.125</v>
      </c>
      <c r="J46" s="31"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2" t="n">
        <v>2.47</v>
      </c>
      <c r="J47" s="33"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0" t="n">
        <v>6</v>
      </c>
      <c r="J48" s="31"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2" t="n">
        <v>1.06</v>
      </c>
      <c r="J49" s="33"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0" t="n">
        <v>0.175</v>
      </c>
      <c r="J50" s="31"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2" t="n">
        <v>0.75</v>
      </c>
      <c r="J51" s="33"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0" t="n">
        <v>1</v>
      </c>
      <c r="J52" s="31"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2" t="n">
        <v>0.04125</v>
      </c>
      <c r="J53" s="33"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0" t="n">
        <v>0.04125</v>
      </c>
      <c r="J54" s="31"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2" t="n">
        <v>0.4</v>
      </c>
      <c r="J55" s="33"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0" t="n">
        <v>2.05</v>
      </c>
      <c r="J56" s="31"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2" t="n">
        <v>0.0625</v>
      </c>
      <c r="J57" s="33"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0" t="n">
        <v>0.0625</v>
      </c>
      <c r="J58" s="31"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2" t="n">
        <v>0.885</v>
      </c>
      <c r="J59" s="33"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0" t="n">
        <v>1.765</v>
      </c>
      <c r="J60" s="31"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2" t="n">
        <v>0.53</v>
      </c>
      <c r="J61" s="33"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0" t="n">
        <v>0.5</v>
      </c>
      <c r="J62" s="31"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2" t="n">
        <v>1.3</v>
      </c>
      <c r="J63" s="33"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0" t="n">
        <v>0.125</v>
      </c>
      <c r="J64" s="31"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2" t="n">
        <v>0.125</v>
      </c>
      <c r="J65" s="33"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0" t="n">
        <v>1.24</v>
      </c>
      <c r="J66" s="31"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2" t="n">
        <v>3</v>
      </c>
      <c r="J67" s="33"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0" t="n">
        <v>1.06</v>
      </c>
      <c r="J68" s="31"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2" t="n">
        <v>0.5</v>
      </c>
      <c r="J69" s="33"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0" t="n">
        <v>1.3</v>
      </c>
      <c r="J70" s="31"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2" t="n">
        <v>0.125</v>
      </c>
      <c r="J71" s="33"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0" t="n">
        <v>0.125</v>
      </c>
      <c r="J72" s="31"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2" t="n">
        <v>2.65</v>
      </c>
      <c r="J73" s="33"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0" t="n">
        <v>6.175</v>
      </c>
      <c r="J74" s="31"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2" t="n">
        <v>1.06</v>
      </c>
      <c r="J75" s="33"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0" t="n">
        <v>0.175</v>
      </c>
      <c r="J76" s="31"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2" t="n">
        <v>0.75</v>
      </c>
      <c r="J77" s="33"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0" t="n">
        <v>1.5</v>
      </c>
      <c r="J78" s="31"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2" t="n">
        <v>2</v>
      </c>
      <c r="J79" s="33"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0" t="n">
        <v>2.2</v>
      </c>
      <c r="J80" s="31"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2" t="n">
        <v>0.9399999999999999</v>
      </c>
      <c r="J81" s="33"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0" t="n">
        <v>2.5</v>
      </c>
      <c r="J82" s="31"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2" t="n">
        <v>2.75</v>
      </c>
      <c r="J83" s="33"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0" t="n">
        <v>1.17</v>
      </c>
      <c r="J84" s="31"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2" t="n">
        <v>2.5</v>
      </c>
      <c r="J85" s="33"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0" t="n">
        <v>2.75</v>
      </c>
      <c r="J86" s="31"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2" t="n">
        <v>1.17</v>
      </c>
      <c r="J87" s="33"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0" t="n">
        <v>16.5</v>
      </c>
      <c r="J88" s="31"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2" t="n">
        <v>9.25</v>
      </c>
      <c r="J89" s="33"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0" t="n">
        <v>0.5</v>
      </c>
      <c r="J90" s="31"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2" t="n">
        <v>1</v>
      </c>
      <c r="J91" s="33"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0" t="n">
        <v>0.75</v>
      </c>
      <c r="J92" s="31"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2" t="n">
        <v>2</v>
      </c>
      <c r="J93" s="33"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0" t="n">
        <v>1.5</v>
      </c>
      <c r="J94" s="31"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2" t="n">
        <v>4</v>
      </c>
      <c r="J95" s="33"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0" t="n">
        <v>0.06</v>
      </c>
      <c r="J96" s="31"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2" t="n">
        <v>0.12</v>
      </c>
      <c r="J97" s="33"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0" t="n">
        <v>0.12</v>
      </c>
      <c r="J98" s="31"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2" t="n">
        <v>0.25</v>
      </c>
      <c r="J99" s="33"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0" t="n">
        <v>0.19</v>
      </c>
      <c r="J100" s="31"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2" t="n">
        <v>0.38</v>
      </c>
      <c r="J101" s="33"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0" t="n">
        <v>0.25</v>
      </c>
      <c r="J102" s="31"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2" t="n">
        <v>0.5</v>
      </c>
      <c r="J103" s="33"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0" t="n">
        <v>0.5</v>
      </c>
      <c r="J104" s="31"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2" t="n">
        <v>1</v>
      </c>
      <c r="J105" s="33"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0" t="n">
        <v>0.75</v>
      </c>
      <c r="J106" s="31"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2" t="n">
        <v>1.5</v>
      </c>
      <c r="J107" s="33"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0" t="n">
        <v>0.25</v>
      </c>
      <c r="J108" s="31"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2" t="n">
        <v>0.5</v>
      </c>
      <c r="J109" s="33"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0" t="n">
        <v>0.5</v>
      </c>
      <c r="J110" s="31"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2" t="n">
        <v>1</v>
      </c>
      <c r="J111" s="33"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0" t="n">
        <v>1</v>
      </c>
      <c r="J112" s="31"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2" t="n">
        <v>1.75</v>
      </c>
      <c r="J113" s="33"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0" t="n">
        <v>0.03</v>
      </c>
      <c r="J114" s="31"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2" t="n">
        <v>0.06</v>
      </c>
      <c r="J115" s="33"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0" t="n">
        <v>0.06</v>
      </c>
      <c r="J116" s="31"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2" t="n">
        <v>0.12</v>
      </c>
      <c r="J117" s="33"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0" t="n">
        <v>0.1</v>
      </c>
      <c r="J118" s="31"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2" t="n">
        <v>0.2</v>
      </c>
      <c r="J119" s="33"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0" t="n">
        <v>0.12</v>
      </c>
      <c r="J120" s="31"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2" t="n">
        <v>0.25</v>
      </c>
      <c r="J121" s="33"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0" t="n">
        <v>0.25</v>
      </c>
      <c r="J122" s="31"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2" t="n">
        <v>0.5</v>
      </c>
      <c r="J123" s="33"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0" t="n">
        <v>0.5</v>
      </c>
      <c r="J124" s="31"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2" t="n">
        <v>0.88</v>
      </c>
      <c r="J125" s="33"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0" t="n">
        <v>0.2</v>
      </c>
      <c r="J126" s="31"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2" t="n">
        <v>2.5</v>
      </c>
      <c r="J127" s="33"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0" t="n">
        <v>0.2</v>
      </c>
      <c r="J128" s="31"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2" t="n">
        <v>0.45</v>
      </c>
      <c r="J129" s="33"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0" t="n">
        <v>0.35</v>
      </c>
      <c r="J130" s="31"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2" t="n">
        <v>0.1</v>
      </c>
      <c r="J131" s="33"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0" t="n">
        <v>1.1</v>
      </c>
      <c r="J132" s="31"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2" t="n">
        <v>0.2</v>
      </c>
      <c r="J133" s="33"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0" t="n">
        <v>1.95</v>
      </c>
      <c r="J134" s="31"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2" t="n">
        <v>0.89</v>
      </c>
      <c r="J135" s="33"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0" t="n">
        <v>1.07</v>
      </c>
      <c r="J136" s="31"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2" t="n">
        <v>0.35</v>
      </c>
      <c r="J137" s="33"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0" t="n">
        <v>1.97</v>
      </c>
      <c r="J138" s="31"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2" t="n">
        <v>1.29</v>
      </c>
      <c r="J139" s="33"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0" t="n">
        <v>2.75</v>
      </c>
      <c r="J140" s="31"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2" t="n">
        <v>0.5</v>
      </c>
      <c r="J141" s="33"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0" t="n">
        <v>1.08</v>
      </c>
      <c r="J142" s="31"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2" t="n">
        <v>0.6</v>
      </c>
      <c r="J143" s="33"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0" t="n">
        <v>0.6</v>
      </c>
      <c r="J144" s="31"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2" t="n">
        <v>0.25</v>
      </c>
      <c r="J145" s="33"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0" t="n">
        <v>0.33</v>
      </c>
      <c r="J146" s="31"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2" t="n">
        <v>0.17</v>
      </c>
      <c r="J147" s="33"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0" t="n">
        <v>1.5</v>
      </c>
      <c r="J148" s="31"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2" t="n">
        <v>0.75</v>
      </c>
      <c r="J149" s="33"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0" t="n">
        <v>7</v>
      </c>
      <c r="J150" s="31"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2" t="n">
        <v>3.5</v>
      </c>
      <c r="J151" s="33"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0" t="n">
        <v>14</v>
      </c>
      <c r="J152" s="31"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2" t="n">
        <v>7</v>
      </c>
      <c r="J153" s="33"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0" t="n">
        <v>0.33</v>
      </c>
      <c r="J154" s="31"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2" t="n">
        <v>0.4</v>
      </c>
      <c r="J155" s="33"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0" t="n">
        <v>2</v>
      </c>
      <c r="J156" s="31"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2" t="n">
        <v>0.5</v>
      </c>
      <c r="J157" s="33"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0" t="n">
        <v>0.3</v>
      </c>
      <c r="J158" s="31"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2" t="n">
        <v>0.05</v>
      </c>
      <c r="J159" s="33"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0" t="n">
        <v>0.2</v>
      </c>
      <c r="J160" s="31"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2" t="n">
        <v>0.2</v>
      </c>
      <c r="J161" s="33"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0" t="n">
        <v>0.08</v>
      </c>
      <c r="J162" s="31"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2" t="n">
        <v>0.8</v>
      </c>
      <c r="J163" s="33"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0" t="n">
        <v>0.2</v>
      </c>
      <c r="J164" s="31"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2" t="n">
        <v>2.5</v>
      </c>
      <c r="J165" s="33"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0" t="n">
        <v>0.2</v>
      </c>
      <c r="J166" s="31"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2" t="n">
        <v>0.75</v>
      </c>
      <c r="J167" s="33"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0" t="n">
        <v>0.07000000000000001</v>
      </c>
      <c r="J168" s="31"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2" t="n">
        <v>0.75</v>
      </c>
      <c r="J169" s="33"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0" t="n">
        <v>0.07000000000000001</v>
      </c>
      <c r="J170" s="31"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2" t="n">
        <v>0.75</v>
      </c>
      <c r="J171" s="33"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0" t="n">
        <v>0.07000000000000001</v>
      </c>
      <c r="J172" s="31"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2" t="n">
        <v>0.75</v>
      </c>
      <c r="J173" s="33"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0" t="n">
        <v>0.07000000000000001</v>
      </c>
      <c r="J174" s="31"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2" t="n">
        <v>0.75</v>
      </c>
      <c r="J175" s="33"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0" t="n">
        <v>0.07000000000000001</v>
      </c>
      <c r="J176" s="31"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2" t="n">
        <v>0.75</v>
      </c>
      <c r="J177" s="33"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0" t="n">
        <v>0.07000000000000001</v>
      </c>
      <c r="J178" s="31"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2" t="n">
        <v>0.75</v>
      </c>
      <c r="J179" s="33"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0" t="n">
        <v>0.07000000000000001</v>
      </c>
      <c r="J180" s="31"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2" t="n">
        <v>0.75</v>
      </c>
      <c r="J181" s="33"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0" t="n">
        <v>0.07000000000000001</v>
      </c>
      <c r="J182" s="31"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2" t="n">
        <v>0.75</v>
      </c>
      <c r="J183" s="33"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0" t="n">
        <v>0.07000000000000001</v>
      </c>
      <c r="J184" s="31"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2" t="n">
        <v>0.75</v>
      </c>
      <c r="J185" s="33"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0" t="n">
        <v>0.07000000000000001</v>
      </c>
      <c r="J186" s="31"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2" t="n">
        <v>0.75</v>
      </c>
      <c r="J187" s="33"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0" t="n">
        <v>0.07000000000000001</v>
      </c>
      <c r="J188" s="31"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2" t="n">
        <v>0.75</v>
      </c>
      <c r="J189" s="33"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0" t="n">
        <v>0.07000000000000001</v>
      </c>
      <c r="J190" s="31"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2" t="n">
        <v>0.75</v>
      </c>
      <c r="J191" s="33"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0" t="n">
        <v>0.07000000000000001</v>
      </c>
      <c r="J192" s="31"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2" t="n">
        <v>0.75</v>
      </c>
      <c r="J193" s="33"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0" t="n">
        <v>0.07000000000000001</v>
      </c>
      <c r="J194" s="31"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2" t="n">
        <v>0.75</v>
      </c>
      <c r="J195" s="33"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0" t="n">
        <v>0.07000000000000001</v>
      </c>
      <c r="J196" s="31"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2" t="n">
        <v>0.75</v>
      </c>
      <c r="J197" s="33"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0" t="n">
        <v>0.07000000000000001</v>
      </c>
      <c r="J198" s="31"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2" t="n">
        <v>0.75</v>
      </c>
      <c r="J199" s="33"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0" t="n">
        <v>0.07000000000000001</v>
      </c>
      <c r="J200" s="31"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2" t="n">
        <v>0.63</v>
      </c>
      <c r="J201" s="33"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0" t="n">
        <v>0.315</v>
      </c>
      <c r="J202" s="31"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2" t="n">
        <v>0.9</v>
      </c>
      <c r="J203" s="33"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0" t="n">
        <v>0.45</v>
      </c>
      <c r="J204" s="31"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2" t="n">
        <v>0.1</v>
      </c>
      <c r="J205" s="33"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0" t="n">
        <v>1.63</v>
      </c>
      <c r="J206" s="31"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2" t="n">
        <v>0.7</v>
      </c>
      <c r="J207" s="33"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0" t="n">
        <v>0.07000000000000001</v>
      </c>
      <c r="J208" s="31"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2" t="n">
        <v>0.07000000000000001</v>
      </c>
      <c r="J209" s="33"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0" t="n">
        <v>0.1</v>
      </c>
      <c r="J210" s="31"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2" t="n">
        <v>1.63</v>
      </c>
      <c r="J211" s="33"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0" t="n">
        <v>0.7</v>
      </c>
      <c r="J212" s="31"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2" t="n">
        <v>0.07000000000000001</v>
      </c>
      <c r="J213" s="33"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0" t="n">
        <v>0.07000000000000001</v>
      </c>
      <c r="J214" s="31"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2" t="n">
        <v>0.1</v>
      </c>
      <c r="J215" s="33"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0" t="n">
        <v>1.63</v>
      </c>
      <c r="J216" s="31"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2" t="n">
        <v>0.7</v>
      </c>
      <c r="J217" s="33"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0" t="n">
        <v>0.07000000000000001</v>
      </c>
      <c r="J218" s="31"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2" t="n">
        <v>0.07000000000000001</v>
      </c>
      <c r="J219" s="33"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0" t="n">
        <v>0.1</v>
      </c>
      <c r="J220" s="31"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2" t="n">
        <v>1.63</v>
      </c>
      <c r="J221" s="33"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0" t="n">
        <v>0.7</v>
      </c>
      <c r="J222" s="31"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2" t="n">
        <v>0.07000000000000001</v>
      </c>
      <c r="J223" s="33"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0" t="n">
        <v>0.07000000000000001</v>
      </c>
      <c r="J224" s="31"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2" t="n">
        <v>0.1</v>
      </c>
      <c r="J225" s="33"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0" t="n">
        <v>1.63</v>
      </c>
      <c r="J226" s="31"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2" t="n">
        <v>0.7</v>
      </c>
      <c r="J227" s="33"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0" t="n">
        <v>0.07000000000000001</v>
      </c>
      <c r="J228" s="31"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2" t="n">
        <v>0.07000000000000001</v>
      </c>
      <c r="J229" s="33"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0" t="n">
        <v>0.1</v>
      </c>
      <c r="J230" s="31"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2" t="n">
        <v>1.63</v>
      </c>
      <c r="J231" s="33"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0" t="n">
        <v>0.7</v>
      </c>
      <c r="J232" s="31"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2" t="n">
        <v>0.07000000000000001</v>
      </c>
      <c r="J233" s="33"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0" t="n">
        <v>0.07000000000000001</v>
      </c>
      <c r="J234" s="31"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2" t="n">
        <v>0.1</v>
      </c>
      <c r="J235" s="33"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0" t="n">
        <v>1.63</v>
      </c>
      <c r="J236" s="31"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2" t="n">
        <v>0.7</v>
      </c>
      <c r="J237" s="33"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0" t="n">
        <v>0.07000000000000001</v>
      </c>
      <c r="J238" s="31"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2" t="n">
        <v>0.07000000000000001</v>
      </c>
      <c r="J239" s="33"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0" t="n">
        <v>0.1</v>
      </c>
      <c r="J240" s="31"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2" t="n">
        <v>1.63</v>
      </c>
      <c r="J241" s="33"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0" t="n">
        <v>0.7</v>
      </c>
      <c r="J242" s="31"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2" t="n">
        <v>0.07000000000000001</v>
      </c>
      <c r="J243" s="33"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0" t="n">
        <v>0.07000000000000001</v>
      </c>
      <c r="J244" s="31"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2" t="n">
        <v>0.1</v>
      </c>
      <c r="J245" s="33"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0" t="n">
        <v>1.63</v>
      </c>
      <c r="J246" s="31"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2" t="n">
        <v>0.7</v>
      </c>
      <c r="J247" s="33"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0" t="n">
        <v>0.07000000000000001</v>
      </c>
      <c r="J248" s="31"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2" t="n">
        <v>0.07000000000000001</v>
      </c>
      <c r="J249" s="33"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0" t="n">
        <v>0.1</v>
      </c>
      <c r="J250" s="31"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2" t="n">
        <v>1.63</v>
      </c>
      <c r="J251" s="33"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0" t="n">
        <v>0.7</v>
      </c>
      <c r="J252" s="31"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2" t="n">
        <v>0.07000000000000001</v>
      </c>
      <c r="J253" s="33"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0" t="n">
        <v>0.07000000000000001</v>
      </c>
      <c r="J254" s="31"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2" t="n">
        <v>0.9</v>
      </c>
      <c r="J255" s="33"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0" t="n">
        <v>0.78</v>
      </c>
      <c r="J256" s="31"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2" t="n">
        <v>0.7</v>
      </c>
      <c r="J257" s="33"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0" t="n">
        <v>0.06</v>
      </c>
      <c r="J258" s="31"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2" t="n">
        <v>0.06</v>
      </c>
      <c r="J259" s="33"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0" t="n">
        <v>0.07000000000000001</v>
      </c>
      <c r="J260" s="31"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2" t="n">
        <v>0.07000000000000001</v>
      </c>
      <c r="J261" s="33"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0" t="n">
        <v>1.88</v>
      </c>
      <c r="J262" s="31"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2" t="n">
        <v>0.9</v>
      </c>
      <c r="J263" s="33"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0" t="n">
        <v>0.78</v>
      </c>
      <c r="J264" s="31"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2" t="n">
        <v>0.7</v>
      </c>
      <c r="J265" s="33"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0" t="n">
        <v>0.06</v>
      </c>
      <c r="J266" s="31"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2" t="n">
        <v>0.06</v>
      </c>
      <c r="J267" s="33"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0" t="n">
        <v>0.07000000000000001</v>
      </c>
      <c r="J268" s="31"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2" t="n">
        <v>0.07000000000000001</v>
      </c>
      <c r="J269" s="33"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0" t="n">
        <v>1.88</v>
      </c>
      <c r="J270" s="31"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2" t="n">
        <v>0.9</v>
      </c>
      <c r="J271" s="33"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0" t="n">
        <v>0.78</v>
      </c>
      <c r="J272" s="31"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2" t="n">
        <v>0.7</v>
      </c>
      <c r="J273" s="33"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0" t="n">
        <v>0.06</v>
      </c>
      <c r="J274" s="31"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2" t="n">
        <v>0.06</v>
      </c>
      <c r="J275" s="33"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0" t="n">
        <v>0.07000000000000001</v>
      </c>
      <c r="J276" s="31"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2" t="n">
        <v>0.07000000000000001</v>
      </c>
      <c r="J277" s="33"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0" t="n">
        <v>1.88</v>
      </c>
      <c r="J278" s="31"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2" t="n">
        <v>0.9</v>
      </c>
      <c r="J279" s="33"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0" t="n">
        <v>0.78</v>
      </c>
      <c r="J280" s="31"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2" t="n">
        <v>0.7</v>
      </c>
      <c r="J281" s="33"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0" t="n">
        <v>0.1</v>
      </c>
      <c r="J282" s="31"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2" t="n">
        <v>0.07000000000000001</v>
      </c>
      <c r="J283" s="33"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0" t="n">
        <v>0.07000000000000001</v>
      </c>
      <c r="J284" s="31"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2" t="n">
        <v>1.88</v>
      </c>
      <c r="J285" s="33"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0" t="n">
        <v>0.75</v>
      </c>
      <c r="J286" s="31"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2" t="n">
        <v>1.5</v>
      </c>
      <c r="J287" s="33"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0" t="n">
        <v>3.5</v>
      </c>
      <c r="J288" s="31"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2" t="n">
        <v>6</v>
      </c>
      <c r="J289" s="33"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0" t="n">
        <v>1</v>
      </c>
      <c r="J290" s="31"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2" t="n">
        <v>2</v>
      </c>
      <c r="J291" s="33"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0" t="n">
        <v>0.51</v>
      </c>
      <c r="J292" s="31"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2" t="n">
        <v>0.68</v>
      </c>
      <c r="J293" s="33"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0" t="n">
        <v>0.6</v>
      </c>
      <c r="J294" s="31"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2" t="n">
        <v>3.6</v>
      </c>
      <c r="J295" s="33"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0" t="n">
        <v>0.056</v>
      </c>
      <c r="J296" s="31"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2" t="n">
        <v>0.05</v>
      </c>
      <c r="J297" s="33"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0" t="n">
        <v>0.3</v>
      </c>
      <c r="J298" s="31"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2" t="n">
        <v>0.4</v>
      </c>
      <c r="J299" s="33"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0" t="n">
        <v>0.4</v>
      </c>
      <c r="J300" s="31"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2" t="n">
        <v>0.4</v>
      </c>
      <c r="J301" s="33"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0" t="n">
        <v>0.4</v>
      </c>
      <c r="J302" s="31"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2" t="n">
        <v>0.12</v>
      </c>
      <c r="J303" s="33"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0" t="n">
        <v>0.07000000000000001</v>
      </c>
      <c r="J304" s="31"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2" t="n">
        <v>0.2</v>
      </c>
      <c r="J305" s="33"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0" t="n">
        <v>1.5</v>
      </c>
      <c r="J306" s="31"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2" t="n">
        <v>0.375</v>
      </c>
      <c r="J307" s="33"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0" t="n">
        <v>4</v>
      </c>
      <c r="J308" s="31"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2" t="n">
        <v>0.02</v>
      </c>
      <c r="J309" s="33"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0" t="n">
        <v>0.02</v>
      </c>
      <c r="J310" s="31"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2" t="n">
        <v>0.25</v>
      </c>
      <c r="J311" s="33"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0" t="n">
        <v>0.15</v>
      </c>
      <c r="J312" s="31"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2" t="n">
        <v>0.16</v>
      </c>
      <c r="J313" s="33"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0" t="n">
        <v>0.11</v>
      </c>
      <c r="J314" s="31"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2" t="n">
        <v>1</v>
      </c>
      <c r="J315" s="33"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0" t="n">
        <v>0.05</v>
      </c>
      <c r="J316" s="31"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2" t="n">
        <v>0.33</v>
      </c>
      <c r="J317" s="33"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0" t="n">
        <v>0.27</v>
      </c>
      <c r="J318" s="31"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2" t="n">
        <v>1.08</v>
      </c>
      <c r="J319" s="33"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0" t="n">
        <v>1.08</v>
      </c>
      <c r="J320" s="31"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2" t="n">
        <v>1</v>
      </c>
      <c r="J321" s="33"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0" t="n">
        <v>10</v>
      </c>
      <c r="J322" s="31"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2" t="n">
        <v>1</v>
      </c>
      <c r="J323" s="33"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0" t="n">
        <v>0.17</v>
      </c>
      <c r="J324" s="31"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2" t="n">
        <v>2</v>
      </c>
      <c r="J325" s="33"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0" t="n">
        <v>0.9</v>
      </c>
      <c r="J326" s="31"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2" t="n">
        <v>0.07000000000000001</v>
      </c>
      <c r="J327" s="33"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0" t="n">
        <v>1</v>
      </c>
      <c r="J328" s="31"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2" t="n">
        <v>10</v>
      </c>
      <c r="J329" s="33"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0" t="n">
        <v>1</v>
      </c>
      <c r="J330" s="31"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2" t="n">
        <v>0.17</v>
      </c>
      <c r="J331" s="33"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0" t="n">
        <v>2</v>
      </c>
      <c r="J332" s="31"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2" t="n">
        <v>0.9</v>
      </c>
      <c r="J333" s="33"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0" t="n">
        <v>0.07000000000000001</v>
      </c>
      <c r="J334" s="31"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2" t="n">
        <v>1</v>
      </c>
      <c r="J335" s="33"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0" t="n">
        <v>10</v>
      </c>
      <c r="J336" s="31"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2" t="n">
        <v>0.17</v>
      </c>
      <c r="J337" s="33"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0" t="n">
        <v>2</v>
      </c>
      <c r="J338" s="31"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2" t="n">
        <v>0.9</v>
      </c>
      <c r="J339" s="33"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0" t="n">
        <v>0.07000000000000001</v>
      </c>
      <c r="J340" s="31"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2" t="n">
        <v>1.88</v>
      </c>
      <c r="J341" s="33"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0" t="n">
        <v>1</v>
      </c>
      <c r="J342" s="31"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2" t="n">
        <v>10</v>
      </c>
      <c r="J343" s="33"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0" t="n">
        <v>0.17</v>
      </c>
      <c r="J344" s="31"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2" t="n">
        <v>2</v>
      </c>
      <c r="J345" s="33"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0" t="n">
        <v>0.9</v>
      </c>
      <c r="J346" s="31"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2" t="n">
        <v>0.07000000000000001</v>
      </c>
      <c r="J347" s="33"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0" t="n">
        <v>1.88</v>
      </c>
      <c r="J348" s="31"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2" t="n">
        <v>1</v>
      </c>
      <c r="J349" s="33"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0" t="n">
        <v>10</v>
      </c>
      <c r="J350" s="31"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2" t="n">
        <v>1</v>
      </c>
      <c r="J351" s="33"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0" t="n">
        <v>0.17</v>
      </c>
      <c r="J352" s="31"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2" t="n">
        <v>2</v>
      </c>
      <c r="J353" s="33"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0" t="n">
        <v>0.9</v>
      </c>
      <c r="J354" s="31"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2" t="n">
        <v>0.07000000000000001</v>
      </c>
      <c r="J355" s="33"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0" t="n">
        <v>1</v>
      </c>
      <c r="J356" s="31"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2" t="n">
        <v>10</v>
      </c>
      <c r="J357" s="33"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0" t="n">
        <v>1</v>
      </c>
      <c r="J358" s="31"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2" t="n">
        <v>0.17</v>
      </c>
      <c r="J359" s="33"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0" t="n">
        <v>2</v>
      </c>
      <c r="J360" s="31"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2" t="n">
        <v>0.9</v>
      </c>
      <c r="J361" s="33"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0" t="n">
        <v>0.07000000000000001</v>
      </c>
      <c r="J362" s="31"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2" t="n">
        <v>1</v>
      </c>
      <c r="J363" s="33"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0" t="n">
        <v>10</v>
      </c>
      <c r="J364" s="31"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2" t="n">
        <v>0.17</v>
      </c>
      <c r="J365" s="33"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0" t="n">
        <v>2</v>
      </c>
      <c r="J366" s="31"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2" t="n">
        <v>0.9</v>
      </c>
      <c r="J367" s="33"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0" t="n">
        <v>0.07000000000000001</v>
      </c>
      <c r="J368" s="31"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2" t="n">
        <v>1.88</v>
      </c>
      <c r="J369" s="33"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0" t="n">
        <v>1</v>
      </c>
      <c r="J370" s="31"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2" t="n">
        <v>10</v>
      </c>
      <c r="J371" s="33"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0" t="n">
        <v>0.17</v>
      </c>
      <c r="J372" s="31"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2" t="n">
        <v>2</v>
      </c>
      <c r="J373" s="33"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0" t="n">
        <v>0.9</v>
      </c>
      <c r="J374" s="31"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2" t="n">
        <v>0.07000000000000001</v>
      </c>
      <c r="J375" s="33"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0" t="n">
        <v>1.88</v>
      </c>
      <c r="J376" s="31"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2" t="n">
        <v>0.17</v>
      </c>
      <c r="J377" s="33"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0" t="n">
        <v>2</v>
      </c>
      <c r="J378" s="31"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2" t="n">
        <v>0.9</v>
      </c>
      <c r="J379" s="33"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0" t="n">
        <v>0.07000000000000001</v>
      </c>
      <c r="J380" s="31"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2" t="n">
        <v>0.07000000000000001</v>
      </c>
      <c r="J381" s="33"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0" t="n">
        <v>0.17</v>
      </c>
      <c r="J382" s="31"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2" t="n">
        <v>2</v>
      </c>
      <c r="J383" s="33"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0" t="n">
        <v>0.9</v>
      </c>
      <c r="J384" s="31"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2" t="n">
        <v>0.07000000000000001</v>
      </c>
      <c r="J385" s="33"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0" t="n">
        <v>0.07000000000000001</v>
      </c>
      <c r="J386" s="31"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2" t="n">
        <v>11.29</v>
      </c>
      <c r="J387" s="33"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0" t="n">
        <v>7.53</v>
      </c>
      <c r="J388" s="31"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2" t="n">
        <v>8.26</v>
      </c>
      <c r="J389" s="33"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0" t="n">
        <v>0.92</v>
      </c>
      <c r="J390" s="31"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2" t="n">
        <v>0.92</v>
      </c>
      <c r="J391" s="33"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0" t="n">
        <v>0.64</v>
      </c>
      <c r="J392" s="31"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2" t="n">
        <v>0.64</v>
      </c>
      <c r="J393" s="33"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0" t="n">
        <v>17.21</v>
      </c>
      <c r="J394" s="31"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2" t="n">
        <v>0.24</v>
      </c>
      <c r="J395" s="33"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0" t="n">
        <v>2.75</v>
      </c>
      <c r="J396" s="31"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2" t="n">
        <v>0.9</v>
      </c>
      <c r="J397" s="33"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0" t="n">
        <v>0.08</v>
      </c>
      <c r="J398" s="31"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2" t="n">
        <v>0.08</v>
      </c>
      <c r="J399" s="33"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0" t="n">
        <v>1.88</v>
      </c>
      <c r="J400" s="31"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2" t="n">
        <v>0.1</v>
      </c>
      <c r="J401" s="33"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0" t="n">
        <v>0.2</v>
      </c>
      <c r="J402" s="31"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2" t="n">
        <v>0.04</v>
      </c>
      <c r="J403" s="33"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0" t="n">
        <v>0.04</v>
      </c>
      <c r="J404" s="31"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2" t="n">
        <v>0.04</v>
      </c>
      <c r="J405" s="33"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0" t="n">
        <v>1.88</v>
      </c>
      <c r="J406" s="31"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2" t="n">
        <v>6.42</v>
      </c>
      <c r="J407" s="33"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0" t="n">
        <v>73.51000000000001</v>
      </c>
      <c r="J408" s="31"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2" t="n">
        <v>24.06</v>
      </c>
      <c r="J409" s="33"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0" t="n">
        <v>2.14</v>
      </c>
      <c r="J410" s="31"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2" t="n">
        <v>2.14</v>
      </c>
      <c r="J411" s="33"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0" t="n">
        <v>5</v>
      </c>
      <c r="J412" s="31"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2" t="n">
        <v>5</v>
      </c>
      <c r="J413" s="33"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0" t="n">
        <v>1.5</v>
      </c>
      <c r="J414" s="31"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2" t="n">
        <v>4.5</v>
      </c>
      <c r="J415" s="33"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0" t="n">
        <v>50.12</v>
      </c>
      <c r="J416" s="31"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2" t="n">
        <v>0.26</v>
      </c>
      <c r="J417" s="33"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0" t="n">
        <v>0.08</v>
      </c>
      <c r="J418" s="31"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2" t="n">
        <v>0.79</v>
      </c>
      <c r="J419" s="33"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0" t="n">
        <v>0.5600000000000001</v>
      </c>
      <c r="J420" s="31"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2" t="n">
        <v>0.6</v>
      </c>
      <c r="J421" s="33"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0" t="n">
        <v>0.06</v>
      </c>
      <c r="J422" s="31"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2" t="n">
        <v>0.06</v>
      </c>
      <c r="J423" s="33"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0" t="n">
        <v>0.05</v>
      </c>
      <c r="J424" s="31"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2" t="n">
        <v>0.05</v>
      </c>
      <c r="J425" s="33"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0" t="n">
        <v>0.18</v>
      </c>
      <c r="J426" s="31"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2" t="n">
        <v>0.05</v>
      </c>
      <c r="J427" s="33"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0" t="n">
        <v>0.05</v>
      </c>
      <c r="J428" s="31"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2" t="n">
        <v>0.1</v>
      </c>
      <c r="J429" s="33"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0" t="n">
        <v>0.15</v>
      </c>
      <c r="J430" s="31"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2" t="n">
        <v>0.75</v>
      </c>
      <c r="J431" s="33"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0" t="n">
        <v>1.5</v>
      </c>
      <c r="J432" s="31"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2" t="n">
        <v>3.5</v>
      </c>
      <c r="J433" s="33"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0" t="n">
        <v>6</v>
      </c>
      <c r="J434" s="31"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2" t="n">
        <v>3</v>
      </c>
      <c r="J435" s="33"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0" t="n">
        <v>6</v>
      </c>
      <c r="J436" s="31"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2" t="n">
        <v>3</v>
      </c>
      <c r="J437" s="33"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0" t="n">
        <v>6</v>
      </c>
      <c r="J438" s="31"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2" t="n">
        <v>1.25</v>
      </c>
      <c r="J439" s="33"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0" t="n">
        <v>2.5</v>
      </c>
      <c r="J440" s="31"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2" t="n">
        <v>1</v>
      </c>
      <c r="J441" s="33"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0" t="n">
        <v>2</v>
      </c>
      <c r="J442" s="31"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2" t="n">
        <v>1.75</v>
      </c>
      <c r="J443" s="33"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0" t="n">
        <v>1</v>
      </c>
      <c r="J444" s="31"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2" t="n">
        <v>16</v>
      </c>
      <c r="J445" s="33"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0" t="n">
        <v>13</v>
      </c>
      <c r="J446" s="31"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2" t="n">
        <v>28</v>
      </c>
      <c r="J447" s="33"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0" t="n">
        <v>24</v>
      </c>
      <c r="J448" s="31"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2" t="n">
        <v>3.5</v>
      </c>
      <c r="J449" s="33"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0" t="n">
        <v>6</v>
      </c>
      <c r="J450" s="31"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2" t="n">
        <v>11</v>
      </c>
      <c r="J451" s="33"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0" t="n">
        <v>11</v>
      </c>
      <c r="J452" s="31"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2" t="n">
        <v>0.75</v>
      </c>
      <c r="J453" s="33"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0" t="n">
        <v>1.5</v>
      </c>
      <c r="J454" s="31"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2" t="n">
        <v>0.8100000000000001</v>
      </c>
      <c r="J455" s="33"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0" t="n">
        <v>0.54</v>
      </c>
      <c r="J456" s="31"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2" t="n">
        <v>1</v>
      </c>
      <c r="J457" s="33"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0" t="n">
        <v>0.75</v>
      </c>
      <c r="J458" s="31"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2" t="n">
        <v>0.63</v>
      </c>
      <c r="J459" s="33"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0" t="n">
        <v>0.63</v>
      </c>
      <c r="J460" s="31"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2" t="n">
        <v>0.8</v>
      </c>
      <c r="J461" s="33"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0" t="n">
        <v>0.8</v>
      </c>
      <c r="J462" s="31"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2" t="n">
        <v>0.3</v>
      </c>
      <c r="J463" s="33"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0" t="n">
        <v>0.25</v>
      </c>
      <c r="J464" s="31"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2" t="n">
        <v>0.125</v>
      </c>
      <c r="J465" s="33"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0" t="n">
        <v>0.125</v>
      </c>
      <c r="J466" s="31"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2" t="n">
        <v>3</v>
      </c>
      <c r="J467" s="33"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0" t="n">
        <v>6</v>
      </c>
      <c r="J468" s="31"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2" t="n">
        <v>0.125</v>
      </c>
      <c r="J469" s="33"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0" t="n">
        <v>0.125</v>
      </c>
      <c r="J470" s="31"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2" t="n">
        <v>1.25</v>
      </c>
      <c r="J471" s="33"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0" t="n">
        <v>2.5</v>
      </c>
      <c r="J472" s="31"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2" t="n">
        <v>3</v>
      </c>
      <c r="J473" s="33"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0" t="n">
        <v>6</v>
      </c>
      <c r="J474" s="31"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2" t="n">
        <v>0.1</v>
      </c>
      <c r="J475" s="33"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0" t="n">
        <v>0.2</v>
      </c>
      <c r="J476" s="31"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2" t="n">
        <v>0.04</v>
      </c>
      <c r="J477" s="33"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0" t="n">
        <v>0.04</v>
      </c>
      <c r="J478" s="31"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2" t="n">
        <v>0.04</v>
      </c>
      <c r="J479" s="33"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0" t="n">
        <v>0.005</v>
      </c>
      <c r="J480" s="31"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2" t="n">
        <v>0.01</v>
      </c>
      <c r="J481" s="33"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0" t="n">
        <v>0.002</v>
      </c>
      <c r="J482" s="31"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2" t="n">
        <v>0.002</v>
      </c>
      <c r="J483" s="33"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0" t="n">
        <v>0.002</v>
      </c>
      <c r="J484" s="31"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2" t="n">
        <v>0.034</v>
      </c>
      <c r="J485" s="33"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0" t="n">
        <v>0.0174</v>
      </c>
      <c r="J486" s="31"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2" t="n">
        <v>0.0174</v>
      </c>
      <c r="J487" s="33"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0" t="n">
        <v>0.045</v>
      </c>
      <c r="J488" s="31"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2" t="n">
        <v>0.0018</v>
      </c>
      <c r="J489" s="33"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0" t="n">
        <v>0.003</v>
      </c>
      <c r="J490" s="31"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2" t="n">
        <v>0.006</v>
      </c>
      <c r="J491" s="33"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0" t="n">
        <v>0.0012</v>
      </c>
      <c r="J492" s="31"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2" t="n">
        <v>0.0012</v>
      </c>
      <c r="J493" s="33"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0" t="n">
        <v>0.0012</v>
      </c>
      <c r="J494" s="31"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2" t="n">
        <v>1.11</v>
      </c>
      <c r="J495" s="33"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0" t="n">
        <v>0.099</v>
      </c>
      <c r="J496" s="31"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2" t="n">
        <v>0.198</v>
      </c>
      <c r="J497" s="33"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0" t="n">
        <v>0.0396</v>
      </c>
      <c r="J498" s="31"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2" t="n">
        <v>0.0396</v>
      </c>
      <c r="J499" s="33"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0" t="n">
        <v>0.0396</v>
      </c>
      <c r="J500" s="31"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2" t="n">
        <v>0.018</v>
      </c>
      <c r="J501" s="33"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0" t="n">
        <v>0.016</v>
      </c>
      <c r="J502" s="31"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2" t="n">
        <v>0.0032</v>
      </c>
      <c r="J503" s="33"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0" t="n">
        <v>0.0005999999999999999</v>
      </c>
      <c r="J504" s="31"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2" t="n">
        <v>0.0005999999999999999</v>
      </c>
      <c r="J505" s="33"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0" t="n">
        <v>0.0005999999999999999</v>
      </c>
      <c r="J506" s="31"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2" t="n">
        <v>0.75</v>
      </c>
      <c r="J507" s="33"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0" t="n">
        <v>0.066</v>
      </c>
      <c r="J508" s="31"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2" t="n">
        <v>0.132</v>
      </c>
      <c r="J509" s="33"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0" t="n">
        <v>0.0264</v>
      </c>
      <c r="J510" s="31"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2" t="n">
        <v>0.0264</v>
      </c>
      <c r="J511" s="33"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0" t="n">
        <v>0.0264</v>
      </c>
      <c r="J512" s="31"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2" t="n">
        <v>0.3</v>
      </c>
      <c r="J513" s="33"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0" t="n">
        <v>0.3</v>
      </c>
      <c r="J514" s="31"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2" t="n">
        <v>1.08</v>
      </c>
      <c r="J515" s="33"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0" t="n">
        <v>0.12</v>
      </c>
      <c r="J516" s="31"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2" t="n">
        <v>0.12</v>
      </c>
      <c r="J517" s="33"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0" t="n">
        <v>0.5</v>
      </c>
      <c r="J518" s="31"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2" t="n">
        <v>0.06</v>
      </c>
      <c r="J519" s="33"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0" t="n">
        <v>0.06</v>
      </c>
      <c r="J520" s="31"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2" t="n">
        <v>0.25</v>
      </c>
      <c r="J521" s="33"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0" t="n">
        <v>0.042</v>
      </c>
      <c r="J522" s="31"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2" t="n">
        <v>0.08500000000000001</v>
      </c>
      <c r="J523" s="33"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0" t="n">
        <v>0.017</v>
      </c>
      <c r="J524" s="31"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2" t="n">
        <v>0.017</v>
      </c>
      <c r="J525" s="33"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0" t="n">
        <v>0.017</v>
      </c>
      <c r="J526" s="31"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2" t="n">
        <v>1.225</v>
      </c>
      <c r="J527" s="33"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0" t="n">
        <v>2.45</v>
      </c>
      <c r="J528" s="31"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2" t="n">
        <v>0.49</v>
      </c>
      <c r="J529" s="33"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0" t="n">
        <v>0.49</v>
      </c>
      <c r="J530" s="31"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2" t="n">
        <v>0.49</v>
      </c>
      <c r="J531" s="33"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0" t="n">
        <v>0.25</v>
      </c>
      <c r="J532" s="31"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2" t="n">
        <v>0.25</v>
      </c>
      <c r="J533" s="33"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0" t="n">
        <v>1</v>
      </c>
      <c r="J534" s="31"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2" t="n">
        <v>1</v>
      </c>
      <c r="J535" s="33"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0" t="n">
        <v>1</v>
      </c>
      <c r="J536" s="31"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2" t="n">
        <v>1</v>
      </c>
      <c r="J537" s="33"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0" t="n">
        <v>1</v>
      </c>
      <c r="J538" s="31"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2" t="n">
        <v>1</v>
      </c>
      <c r="J539" s="33"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0" t="n">
        <v>1</v>
      </c>
      <c r="J540" s="31"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2" t="n">
        <v>1</v>
      </c>
      <c r="J541" s="33"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0" t="n">
        <v>0.2</v>
      </c>
      <c r="J542" s="31"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2" t="n">
        <v>1.5</v>
      </c>
      <c r="J543" s="33"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0" t="n">
        <v>1</v>
      </c>
      <c r="J544" s="31"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2" t="n">
        <v>1</v>
      </c>
      <c r="J545" s="33"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0" t="n">
        <v>1</v>
      </c>
      <c r="J546" s="31"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2" t="n">
        <v>1</v>
      </c>
      <c r="J547" s="33"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0" t="n">
        <v>1</v>
      </c>
      <c r="J548" s="31"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2" t="n">
        <v>1</v>
      </c>
      <c r="J549" s="33"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0" t="n">
        <v>1</v>
      </c>
      <c r="J550" s="31"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2" t="n">
        <v>1</v>
      </c>
      <c r="J551" s="33"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0" t="n">
        <v>1</v>
      </c>
      <c r="J552" s="31"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2" t="n">
        <v>1</v>
      </c>
      <c r="J553" s="33"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0" t="n">
        <v>0.2</v>
      </c>
      <c r="J554" s="31"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2" t="n">
        <v>1.5</v>
      </c>
      <c r="J555" s="33"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0" t="n">
        <v>1</v>
      </c>
      <c r="J556" s="31"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2" t="n">
        <v>1</v>
      </c>
      <c r="J557" s="33"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0" t="n">
        <v>0.6</v>
      </c>
      <c r="J558" s="31"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2" t="n">
        <v>0.6</v>
      </c>
      <c r="J559" s="33"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0" t="n">
        <v>0.6</v>
      </c>
      <c r="J560" s="31"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2" t="n">
        <v>0.6</v>
      </c>
      <c r="J561" s="33"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0" t="n">
        <v>0.51</v>
      </c>
      <c r="J562" s="31"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2" t="n">
        <v>0.75</v>
      </c>
      <c r="J563" s="33"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0" t="n">
        <v>0.92</v>
      </c>
      <c r="J564" s="31"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2" t="n">
        <v>0.2</v>
      </c>
      <c r="J565" s="33"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0" t="n">
        <v>0.2</v>
      </c>
      <c r="J566" s="31"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2" t="n">
        <v>0.25</v>
      </c>
      <c r="J567" s="33"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0" t="n">
        <v>0.25</v>
      </c>
      <c r="J568" s="31"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2" t="n">
        <v>2.52</v>
      </c>
      <c r="J569" s="33"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0" t="n">
        <v>2.52</v>
      </c>
      <c r="J570" s="31"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2" t="n">
        <v>8.06</v>
      </c>
      <c r="J571" s="33"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0" t="n">
        <v>2.52</v>
      </c>
      <c r="J572" s="31"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2" t="n">
        <v>2.52</v>
      </c>
      <c r="J573" s="33"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0" t="n">
        <v>8.06</v>
      </c>
      <c r="J574" s="31"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2" t="n">
        <v>0.12</v>
      </c>
      <c r="J575" s="33"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0" t="n">
        <v>0.12</v>
      </c>
      <c r="J576" s="31"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2" t="n">
        <v>0.25</v>
      </c>
      <c r="J577" s="33"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0" t="n">
        <v>0.2</v>
      </c>
      <c r="J578" s="31"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2" t="n">
        <v>0.2</v>
      </c>
      <c r="J579" s="33"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0" t="n">
        <v>0.27</v>
      </c>
      <c r="J580" s="31"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2" t="n">
        <v>0.27</v>
      </c>
      <c r="J581" s="33"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0" t="n">
        <v>0.067</v>
      </c>
      <c r="J582" s="31"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2" t="n">
        <v>0.067</v>
      </c>
      <c r="J583" s="33"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0" t="n">
        <v>0.089</v>
      </c>
      <c r="J584" s="31"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2" t="n">
        <v>0.089</v>
      </c>
      <c r="J585" s="33"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0" t="n">
        <v>0.2</v>
      </c>
      <c r="J586" s="31"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2" t="n">
        <v>0.2</v>
      </c>
      <c r="J587" s="33"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0" t="n">
        <v>0.27</v>
      </c>
      <c r="J588" s="31"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2" t="n">
        <v>0.27</v>
      </c>
      <c r="J589" s="33"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0" t="n">
        <v>0.5</v>
      </c>
      <c r="J590" s="31"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2" t="n">
        <v>0.5</v>
      </c>
      <c r="J591" s="33"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0" t="n">
        <v>1</v>
      </c>
      <c r="J592" s="31"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2" t="n">
        <v>0.375</v>
      </c>
      <c r="J593" s="33"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0" t="n">
        <v>4</v>
      </c>
      <c r="J594" s="31"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2" t="n">
        <v>0.02</v>
      </c>
      <c r="J595" s="33"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0" t="n">
        <v>0.02</v>
      </c>
      <c r="J596" s="31"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2" t="n">
        <v>0.25</v>
      </c>
      <c r="J597" s="33"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0" t="n">
        <v>0.15</v>
      </c>
      <c r="J598" s="31"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2" t="n">
        <v>1</v>
      </c>
      <c r="J599" s="33"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0" t="n">
        <v>1</v>
      </c>
      <c r="J600" s="31"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2" t="n">
        <v>0.17</v>
      </c>
      <c r="J601" s="33"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0" t="n">
        <v>2</v>
      </c>
      <c r="J602" s="31"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2" t="n">
        <v>0.9</v>
      </c>
      <c r="J603" s="33"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0" t="n">
        <v>0.07000000000000001</v>
      </c>
      <c r="J604" s="31"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2" t="n">
        <v>1</v>
      </c>
      <c r="J605" s="33"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0" t="n">
        <v>1</v>
      </c>
      <c r="J606" s="31"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2" t="n">
        <v>0.17</v>
      </c>
      <c r="J607" s="33"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0" t="n">
        <v>2</v>
      </c>
      <c r="J608" s="31"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2" t="n">
        <v>0.9</v>
      </c>
      <c r="J609" s="33"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0" t="n">
        <v>0.07000000000000001</v>
      </c>
      <c r="J610" s="31"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2" t="n">
        <v>1.88</v>
      </c>
      <c r="J611" s="33"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0" t="n">
        <v>1</v>
      </c>
      <c r="J612" s="31"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2" t="n">
        <v>6</v>
      </c>
      <c r="J613" s="33"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0" t="n">
        <v>1</v>
      </c>
      <c r="J614" s="31"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2" t="n">
        <v>10</v>
      </c>
      <c r="J615" s="33"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0" t="n">
        <v>1</v>
      </c>
      <c r="J616" s="31"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2" t="n">
        <v>0.17</v>
      </c>
      <c r="J617" s="33"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0" t="n">
        <v>2</v>
      </c>
      <c r="J618" s="31"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2" t="n">
        <v>0.9</v>
      </c>
      <c r="J619" s="33"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0" t="n">
        <v>0.07000000000000001</v>
      </c>
      <c r="J620" s="31"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2" t="n">
        <v>1</v>
      </c>
      <c r="J621" s="33"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0" t="n">
        <v>10</v>
      </c>
      <c r="J622" s="31"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2" t="n">
        <v>1</v>
      </c>
      <c r="J623" s="33"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0" t="n">
        <v>0.17</v>
      </c>
      <c r="J624" s="31"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2" t="n">
        <v>2</v>
      </c>
      <c r="J625" s="33"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0" t="n">
        <v>0.9</v>
      </c>
      <c r="J626" s="31"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2" t="n">
        <v>0.07000000000000001</v>
      </c>
      <c r="J627" s="33"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0" t="n">
        <v>1.88</v>
      </c>
      <c r="J628" s="31"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2" t="n">
        <v>1</v>
      </c>
      <c r="J629" s="33"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0" t="n">
        <v>1</v>
      </c>
      <c r="J630" s="31"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2" t="n">
        <v>10</v>
      </c>
      <c r="J631" s="33"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0" t="n">
        <v>1</v>
      </c>
      <c r="J632" s="31"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2" t="n">
        <v>0.17</v>
      </c>
      <c r="J633" s="33"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0" t="n">
        <v>2</v>
      </c>
      <c r="J634" s="31"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2" t="n">
        <v>0.9</v>
      </c>
      <c r="J635" s="33"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0" t="n">
        <v>0.07000000000000001</v>
      </c>
      <c r="J636" s="31"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2" t="n">
        <v>1</v>
      </c>
      <c r="J637" s="33"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0" t="n">
        <v>10</v>
      </c>
      <c r="J638" s="31"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2" t="n">
        <v>1</v>
      </c>
      <c r="J639" s="33"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0" t="n">
        <v>0.17</v>
      </c>
      <c r="J640" s="31"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2" t="n">
        <v>2</v>
      </c>
      <c r="J641" s="33"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0" t="n">
        <v>0.9</v>
      </c>
      <c r="J642" s="31"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2" t="n">
        <v>0.07000000000000001</v>
      </c>
      <c r="J643" s="33"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0" t="n">
        <v>1.88</v>
      </c>
      <c r="J644" s="31"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2" t="n">
        <v>0.33</v>
      </c>
      <c r="J645" s="33"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0" t="n">
        <v>0.17</v>
      </c>
      <c r="J646" s="31"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2" t="n">
        <v>0.067</v>
      </c>
      <c r="J647" s="33"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0" t="n">
        <v>0.067</v>
      </c>
      <c r="J648" s="31"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2" t="n">
        <v>0.067</v>
      </c>
      <c r="J649" s="33"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0" t="n">
        <v>0.067</v>
      </c>
      <c r="J650" s="31"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2" t="n">
        <v>0.05</v>
      </c>
      <c r="J651" s="33"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0" t="n">
        <v>0.1</v>
      </c>
      <c r="J652" s="31"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2" t="n">
        <v>0.15</v>
      </c>
      <c r="J653" s="33"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0" t="n">
        <v>0.05</v>
      </c>
      <c r="J654" s="31"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2" t="n">
        <v>0.1</v>
      </c>
      <c r="J655" s="33"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0" t="n">
        <v>0.15</v>
      </c>
      <c r="J656" s="31"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2" t="n">
        <v>0.05</v>
      </c>
      <c r="J657" s="33"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0" t="n">
        <v>0.1</v>
      </c>
      <c r="J658" s="31"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2" t="n">
        <v>0.15</v>
      </c>
      <c r="J659" s="33"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0" t="n">
        <v>0.05</v>
      </c>
      <c r="J660" s="31"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2" t="n">
        <v>0.1</v>
      </c>
      <c r="J661" s="33"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0" t="n">
        <v>0.15</v>
      </c>
      <c r="J662" s="31"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2" t="n">
        <v>0.05</v>
      </c>
      <c r="J663" s="33"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0" t="n">
        <v>0.1</v>
      </c>
      <c r="J664" s="31"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2" t="n">
        <v>0.15</v>
      </c>
      <c r="J665" s="33"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0" t="n">
        <v>0.05</v>
      </c>
      <c r="J666" s="31"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2" t="n">
        <v>0.1</v>
      </c>
      <c r="J667" s="33"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0" t="n">
        <v>0.15</v>
      </c>
      <c r="J668" s="31"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2" t="n">
        <v>0.05</v>
      </c>
      <c r="J669" s="33"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0" t="n">
        <v>0.1</v>
      </c>
      <c r="J670" s="31"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2" t="n">
        <v>0.15</v>
      </c>
      <c r="J671" s="33"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0" t="n">
        <v>0.05</v>
      </c>
      <c r="J672" s="31"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2" t="n">
        <v>0.1</v>
      </c>
      <c r="J673" s="33"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0" t="n">
        <v>0.15</v>
      </c>
      <c r="J674" s="31"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2" t="n">
        <v>0.05</v>
      </c>
      <c r="J675" s="33"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0" t="n">
        <v>0.1</v>
      </c>
      <c r="J676" s="31"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2" t="n">
        <v>0.15</v>
      </c>
      <c r="J677" s="33"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0" t="n">
        <v>0.9399999999999999</v>
      </c>
      <c r="J678" s="31"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2" t="n">
        <v>3.5</v>
      </c>
      <c r="J679" s="33"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0" t="n">
        <v>20</v>
      </c>
      <c r="J680" s="31"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2" t="n">
        <v>1.6</v>
      </c>
      <c r="J681" s="33"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0" t="n">
        <v>1.6</v>
      </c>
      <c r="J682" s="31"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2" t="n">
        <v>1.6</v>
      </c>
      <c r="J683" s="33"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0" t="n">
        <v>1200</v>
      </c>
      <c r="J684" s="31"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2" t="n">
        <v>120</v>
      </c>
      <c r="J685" s="33"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0" t="n">
        <v>0.9399999999999999</v>
      </c>
      <c r="J686" s="31"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2" t="n">
        <v>3.5</v>
      </c>
      <c r="J687" s="33"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0" t="n">
        <v>20</v>
      </c>
      <c r="J688" s="31"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2" t="n">
        <v>1.6</v>
      </c>
      <c r="J689" s="33"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0" t="n">
        <v>1.6</v>
      </c>
      <c r="J690" s="31"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2" t="n">
        <v>1.6</v>
      </c>
      <c r="J691" s="33"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0" t="n">
        <v>1200</v>
      </c>
      <c r="J692" s="31"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2" t="n">
        <v>120</v>
      </c>
      <c r="J693" s="33"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0" t="n">
        <v>0.84</v>
      </c>
      <c r="J694" s="31"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2" t="n">
        <v>3</v>
      </c>
      <c r="J695" s="33"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0" t="n">
        <v>18</v>
      </c>
      <c r="J696" s="31"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2" t="n">
        <v>1.6</v>
      </c>
      <c r="J697" s="33"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0" t="n">
        <v>1.6</v>
      </c>
      <c r="J698" s="31"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2" t="n">
        <v>1.6</v>
      </c>
      <c r="J699" s="33"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0" t="n">
        <v>1200</v>
      </c>
      <c r="J700" s="31"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2" t="n">
        <v>120</v>
      </c>
      <c r="J701" s="33"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0" t="n">
        <v>240</v>
      </c>
      <c r="J702" s="31"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2" t="n">
        <v>1</v>
      </c>
      <c r="J703" s="33"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0" t="n">
        <v>2</v>
      </c>
      <c r="J704" s="31"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2" t="n">
        <v>0.36</v>
      </c>
      <c r="J705" s="33"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0" t="n">
        <v>0.36</v>
      </c>
      <c r="J706" s="31"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2" t="n">
        <v>1.37</v>
      </c>
      <c r="J707" s="33"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0" t="n">
        <v>0.2</v>
      </c>
      <c r="J708" s="31"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2" t="n">
        <v>0.36</v>
      </c>
      <c r="J709" s="33"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0" t="n">
        <v>0.36</v>
      </c>
      <c r="J710" s="31"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2" t="n">
        <v>1.37</v>
      </c>
      <c r="J711" s="33"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0" t="n">
        <v>0.2</v>
      </c>
      <c r="J712" s="31"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2" t="n">
        <v>0.33</v>
      </c>
      <c r="J713" s="33"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0" t="n">
        <v>0.33</v>
      </c>
      <c r="J714" s="31"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2" t="n">
        <v>1</v>
      </c>
      <c r="J715" s="33"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0" t="n">
        <v>0.18</v>
      </c>
      <c r="J716" s="31"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2" t="n">
        <v>0.33</v>
      </c>
      <c r="J717" s="33"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0" t="n">
        <v>0.33</v>
      </c>
      <c r="J718" s="31"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2" t="n">
        <v>1</v>
      </c>
      <c r="J719" s="33"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0" t="n">
        <v>0.18</v>
      </c>
      <c r="J720" s="31"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2" t="n">
        <v>0.47</v>
      </c>
      <c r="J721" s="33"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0" t="n">
        <v>0.47</v>
      </c>
      <c r="J722" s="31"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2" t="n">
        <v>1.8</v>
      </c>
      <c r="J723" s="33"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0" t="n">
        <v>0.2</v>
      </c>
      <c r="J724" s="31"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2" t="n">
        <v>1.13</v>
      </c>
      <c r="J725" s="33"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0" t="n">
        <v>0.44</v>
      </c>
      <c r="J726" s="31"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2" t="n">
        <v>0.44</v>
      </c>
      <c r="J727" s="33"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0" t="n">
        <v>1.43</v>
      </c>
      <c r="J728" s="31"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2" t="n">
        <v>0.18</v>
      </c>
      <c r="J729" s="33"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0" t="n">
        <v>1.13</v>
      </c>
      <c r="J730" s="31"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2" t="n">
        <v>0.47</v>
      </c>
      <c r="J731" s="33"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0" t="n">
        <v>0.47</v>
      </c>
      <c r="J732" s="31"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2" t="n">
        <v>1.8</v>
      </c>
      <c r="J733" s="33"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0" t="n">
        <v>0.2</v>
      </c>
      <c r="J734" s="31"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2" t="n">
        <v>1.13</v>
      </c>
      <c r="J735" s="33"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0" t="n">
        <v>0.47</v>
      </c>
      <c r="J736" s="31"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2" t="n">
        <v>0.47</v>
      </c>
      <c r="J737" s="33"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0" t="n">
        <v>1.8</v>
      </c>
      <c r="J738" s="31"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2" t="n">
        <v>0.2</v>
      </c>
      <c r="J739" s="33"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0" t="n">
        <v>1.13</v>
      </c>
      <c r="J740" s="31"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2" t="n">
        <v>0.125</v>
      </c>
      <c r="J741" s="33"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0" t="n">
        <v>0.37</v>
      </c>
      <c r="J742" s="31"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2" t="n">
        <v>0.37</v>
      </c>
      <c r="J743" s="33"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0" t="n">
        <v>0.92</v>
      </c>
      <c r="J744" s="31"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2" t="n">
        <v>0.12</v>
      </c>
      <c r="J745" s="33"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0" t="n">
        <v>0.12</v>
      </c>
      <c r="J746" s="31"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2" t="n">
        <v>0.06</v>
      </c>
      <c r="J747" s="33"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0" t="n">
        <v>0.72</v>
      </c>
      <c r="J748" s="31"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2" t="n">
        <v>0.72</v>
      </c>
      <c r="J749" s="33"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0" t="n">
        <v>1.76</v>
      </c>
      <c r="J750" s="31"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2" t="n">
        <v>0.36</v>
      </c>
      <c r="J751" s="33"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0" t="n">
        <v>1.29</v>
      </c>
      <c r="J752" s="31"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2" t="n">
        <v>0.53</v>
      </c>
      <c r="J753" s="33"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0" t="n">
        <v>0.53</v>
      </c>
      <c r="J754" s="31"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2" t="n">
        <v>2.29</v>
      </c>
      <c r="J755" s="33"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0" t="n">
        <v>0.2</v>
      </c>
      <c r="J756" s="31"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2" t="n">
        <v>1.13</v>
      </c>
      <c r="J757" s="33"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0" t="n">
        <v>1.13</v>
      </c>
      <c r="J758" s="31"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2" t="n">
        <v>1.13</v>
      </c>
      <c r="J759" s="33"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0" t="n">
        <v>4.42</v>
      </c>
      <c r="J760" s="31"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2" t="n">
        <v>0.2</v>
      </c>
      <c r="J761" s="33"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0" t="n">
        <v>1.13</v>
      </c>
      <c r="J762" s="31"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2" t="n">
        <v>28</v>
      </c>
      <c r="J763" s="33"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0" t="n">
        <v>24</v>
      </c>
      <c r="J764" s="31"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2" t="n">
        <v>0.45</v>
      </c>
      <c r="J765" s="33"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0" t="n">
        <v>0.45</v>
      </c>
      <c r="J766" s="31"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2" t="n">
        <v>1.55</v>
      </c>
      <c r="J767" s="33"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0" t="n">
        <v>0.7</v>
      </c>
      <c r="J768" s="31"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2" t="n">
        <v>0.45</v>
      </c>
      <c r="J769" s="33"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0" t="n">
        <v>0.45</v>
      </c>
      <c r="J770" s="31"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2" t="n">
        <v>1.55</v>
      </c>
      <c r="J771" s="33"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0" t="n">
        <v>0.7</v>
      </c>
      <c r="J772" s="31"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2" t="n">
        <v>0.6</v>
      </c>
      <c r="J773" s="33"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0" t="n">
        <v>0.6</v>
      </c>
      <c r="J774" s="31"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2" t="n">
        <v>2</v>
      </c>
      <c r="J775" s="33"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0" t="n">
        <v>0.7</v>
      </c>
      <c r="J776" s="31"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2" t="n">
        <v>1.29</v>
      </c>
      <c r="J777" s="33"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0" t="n">
        <v>0.6</v>
      </c>
      <c r="J778" s="31"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2" t="n">
        <v>0.6</v>
      </c>
      <c r="J779" s="33"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0" t="n">
        <v>2</v>
      </c>
      <c r="J780" s="31"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2" t="n">
        <v>0.7</v>
      </c>
      <c r="J781" s="33"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0" t="n">
        <v>1.29</v>
      </c>
      <c r="J782" s="31"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2" t="n">
        <v>0.125</v>
      </c>
      <c r="J783" s="33"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0" t="n">
        <v>0.7</v>
      </c>
      <c r="J784" s="31"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2" t="n">
        <v>0.7</v>
      </c>
      <c r="J785" s="33"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0" t="n">
        <v>1.54</v>
      </c>
      <c r="J786" s="31"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2" t="n">
        <v>0.2</v>
      </c>
      <c r="J787" s="33"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0" t="n">
        <v>0.7</v>
      </c>
      <c r="J788" s="31"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2" t="n">
        <v>0.7</v>
      </c>
      <c r="J789" s="33"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0" t="n">
        <v>1.54</v>
      </c>
      <c r="J790" s="31"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2" t="n">
        <v>0.2</v>
      </c>
      <c r="J791" s="33"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0" t="n">
        <v>0.7</v>
      </c>
      <c r="J792" s="31"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2" t="n">
        <v>0.7</v>
      </c>
      <c r="J793" s="33"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0" t="n">
        <v>1.54</v>
      </c>
      <c r="J794" s="31"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2" t="n">
        <v>0.2</v>
      </c>
      <c r="J795" s="33"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0" t="n">
        <v>0.9</v>
      </c>
      <c r="J796" s="31"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2" t="n">
        <v>0.9</v>
      </c>
      <c r="J797" s="33"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0" t="n">
        <v>1.8</v>
      </c>
      <c r="J798" s="31"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2" t="n">
        <v>0.2</v>
      </c>
      <c r="J799" s="33"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0" t="n">
        <v>1.13</v>
      </c>
      <c r="J800" s="31"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2" t="n">
        <v>0.79</v>
      </c>
      <c r="J801" s="33"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0" t="n">
        <v>0.79</v>
      </c>
      <c r="J802" s="31"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2" t="n">
        <v>3.21</v>
      </c>
      <c r="J803" s="33"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0" t="n">
        <v>0.2</v>
      </c>
      <c r="J804" s="31"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2" t="n">
        <v>1.13</v>
      </c>
      <c r="J805" s="33"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0" t="n">
        <v>1.5</v>
      </c>
      <c r="J806" s="31"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2" t="n">
        <v>1.5</v>
      </c>
      <c r="J807" s="33"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0" t="n">
        <v>5.33</v>
      </c>
      <c r="J808" s="31"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2" t="n">
        <v>0.2</v>
      </c>
      <c r="J809" s="33"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0" t="n">
        <v>1.13</v>
      </c>
      <c r="J810" s="31"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2" t="n">
        <v>0.9399999999999999</v>
      </c>
      <c r="J811" s="33"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0" t="n">
        <v>0.9399999999999999</v>
      </c>
      <c r="J812" s="31"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2" t="n">
        <v>1.88</v>
      </c>
      <c r="J813" s="33"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0" t="n">
        <v>0.33</v>
      </c>
      <c r="J814" s="31"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2" t="n">
        <v>1.29</v>
      </c>
      <c r="J815" s="33"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0" t="n">
        <v>0.375</v>
      </c>
      <c r="J816" s="31"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2" t="n">
        <v>4</v>
      </c>
      <c r="J817" s="33"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0" t="n">
        <v>0.02</v>
      </c>
      <c r="J818" s="31"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2" t="n">
        <v>0.02</v>
      </c>
      <c r="J819" s="33"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0" t="n">
        <v>0.25</v>
      </c>
      <c r="J820" s="31"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2" t="n">
        <v>0.15</v>
      </c>
      <c r="J821" s="33"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0" t="n">
        <v>0.5</v>
      </c>
      <c r="J822" s="31"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2" t="n">
        <v>0.35</v>
      </c>
      <c r="J823" s="33"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0" t="n">
        <v>0.35</v>
      </c>
      <c r="J824" s="31"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2" t="n">
        <v>1.07</v>
      </c>
      <c r="J825" s="33"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0" t="n">
        <v>0.2</v>
      </c>
      <c r="J826" s="31"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2" t="n">
        <v>0.5</v>
      </c>
      <c r="J827" s="33"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0" t="n">
        <v>0.46</v>
      </c>
      <c r="J828" s="31"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2" t="n">
        <v>0.46</v>
      </c>
      <c r="J829" s="33"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0" t="n">
        <v>1.6</v>
      </c>
      <c r="J830" s="31"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2" t="n">
        <v>0.2</v>
      </c>
      <c r="J831" s="33"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0" t="n">
        <v>1.13</v>
      </c>
      <c r="J832" s="31"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2" t="n">
        <v>0.33</v>
      </c>
      <c r="J833" s="33"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0" t="n">
        <v>0.33</v>
      </c>
      <c r="J834" s="31"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2" t="n">
        <v>1</v>
      </c>
      <c r="J835" s="33"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0" t="n">
        <v>0.18</v>
      </c>
      <c r="J836" s="31"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2" t="n">
        <v>0.44</v>
      </c>
      <c r="J837" s="33"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0" t="n">
        <v>0.44</v>
      </c>
      <c r="J838" s="31"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2" t="n">
        <v>1.43</v>
      </c>
      <c r="J839" s="33"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0" t="n">
        <v>0.18</v>
      </c>
      <c r="J840" s="31"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2" t="n">
        <v>1.13</v>
      </c>
      <c r="J841" s="33"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0" t="n">
        <v>0.33</v>
      </c>
      <c r="J842" s="31"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2" t="n">
        <v>0.33</v>
      </c>
      <c r="J843" s="33"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0" t="n">
        <v>1</v>
      </c>
      <c r="J844" s="31"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2" t="n">
        <v>0.18</v>
      </c>
      <c r="J845" s="33"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0" t="n">
        <v>0.44</v>
      </c>
      <c r="J846" s="31"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2" t="n">
        <v>0.44</v>
      </c>
      <c r="J847" s="33"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0" t="n">
        <v>1.43</v>
      </c>
      <c r="J848" s="31"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2" t="n">
        <v>0.18</v>
      </c>
      <c r="J849" s="33"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0" t="n">
        <v>1.13</v>
      </c>
      <c r="J850" s="31"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2" t="n">
        <v>0.36</v>
      </c>
      <c r="J851" s="33"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0" t="n">
        <v>0.36</v>
      </c>
      <c r="J852" s="31"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2" t="n">
        <v>1.37</v>
      </c>
      <c r="J853" s="33"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0" t="n">
        <v>0.2</v>
      </c>
      <c r="J854" s="31"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2" t="n">
        <v>0.44</v>
      </c>
      <c r="J855" s="33"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0" t="n">
        <v>0.44</v>
      </c>
      <c r="J856" s="31"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2" t="n">
        <v>1.8</v>
      </c>
      <c r="J857" s="33"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0" t="n">
        <v>0.2</v>
      </c>
      <c r="J858" s="31"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2" t="n">
        <v>1.13</v>
      </c>
      <c r="J859" s="33"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0" t="n">
        <v>0.36</v>
      </c>
      <c r="J860" s="31"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2" t="n">
        <v>0.36</v>
      </c>
      <c r="J861" s="33"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0" t="n">
        <v>1.37</v>
      </c>
      <c r="J862" s="31"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2" t="n">
        <v>0.2</v>
      </c>
      <c r="J863" s="33"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0" t="n">
        <v>0.47</v>
      </c>
      <c r="J864" s="31"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2" t="n">
        <v>0.47</v>
      </c>
      <c r="J865" s="33"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0" t="n">
        <v>1.8</v>
      </c>
      <c r="J866" s="31"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2" t="n">
        <v>0.2</v>
      </c>
      <c r="J867" s="33"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0" t="n">
        <v>1.13</v>
      </c>
      <c r="J868" s="31"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2" t="n">
        <v>0.33</v>
      </c>
      <c r="J869" s="33"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0" t="n">
        <v>0.33</v>
      </c>
      <c r="J870" s="31"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2" t="n">
        <v>1</v>
      </c>
      <c r="J871" s="33"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0" t="n">
        <v>0.18</v>
      </c>
      <c r="J872" s="31"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2" t="n">
        <v>0.44</v>
      </c>
      <c r="J873" s="33"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0" t="n">
        <v>0.44</v>
      </c>
      <c r="J874" s="31"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2" t="n">
        <v>1.43</v>
      </c>
      <c r="J875" s="33"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0" t="n">
        <v>0.18</v>
      </c>
      <c r="J876" s="31"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2" t="n">
        <v>1.13</v>
      </c>
      <c r="J877" s="33"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0" t="n">
        <v>0.47</v>
      </c>
      <c r="J878" s="31"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2" t="n">
        <v>0.47</v>
      </c>
      <c r="J879" s="33"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0" t="n">
        <v>1.8</v>
      </c>
      <c r="J880" s="31"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2" t="n">
        <v>0.2</v>
      </c>
      <c r="J881" s="33"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0" t="n">
        <v>1.13</v>
      </c>
      <c r="J882" s="31"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2" t="n">
        <v>0.47</v>
      </c>
      <c r="J883" s="33"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0" t="n">
        <v>0.47</v>
      </c>
      <c r="J884" s="31"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2" t="n">
        <v>1.8</v>
      </c>
      <c r="J885" s="33"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0" t="n">
        <v>0.2</v>
      </c>
      <c r="J886" s="31"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2" t="n">
        <v>1.13</v>
      </c>
      <c r="J887" s="33"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0" t="n">
        <v>0.47</v>
      </c>
      <c r="J888" s="31"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2" t="n">
        <v>0.47</v>
      </c>
      <c r="J889" s="33"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0" t="n">
        <v>1.8</v>
      </c>
      <c r="J890" s="31"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2" t="n">
        <v>0.2</v>
      </c>
      <c r="J891" s="33"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0" t="n">
        <v>1.13</v>
      </c>
      <c r="J892" s="31"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2" t="n">
        <v>0.47</v>
      </c>
      <c r="J893" s="33"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0" t="n">
        <v>0.47</v>
      </c>
      <c r="J894" s="31"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2" t="n">
        <v>1.8</v>
      </c>
      <c r="J895" s="33"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0" t="n">
        <v>0.2</v>
      </c>
      <c r="J896" s="31"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2" t="n">
        <v>1.13</v>
      </c>
      <c r="J897" s="33"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0" t="n">
        <v>0.47</v>
      </c>
      <c r="J898" s="31"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2" t="n">
        <v>0.47</v>
      </c>
      <c r="J899" s="33"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0" t="n">
        <v>1.8</v>
      </c>
      <c r="J900" s="31"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2" t="n">
        <v>0.2</v>
      </c>
      <c r="J901" s="33"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0" t="n">
        <v>1.13</v>
      </c>
      <c r="J902" s="31"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2" t="n">
        <v>0.47</v>
      </c>
      <c r="J903" s="33"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0" t="n">
        <v>0.47</v>
      </c>
      <c r="J904" s="31"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2" t="n">
        <v>1.8</v>
      </c>
      <c r="J905" s="33"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0" t="n">
        <v>0.2</v>
      </c>
      <c r="J906" s="31"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2" t="n">
        <v>1.13</v>
      </c>
      <c r="J907" s="33"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0" t="n">
        <v>0.33</v>
      </c>
      <c r="J908" s="31"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2" t="n">
        <v>0.33</v>
      </c>
      <c r="J909" s="33"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0" t="n">
        <v>1</v>
      </c>
      <c r="J910" s="31"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2" t="n">
        <v>0.18</v>
      </c>
      <c r="J911" s="33"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0" t="n">
        <v>0.42</v>
      </c>
      <c r="J912" s="31"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2" t="n">
        <v>0.42</v>
      </c>
      <c r="J913" s="33"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0" t="n">
        <v>1.86</v>
      </c>
      <c r="J914" s="31"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2" t="n">
        <v>0.2</v>
      </c>
      <c r="J915" s="33"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0" t="n">
        <v>0.36</v>
      </c>
      <c r="J916" s="31"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2" t="n">
        <v>0.36</v>
      </c>
      <c r="J917" s="33"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0" t="n">
        <v>1.37</v>
      </c>
      <c r="J918" s="31"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2" t="n">
        <v>0.2</v>
      </c>
      <c r="J919" s="33"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0" t="n">
        <v>1.13</v>
      </c>
      <c r="J920" s="31"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2" t="n">
        <v>0.5</v>
      </c>
      <c r="J921" s="33"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0" t="n">
        <v>1</v>
      </c>
      <c r="J922" s="31"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2" t="n">
        <v>1.73</v>
      </c>
      <c r="J923" s="33"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0" t="n">
        <v>0.1</v>
      </c>
      <c r="J924" s="31"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2" t="n">
        <v>0.1</v>
      </c>
      <c r="J925" s="33"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0" t="n">
        <v>0.03</v>
      </c>
      <c r="J926" s="31"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2" t="n">
        <v>0.6</v>
      </c>
      <c r="J927" s="33"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0" t="n">
        <v>0.6</v>
      </c>
      <c r="J928" s="31"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2" t="n">
        <v>2</v>
      </c>
      <c r="J929" s="33"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0" t="n">
        <v>0.7</v>
      </c>
      <c r="J930" s="31"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2" t="n">
        <v>1.29</v>
      </c>
      <c r="J931" s="33"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0" t="n">
        <v>0.6</v>
      </c>
      <c r="J932" s="31"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2" t="n">
        <v>0.6</v>
      </c>
      <c r="J933" s="33"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0" t="n">
        <v>2</v>
      </c>
      <c r="J934" s="31"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2" t="n">
        <v>0.7</v>
      </c>
      <c r="J935" s="33"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0" t="n">
        <v>1.29</v>
      </c>
      <c r="J936" s="31"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2" t="n">
        <v>0.36</v>
      </c>
      <c r="J937" s="33"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0" t="n">
        <v>0.36</v>
      </c>
      <c r="J938" s="31"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2" t="n">
        <v>1.37</v>
      </c>
      <c r="J939" s="33"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0" t="n">
        <v>1.13</v>
      </c>
      <c r="J940" s="31"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2" t="n">
        <v>1.07</v>
      </c>
      <c r="J941" s="33"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0" t="n">
        <v>1.07</v>
      </c>
      <c r="J942" s="31"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2" t="n">
        <v>0.71</v>
      </c>
      <c r="J943" s="33"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0" t="n">
        <v>0.09</v>
      </c>
      <c r="J944" s="31"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2" t="n">
        <v>1.34</v>
      </c>
      <c r="J945" s="33"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0" t="n">
        <v>1.45</v>
      </c>
      <c r="J946" s="31"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2" t="n">
        <v>0.71</v>
      </c>
      <c r="J947" s="33"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0" t="n">
        <v>0.09</v>
      </c>
      <c r="J948" s="31"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2" t="n">
        <v>1.13</v>
      </c>
      <c r="J949" s="33"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0" t="n">
        <v>0.58</v>
      </c>
      <c r="J950" s="31"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2" t="n">
        <v>0.27</v>
      </c>
      <c r="J951" s="33"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0" t="n">
        <v>1.42</v>
      </c>
      <c r="J952" s="31"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2" t="n">
        <v>0.35</v>
      </c>
      <c r="J953" s="33"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0" t="n">
        <v>0.27</v>
      </c>
      <c r="J954" s="31"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2" t="n">
        <v>0.53</v>
      </c>
      <c r="J955" s="33"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0" t="n">
        <v>2.12</v>
      </c>
      <c r="J956" s="31"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2" t="n">
        <v>1.24</v>
      </c>
      <c r="J957" s="33"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0" t="n">
        <v>0.71</v>
      </c>
      <c r="J958" s="31"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2" t="n">
        <v>0.09</v>
      </c>
      <c r="J959" s="33"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0" t="n">
        <v>1.76</v>
      </c>
      <c r="J960" s="31"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2" t="n">
        <v>1.24</v>
      </c>
      <c r="J961" s="33"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0" t="n">
        <v>0.71</v>
      </c>
      <c r="J962" s="31"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2" t="n">
        <v>0.09</v>
      </c>
      <c r="J963" s="33"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0" t="n">
        <v>2.38</v>
      </c>
      <c r="J964" s="31"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2" t="n">
        <v>1.59</v>
      </c>
      <c r="J965" s="33"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0" t="n">
        <v>0.71</v>
      </c>
      <c r="J966" s="31"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2" t="n">
        <v>0.09</v>
      </c>
      <c r="J967" s="33"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0" t="n">
        <v>1.13</v>
      </c>
      <c r="J968" s="31"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2" t="n">
        <v>2.02</v>
      </c>
      <c r="J969" s="33"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0" t="n">
        <v>1.59</v>
      </c>
      <c r="J970" s="31"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2" t="n">
        <v>0.71</v>
      </c>
      <c r="J971" s="33"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0" t="n">
        <v>0.09</v>
      </c>
      <c r="J972" s="31"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2" t="n">
        <v>1.13</v>
      </c>
      <c r="J973" s="33"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0" t="n">
        <v>0.67</v>
      </c>
      <c r="J974" s="31"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2" t="n">
        <v>0.27</v>
      </c>
      <c r="J975" s="33"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0" t="n">
        <v>1.67</v>
      </c>
      <c r="J976" s="31"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2" t="n">
        <v>0.35</v>
      </c>
      <c r="J977" s="33"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0" t="n">
        <v>0.33</v>
      </c>
      <c r="J978" s="31"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2" t="n">
        <v>0.53</v>
      </c>
      <c r="J979" s="33"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0" t="n">
        <v>0.015</v>
      </c>
      <c r="J980" s="31"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2" t="n">
        <v>0.08799999999999999</v>
      </c>
      <c r="J981" s="33"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0" t="n">
        <v>0.006</v>
      </c>
      <c r="J982" s="31"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2" t="n">
        <v>0.044</v>
      </c>
      <c r="J983" s="33"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0" t="n">
        <v>0.022</v>
      </c>
      <c r="J984" s="31"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2" t="n">
        <v>0.044</v>
      </c>
      <c r="J985" s="33"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0" t="n">
        <v>0.044</v>
      </c>
      <c r="J986" s="31"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2" t="n">
        <v>0.006</v>
      </c>
      <c r="J987" s="33"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0" t="n">
        <v>0.022</v>
      </c>
      <c r="J988" s="31"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2" t="n">
        <v>0.022</v>
      </c>
      <c r="J989" s="33"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0" t="n">
        <v>0.022</v>
      </c>
      <c r="J990" s="31"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2" t="n">
        <v>0.022</v>
      </c>
      <c r="J991" s="33"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0" t="n">
        <v>0.015</v>
      </c>
      <c r="J992" s="31"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2" t="n">
        <v>0.08799999999999999</v>
      </c>
      <c r="J993" s="33"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0" t="n">
        <v>0.006</v>
      </c>
      <c r="J994" s="31"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2" t="n">
        <v>0.044</v>
      </c>
      <c r="J995" s="33"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0" t="n">
        <v>0.022</v>
      </c>
      <c r="J996" s="31"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2" t="n">
        <v>0.044</v>
      </c>
      <c r="J997" s="33"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0" t="n">
        <v>0.044</v>
      </c>
      <c r="J998" s="31"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2" t="n">
        <v>0.006</v>
      </c>
      <c r="J999" s="33"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0" t="n">
        <v>0.022</v>
      </c>
      <c r="J1000" s="31"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2" t="n">
        <v>0.022</v>
      </c>
      <c r="J1001" s="33"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0" t="n">
        <v>0.022</v>
      </c>
      <c r="J1002" s="31"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2" t="n">
        <v>0.022</v>
      </c>
      <c r="J1003" s="33"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0" t="n">
        <v>0.015</v>
      </c>
      <c r="J1004" s="31"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2" t="n">
        <v>0.176</v>
      </c>
      <c r="J1005" s="33"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0" t="n">
        <v>0.012</v>
      </c>
      <c r="J1006" s="31"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2" t="n">
        <v>0.08799999999999999</v>
      </c>
      <c r="J1007" s="33"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0" t="n">
        <v>0.044</v>
      </c>
      <c r="J1008" s="31"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2" t="n">
        <v>0.08799999999999999</v>
      </c>
      <c r="J1009" s="33"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0" t="n">
        <v>0.044</v>
      </c>
      <c r="J1010" s="31"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2" t="n">
        <v>0.006</v>
      </c>
      <c r="J1011" s="33"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0" t="n">
        <v>0.022</v>
      </c>
      <c r="J1012" s="31"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2" t="n">
        <v>0.022</v>
      </c>
      <c r="J1013" s="33"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0" t="n">
        <v>0.022</v>
      </c>
      <c r="J1014" s="31"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2" t="n">
        <v>0.022</v>
      </c>
      <c r="J1015" s="33"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0" t="n">
        <v>0.015</v>
      </c>
      <c r="J1016" s="31"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2" t="n">
        <v>0.176</v>
      </c>
      <c r="J1017" s="33"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0" t="n">
        <v>0.012</v>
      </c>
      <c r="J1018" s="31"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2" t="n">
        <v>0.08799999999999999</v>
      </c>
      <c r="J1019" s="33"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0" t="n">
        <v>0.044</v>
      </c>
      <c r="J1020" s="31"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2" t="n">
        <v>0.08799999999999999</v>
      </c>
      <c r="J1021" s="33"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0" t="n">
        <v>0.044</v>
      </c>
      <c r="J1022" s="31"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2" t="n">
        <v>0.006</v>
      </c>
      <c r="J1023" s="33"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0" t="n">
        <v>0.022</v>
      </c>
      <c r="J1024" s="31"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2" t="n">
        <v>0.022</v>
      </c>
      <c r="J1025" s="33"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0" t="n">
        <v>0.022</v>
      </c>
      <c r="J1026" s="31"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2" t="n">
        <v>0.022</v>
      </c>
      <c r="J1027" s="33"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0" t="n">
        <v>0.08799999999999999</v>
      </c>
      <c r="J1028" s="31"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2" t="n">
        <v>0.006</v>
      </c>
      <c r="J1029" s="33"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0" t="n">
        <v>0.044</v>
      </c>
      <c r="J1030" s="31"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2" t="n">
        <v>0.022</v>
      </c>
      <c r="J1031" s="33"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0" t="n">
        <v>0.044</v>
      </c>
      <c r="J1032" s="31"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2" t="n">
        <v>0.044</v>
      </c>
      <c r="J1033" s="33"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0" t="n">
        <v>0.006</v>
      </c>
      <c r="J1034" s="31"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2" t="n">
        <v>0.022</v>
      </c>
      <c r="J1035" s="33"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0" t="n">
        <v>0.022</v>
      </c>
      <c r="J1036" s="31"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2" t="n">
        <v>0.022</v>
      </c>
      <c r="J1037" s="33"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0" t="n">
        <v>0.022</v>
      </c>
      <c r="J1038" s="31"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2" t="n">
        <v>0.015</v>
      </c>
      <c r="J1039" s="33"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0" t="n">
        <v>0.08799999999999999</v>
      </c>
      <c r="J1040" s="31"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2" t="n">
        <v>0.006</v>
      </c>
      <c r="J1041" s="33"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0" t="n">
        <v>0.044</v>
      </c>
      <c r="J1042" s="31"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2" t="n">
        <v>0.022</v>
      </c>
      <c r="J1043" s="33"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0" t="n">
        <v>0.044</v>
      </c>
      <c r="J1044" s="31"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2" t="n">
        <v>0.044</v>
      </c>
      <c r="J1045" s="33"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0" t="n">
        <v>0.006</v>
      </c>
      <c r="J1046" s="31"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2" t="n">
        <v>0.022</v>
      </c>
      <c r="J1047" s="33"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0" t="n">
        <v>0.022</v>
      </c>
      <c r="J1048" s="31"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2" t="n">
        <v>0.022</v>
      </c>
      <c r="J1049" s="33"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0" t="n">
        <v>0.022</v>
      </c>
      <c r="J1050" s="31"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2" t="n">
        <v>0.015</v>
      </c>
      <c r="J1051" s="33"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0" t="n">
        <v>0.176</v>
      </c>
      <c r="J1052" s="31"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2" t="n">
        <v>0.012</v>
      </c>
      <c r="J1053" s="33"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0" t="n">
        <v>0.08799999999999999</v>
      </c>
      <c r="J1054" s="31"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2" t="n">
        <v>0.044</v>
      </c>
      <c r="J1055" s="33"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0" t="n">
        <v>0.08799999999999999</v>
      </c>
      <c r="J1056" s="31"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2" t="n">
        <v>0.044</v>
      </c>
      <c r="J1057" s="33"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0" t="n">
        <v>0.006</v>
      </c>
      <c r="J1058" s="31"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2" t="n">
        <v>0.022</v>
      </c>
      <c r="J1059" s="33"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0" t="n">
        <v>0.022</v>
      </c>
      <c r="J1060" s="31"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2" t="n">
        <v>0.022</v>
      </c>
      <c r="J1061" s="33"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0" t="n">
        <v>0.022</v>
      </c>
      <c r="J1062" s="31"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2" t="n">
        <v>0.015</v>
      </c>
      <c r="J1063" s="33"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0" t="n">
        <v>0.176</v>
      </c>
      <c r="J1064" s="31"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2" t="n">
        <v>0.012</v>
      </c>
      <c r="J1065" s="33"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0" t="n">
        <v>0.08799999999999999</v>
      </c>
      <c r="J1066" s="31"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2" t="n">
        <v>0.044</v>
      </c>
      <c r="J1067" s="33"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0" t="n">
        <v>0.08799999999999999</v>
      </c>
      <c r="J1068" s="31"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2" t="n">
        <v>0.044</v>
      </c>
      <c r="J1069" s="33"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0" t="n">
        <v>0.006</v>
      </c>
      <c r="J1070" s="31"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2" t="n">
        <v>0.022</v>
      </c>
      <c r="J1071" s="33"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0" t="n">
        <v>0.022</v>
      </c>
      <c r="J1072" s="31"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2" t="n">
        <v>0.022</v>
      </c>
      <c r="J1073" s="33"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0" t="n">
        <v>0.022</v>
      </c>
      <c r="J1074" s="31"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2" t="n">
        <v>0.015</v>
      </c>
      <c r="J1075" s="33"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0" t="n">
        <v>0.176</v>
      </c>
      <c r="J1076" s="31"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2" t="n">
        <v>0.006</v>
      </c>
      <c r="J1077" s="33"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0" t="n">
        <v>0.176</v>
      </c>
      <c r="J1078" s="31"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2" t="n">
        <v>0.044</v>
      </c>
      <c r="J1079" s="33"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0" t="n">
        <v>0.022</v>
      </c>
      <c r="J1080" s="31"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2" t="n">
        <v>0.044</v>
      </c>
      <c r="J1081" s="33"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0" t="n">
        <v>0.044</v>
      </c>
      <c r="J1082" s="31"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2" t="n">
        <v>0.006</v>
      </c>
      <c r="J1083" s="33"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0" t="n">
        <v>0.022</v>
      </c>
      <c r="J1084" s="31"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2" t="n">
        <v>0.022</v>
      </c>
      <c r="J1085" s="33"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0" t="n">
        <v>0.022</v>
      </c>
      <c r="J1086" s="31"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2" t="n">
        <v>0.022</v>
      </c>
      <c r="J1087" s="33"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0" t="n">
        <v>0.015</v>
      </c>
      <c r="J1088" s="31"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2" t="n">
        <v>0.176</v>
      </c>
      <c r="J1089" s="33"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0" t="n">
        <v>0.006</v>
      </c>
      <c r="J1090" s="31"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2" t="n">
        <v>0.176</v>
      </c>
      <c r="J1091" s="33"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0" t="n">
        <v>0.044</v>
      </c>
      <c r="J1092" s="31"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2" t="n">
        <v>0.022</v>
      </c>
      <c r="J1093" s="33"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0" t="n">
        <v>0.044</v>
      </c>
      <c r="J1094" s="31"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2" t="n">
        <v>0.044</v>
      </c>
      <c r="J1095" s="33"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0" t="n">
        <v>0.006</v>
      </c>
      <c r="J1096" s="31"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2" t="n">
        <v>0.022</v>
      </c>
      <c r="J1097" s="33"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0" t="n">
        <v>0.022</v>
      </c>
      <c r="J1098" s="31"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2" t="n">
        <v>0.022</v>
      </c>
      <c r="J1099" s="33"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0" t="n">
        <v>0.022</v>
      </c>
      <c r="J1100" s="31"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2" t="n">
        <v>0.015</v>
      </c>
      <c r="J1101" s="33"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0" t="n">
        <v>0.352</v>
      </c>
      <c r="J1102" s="31"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2" t="n">
        <v>0.012</v>
      </c>
      <c r="J1103" s="33"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0" t="n">
        <v>0.352</v>
      </c>
      <c r="J1104" s="31"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2" t="n">
        <v>0.08799999999999999</v>
      </c>
      <c r="J1105" s="33"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0" t="n">
        <v>0.044</v>
      </c>
      <c r="J1106" s="31"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2" t="n">
        <v>0.08799999999999999</v>
      </c>
      <c r="J1107" s="33"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0" t="n">
        <v>0.044</v>
      </c>
      <c r="J1108" s="31"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2" t="n">
        <v>0.006</v>
      </c>
      <c r="J1109" s="33"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0" t="n">
        <v>0.022</v>
      </c>
      <c r="J1110" s="31"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2" t="n">
        <v>0.022</v>
      </c>
      <c r="J1111" s="33"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0" t="n">
        <v>0.022</v>
      </c>
      <c r="J1112" s="31"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2" t="n">
        <v>0.022</v>
      </c>
      <c r="J1113" s="33"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0" t="n">
        <v>0.015</v>
      </c>
      <c r="J1114" s="31"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2" t="n">
        <v>0.352</v>
      </c>
      <c r="J1115" s="33"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0" t="n">
        <v>0.012</v>
      </c>
      <c r="J1116" s="31"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2" t="n">
        <v>0.352</v>
      </c>
      <c r="J1117" s="33"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0" t="n">
        <v>0.08799999999999999</v>
      </c>
      <c r="J1118" s="31"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2" t="n">
        <v>0.044</v>
      </c>
      <c r="J1119" s="33"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0" t="n">
        <v>0.08799999999999999</v>
      </c>
      <c r="J1120" s="31"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2" t="n">
        <v>0.044</v>
      </c>
      <c r="J1121" s="33"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0" t="n">
        <v>0.006</v>
      </c>
      <c r="J1122" s="31"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2" t="n">
        <v>0.022</v>
      </c>
      <c r="J1123" s="33"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0" t="n">
        <v>0.022</v>
      </c>
      <c r="J1124" s="31"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2" t="n">
        <v>0.022</v>
      </c>
      <c r="J1125" s="33"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0" t="n">
        <v>0.022</v>
      </c>
      <c r="J1126" s="31"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2" t="n">
        <v>0.015</v>
      </c>
      <c r="J1127" s="33"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0" t="n">
        <v>0.059</v>
      </c>
      <c r="J1128" s="31"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2" t="n">
        <v>0.006</v>
      </c>
      <c r="J1129" s="33"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0" t="n">
        <v>0.044</v>
      </c>
      <c r="J1130" s="31"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2" t="n">
        <v>0.022</v>
      </c>
      <c r="J1131" s="33"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0" t="n">
        <v>0.044</v>
      </c>
      <c r="J1132" s="31"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2" t="n">
        <v>0.044</v>
      </c>
      <c r="J1133" s="33"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0" t="n">
        <v>0.006</v>
      </c>
      <c r="J1134" s="31"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2" t="n">
        <v>0.022</v>
      </c>
      <c r="J1135" s="33"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0" t="n">
        <v>0.022</v>
      </c>
      <c r="J1136" s="31"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2" t="n">
        <v>0.022</v>
      </c>
      <c r="J1137" s="33"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0" t="n">
        <v>0.022</v>
      </c>
      <c r="J1138" s="31"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2" t="n">
        <v>0.015</v>
      </c>
      <c r="J1139" s="33"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0" t="n">
        <v>0.059</v>
      </c>
      <c r="J1140" s="31"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2" t="n">
        <v>0.006</v>
      </c>
      <c r="J1141" s="33"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0" t="n">
        <v>0.044</v>
      </c>
      <c r="J1142" s="31"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2" t="n">
        <v>0.022</v>
      </c>
      <c r="J1143" s="33"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0" t="n">
        <v>0.044</v>
      </c>
      <c r="J1144" s="31"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2" t="n">
        <v>0.044</v>
      </c>
      <c r="J1145" s="33"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0" t="n">
        <v>0.006</v>
      </c>
      <c r="J1146" s="31"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2" t="n">
        <v>0.022</v>
      </c>
      <c r="J1147" s="33"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0" t="n">
        <v>0.022</v>
      </c>
      <c r="J1148" s="31"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2" t="n">
        <v>0.022</v>
      </c>
      <c r="J1149" s="33"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0" t="n">
        <v>0.022</v>
      </c>
      <c r="J1150" s="31"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2" t="n">
        <v>0.015</v>
      </c>
      <c r="J1151" s="33"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0" t="n">
        <v>0.015</v>
      </c>
      <c r="J1152" s="31"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2" t="n">
        <v>0.118</v>
      </c>
      <c r="J1153" s="33"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0" t="n">
        <v>0.012</v>
      </c>
      <c r="J1154" s="31"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2" t="n">
        <v>0.08799999999999999</v>
      </c>
      <c r="J1155" s="33"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0" t="n">
        <v>0.044</v>
      </c>
      <c r="J1156" s="31"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2" t="n">
        <v>0.08799999999999999</v>
      </c>
      <c r="J1157" s="33"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0" t="n">
        <v>0.044</v>
      </c>
      <c r="J1158" s="31"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2" t="n">
        <v>0.006</v>
      </c>
      <c r="J1159" s="33"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0" t="n">
        <v>0.022</v>
      </c>
      <c r="J1160" s="31"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2" t="n">
        <v>0.022</v>
      </c>
      <c r="J1161" s="33"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0" t="n">
        <v>0.022</v>
      </c>
      <c r="J1162" s="31"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2" t="n">
        <v>0.022</v>
      </c>
      <c r="J1163" s="33"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0" t="n">
        <v>0.015</v>
      </c>
      <c r="J1164" s="31"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2" t="n">
        <v>0.118</v>
      </c>
      <c r="J1165" s="33"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0" t="n">
        <v>0.012</v>
      </c>
      <c r="J1166" s="31"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2" t="n">
        <v>0.08799999999999999</v>
      </c>
      <c r="J1167" s="33"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0" t="n">
        <v>0.044</v>
      </c>
      <c r="J1168" s="31"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2" t="n">
        <v>0.08799999999999999</v>
      </c>
      <c r="J1169" s="33"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0" t="n">
        <v>0.044</v>
      </c>
      <c r="J1170" s="31"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2" t="n">
        <v>0.006</v>
      </c>
      <c r="J1171" s="33"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0" t="n">
        <v>0.022</v>
      </c>
      <c r="J1172" s="31"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2" t="n">
        <v>0.022</v>
      </c>
      <c r="J1173" s="33"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0" t="n">
        <v>0.022</v>
      </c>
      <c r="J1174" s="31"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2" t="n">
        <v>0.022</v>
      </c>
      <c r="J1175" s="33"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0" t="n">
        <v>0.02</v>
      </c>
      <c r="J1176" s="31"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2" t="n">
        <v>28</v>
      </c>
      <c r="J1177" s="33"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0" t="n">
        <v>24</v>
      </c>
      <c r="J1178" s="31"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2" t="n">
        <v>0.291</v>
      </c>
      <c r="J1179" s="33"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0" t="n">
        <v>0.006</v>
      </c>
      <c r="J1180" s="31"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2" t="n">
        <v>0.044</v>
      </c>
      <c r="J1181" s="33"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0" t="n">
        <v>0.022</v>
      </c>
      <c r="J1182" s="31"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2" t="n">
        <v>0.044</v>
      </c>
      <c r="J1183" s="33"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0" t="n">
        <v>0.044</v>
      </c>
      <c r="J1184" s="31"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2" t="n">
        <v>0.006</v>
      </c>
      <c r="J1185" s="33"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0" t="n">
        <v>0.022</v>
      </c>
      <c r="J1186" s="31"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2" t="n">
        <v>0.022</v>
      </c>
      <c r="J1187" s="33"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0" t="n">
        <v>0.022</v>
      </c>
      <c r="J1188" s="31"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2" t="n">
        <v>0.022</v>
      </c>
      <c r="J1189" s="33"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0" t="n">
        <v>0.015</v>
      </c>
      <c r="J1190" s="31"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2" t="n">
        <v>0.291</v>
      </c>
      <c r="J1191" s="33"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0" t="n">
        <v>0.006</v>
      </c>
      <c r="J1192" s="31"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2" t="n">
        <v>0.044</v>
      </c>
      <c r="J1193" s="33"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0" t="n">
        <v>0.022</v>
      </c>
      <c r="J1194" s="31"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2" t="n">
        <v>0.044</v>
      </c>
      <c r="J1195" s="33"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0" t="n">
        <v>0.044</v>
      </c>
      <c r="J1196" s="31"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2" t="n">
        <v>0.006</v>
      </c>
      <c r="J1197" s="33"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0" t="n">
        <v>0.022</v>
      </c>
      <c r="J1198" s="31"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2" t="n">
        <v>0.022</v>
      </c>
      <c r="J1199" s="33"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0" t="n">
        <v>0.022</v>
      </c>
      <c r="J1200" s="31"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2" t="n">
        <v>0.022</v>
      </c>
      <c r="J1201" s="33"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0" t="n">
        <v>0.015</v>
      </c>
      <c r="J1202" s="31"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2" t="n">
        <v>0.5</v>
      </c>
      <c r="J1203" s="33"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0" t="n">
        <v>0.75</v>
      </c>
      <c r="J1204" s="31"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2" t="n">
        <v>0.5</v>
      </c>
      <c r="J1205" s="33"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0" t="n">
        <v>1</v>
      </c>
      <c r="J1206" s="31"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2" t="n">
        <v>1.5</v>
      </c>
      <c r="J1207" s="33"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0" t="n">
        <v>0.5</v>
      </c>
      <c r="J1208" s="31"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2" t="n">
        <v>1</v>
      </c>
      <c r="J1209" s="33"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0" t="n">
        <v>1.5</v>
      </c>
      <c r="J1210" s="31"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2" t="n">
        <v>0.45</v>
      </c>
      <c r="J1211" s="33"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0" t="n">
        <v>0.6</v>
      </c>
      <c r="J1212" s="31"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2" t="n">
        <v>0.8</v>
      </c>
      <c r="J1213" s="33"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0" t="n">
        <v>0.45</v>
      </c>
      <c r="J1214" s="31"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2" t="n">
        <v>0.6</v>
      </c>
      <c r="J1215" s="33"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0" t="n">
        <v>0.8</v>
      </c>
      <c r="J1216" s="31"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2" t="n">
        <v>0.86</v>
      </c>
      <c r="J1217" s="33"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0" t="n">
        <v>0.5</v>
      </c>
      <c r="J1218" s="31"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2" t="n">
        <v>1.7926</v>
      </c>
      <c r="J1219" s="33"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0" t="n">
        <v>0.037</v>
      </c>
      <c r="J1220" s="31"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2" t="n">
        <v>0.271</v>
      </c>
      <c r="J1221" s="33"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0" t="n">
        <v>0.1355</v>
      </c>
      <c r="J1222" s="31"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2" t="n">
        <v>0.271</v>
      </c>
      <c r="J1223" s="33"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0" t="n">
        <v>0.2464</v>
      </c>
      <c r="J1224" s="31"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2" t="n">
        <v>0.0336</v>
      </c>
      <c r="J1225" s="33"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0" t="n">
        <v>0.1232</v>
      </c>
      <c r="J1226" s="31"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2" t="n">
        <v>0.1232</v>
      </c>
      <c r="J1227" s="33"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0" t="n">
        <v>0.1232</v>
      </c>
      <c r="J1228" s="31"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2" t="n">
        <v>0.1232</v>
      </c>
      <c r="J1229" s="33"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0" t="n">
        <v>0.95</v>
      </c>
      <c r="J1230" s="31"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2" t="n">
        <v>0.07000000000000001</v>
      </c>
      <c r="J1231" s="33"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0" t="n">
        <v>0.07000000000000001</v>
      </c>
      <c r="J1232" s="31"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2" t="n">
        <v>0.07000000000000001</v>
      </c>
      <c r="J1233" s="33"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0" t="n">
        <v>0.07000000000000001</v>
      </c>
      <c r="J1234" s="31"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2" t="n">
        <v>7.62</v>
      </c>
      <c r="J1235" s="33"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0" t="n">
        <v>5.07</v>
      </c>
      <c r="J1236" s="31"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2" t="n">
        <v>7.62</v>
      </c>
      <c r="J1237" s="33"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0" t="n">
        <v>5.07</v>
      </c>
      <c r="J1238" s="31"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2" t="n">
        <v>0.375</v>
      </c>
      <c r="J1239" s="33"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0" t="n">
        <v>4</v>
      </c>
      <c r="J1240" s="31"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2" t="n">
        <v>0.02</v>
      </c>
      <c r="J1241" s="33"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0" t="n">
        <v>0.02</v>
      </c>
      <c r="J1242" s="31"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2" t="n">
        <v>0.25</v>
      </c>
      <c r="J1243" s="33"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0" t="n">
        <v>0.15</v>
      </c>
      <c r="J1244" s="31"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2" t="n">
        <v>7.7</v>
      </c>
      <c r="J1245" s="33"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0" t="n">
        <v>7.7</v>
      </c>
      <c r="J1246" s="31"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2" t="n">
        <v>7.7</v>
      </c>
      <c r="J1247" s="33"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0" t="n">
        <v>7.7</v>
      </c>
      <c r="J1248" s="31"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2" t="n">
        <v>0.335</v>
      </c>
      <c r="J1249" s="33"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0" t="n">
        <v>0.335</v>
      </c>
      <c r="J1250" s="31"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2" t="n">
        <v>0.335</v>
      </c>
      <c r="J1251" s="33"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0" t="n">
        <v>0.335</v>
      </c>
      <c r="J1252" s="31"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2" t="n">
        <v>0.335</v>
      </c>
      <c r="J1253" s="33"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0" t="n">
        <v>0.165</v>
      </c>
      <c r="J1254" s="31"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2" t="n">
        <v>0.135</v>
      </c>
      <c r="J1255" s="33"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0" t="n">
        <v>0.67</v>
      </c>
      <c r="J1256" s="31"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2" t="n">
        <v>0.67</v>
      </c>
      <c r="J1257" s="33"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0" t="n">
        <v>0.67</v>
      </c>
      <c r="J1258" s="31"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2" t="n">
        <v>0.67</v>
      </c>
      <c r="J1259" s="33"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0" t="n">
        <v>0.67</v>
      </c>
      <c r="J1260" s="31"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2" t="n">
        <v>0.33</v>
      </c>
      <c r="J1261" s="33"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0" t="n">
        <v>0.27</v>
      </c>
      <c r="J1262" s="31"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2" t="n">
        <v>0.48</v>
      </c>
      <c r="J1263" s="33"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0" t="n">
        <v>0.2</v>
      </c>
      <c r="J1264" s="31"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2" t="n">
        <v>0.2</v>
      </c>
      <c r="J1265" s="33"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0" t="n">
        <v>0.72</v>
      </c>
      <c r="J1266" s="31"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2" t="n">
        <v>0.3</v>
      </c>
      <c r="J1267" s="33"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0" t="n">
        <v>0.3</v>
      </c>
      <c r="J1268" s="31"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2" t="n">
        <v>0.48</v>
      </c>
      <c r="J1269" s="33"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0" t="n">
        <v>0.2</v>
      </c>
      <c r="J1270" s="31"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2" t="n">
        <v>0.2</v>
      </c>
      <c r="J1271" s="33"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0" t="n">
        <v>1.44</v>
      </c>
      <c r="J1272" s="31"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2" t="n">
        <v>0.6</v>
      </c>
      <c r="J1273" s="33"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0" t="n">
        <v>0.6</v>
      </c>
      <c r="J1274" s="31"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2" t="n">
        <v>1.5</v>
      </c>
      <c r="J1275" s="33"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0" t="n">
        <v>2</v>
      </c>
      <c r="J1276" s="31"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2" t="n">
        <v>2.5</v>
      </c>
      <c r="J1277" s="33"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0" t="n">
        <v>3.5</v>
      </c>
      <c r="J1278" s="31"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2" t="n">
        <v>0.3</v>
      </c>
      <c r="J1279" s="33"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0" t="n">
        <v>0.3</v>
      </c>
      <c r="J1280" s="31"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2" t="n">
        <v>0.4</v>
      </c>
      <c r="J1281" s="33"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0" t="n">
        <v>0.4</v>
      </c>
      <c r="J1282" s="31"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2" t="n">
        <v>1</v>
      </c>
      <c r="J1283" s="33"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0" t="n">
        <v>2.5</v>
      </c>
      <c r="J1284" s="31"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2" t="n">
        <v>1.5</v>
      </c>
      <c r="J1285" s="33"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0" t="n">
        <v>0.25</v>
      </c>
      <c r="J1286" s="31"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2" t="n">
        <v>0.25</v>
      </c>
      <c r="J1287" s="33"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0" t="n">
        <v>0.25</v>
      </c>
      <c r="J1288" s="31"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2" t="n">
        <v>0.25</v>
      </c>
      <c r="J1289" s="33"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0" t="n">
        <v>0.25</v>
      </c>
      <c r="J1290" s="31"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2" t="n">
        <v>0.25</v>
      </c>
      <c r="J1291" s="33"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0" t="n">
        <v>1</v>
      </c>
      <c r="J1292" s="31"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2" t="n">
        <v>1</v>
      </c>
      <c r="J1293" s="33"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0" t="n">
        <v>1</v>
      </c>
      <c r="J1294" s="31"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2" t="n">
        <v>1</v>
      </c>
      <c r="J1295" s="33"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0" t="n">
        <v>0.335</v>
      </c>
      <c r="J1296" s="31"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2" t="n">
        <v>0.335</v>
      </c>
      <c r="J1297" s="33"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0" t="n">
        <v>0.335</v>
      </c>
      <c r="J1298" s="31"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2" t="n">
        <v>0.335</v>
      </c>
      <c r="J1299" s="33"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0" t="n">
        <v>0.335</v>
      </c>
      <c r="J1300" s="31"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2" t="n">
        <v>0.165</v>
      </c>
      <c r="J1301" s="33"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0" t="n">
        <v>0.135</v>
      </c>
      <c r="J1302" s="31"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2" t="n">
        <v>1.35</v>
      </c>
      <c r="J1303" s="33"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0" t="n">
        <v>0.032</v>
      </c>
      <c r="J1304" s="31"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2" t="n">
        <v>0.224</v>
      </c>
      <c r="J1305" s="33"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0" t="n">
        <v>0.112</v>
      </c>
      <c r="J1306" s="31"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2" t="n">
        <v>0.224</v>
      </c>
      <c r="J1307" s="33"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0" t="n">
        <v>0.448</v>
      </c>
      <c r="J1308" s="31"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2" t="n">
        <v>0.336</v>
      </c>
      <c r="J1309" s="33"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0" t="n">
        <v>0.336</v>
      </c>
      <c r="J1310" s="31"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2" t="n">
        <v>0.336</v>
      </c>
      <c r="J1311" s="33"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0" t="n">
        <v>0.336</v>
      </c>
      <c r="J1312" s="31"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2" t="n">
        <v>1.35</v>
      </c>
      <c r="J1313" s="33"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0" t="n">
        <v>0.032</v>
      </c>
      <c r="J1314" s="31"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2" t="n">
        <v>0.224</v>
      </c>
      <c r="J1315" s="33"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0" t="n">
        <v>0.112</v>
      </c>
      <c r="J1316" s="31"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2" t="n">
        <v>0.224</v>
      </c>
      <c r="J1317" s="33"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0" t="n">
        <v>0.448</v>
      </c>
      <c r="J1318" s="31"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2" t="n">
        <v>0.336</v>
      </c>
      <c r="J1319" s="33"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0" t="n">
        <v>0.336</v>
      </c>
      <c r="J1320" s="31"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2" t="n">
        <v>0.336</v>
      </c>
      <c r="J1321" s="33"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0" t="n">
        <v>0.336</v>
      </c>
      <c r="J1322" s="31"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2" t="n">
        <v>1.35</v>
      </c>
      <c r="J1323" s="33"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0" t="n">
        <v>0.032</v>
      </c>
      <c r="J1324" s="31"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2" t="n">
        <v>0.224</v>
      </c>
      <c r="J1325" s="33"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0" t="n">
        <v>0.112</v>
      </c>
      <c r="J1326" s="31"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2" t="n">
        <v>0.224</v>
      </c>
      <c r="J1327" s="33"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0" t="n">
        <v>0.448</v>
      </c>
      <c r="J1328" s="31"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2" t="n">
        <v>0.336</v>
      </c>
      <c r="J1329" s="33"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0" t="n">
        <v>0.336</v>
      </c>
      <c r="J1330" s="31"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2" t="n">
        <v>0.336</v>
      </c>
      <c r="J1331" s="33"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0" t="n">
        <v>0.336</v>
      </c>
      <c r="J1332" s="31"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2" t="n">
        <v>1.35</v>
      </c>
      <c r="J1333" s="33"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0" t="n">
        <v>0.032</v>
      </c>
      <c r="J1334" s="31"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2" t="n">
        <v>0.224</v>
      </c>
      <c r="J1335" s="33"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0" t="n">
        <v>0.112</v>
      </c>
      <c r="J1336" s="31"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2" t="n">
        <v>0.224</v>
      </c>
      <c r="J1337" s="33"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0" t="n">
        <v>0.448</v>
      </c>
      <c r="J1338" s="31"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2" t="n">
        <v>0.336</v>
      </c>
      <c r="J1339" s="33"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0" t="n">
        <v>0.336</v>
      </c>
      <c r="J1340" s="31"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2" t="n">
        <v>0.336</v>
      </c>
      <c r="J1341" s="33"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0" t="n">
        <v>0.336</v>
      </c>
      <c r="J1342" s="31"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2" t="n">
        <v>1.35</v>
      </c>
      <c r="J1343" s="33"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0" t="n">
        <v>0.032</v>
      </c>
      <c r="J1344" s="31"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2" t="n">
        <v>0.224</v>
      </c>
      <c r="J1345" s="33"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0" t="n">
        <v>0.112</v>
      </c>
      <c r="J1346" s="31"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2" t="n">
        <v>0.224</v>
      </c>
      <c r="J1347" s="33"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0" t="n">
        <v>0.448</v>
      </c>
      <c r="J1348" s="31"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2" t="n">
        <v>0.336</v>
      </c>
      <c r="J1349" s="33"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0" t="n">
        <v>0.336</v>
      </c>
      <c r="J1350" s="31"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2" t="n">
        <v>0.336</v>
      </c>
      <c r="J1351" s="33"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0" t="n">
        <v>0.336</v>
      </c>
      <c r="J1352" s="31"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2" t="n">
        <v>2.7</v>
      </c>
      <c r="J1353" s="33"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0" t="n">
        <v>0.064</v>
      </c>
      <c r="J1354" s="31"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2" t="n">
        <v>0.448</v>
      </c>
      <c r="J1355" s="33"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0" t="n">
        <v>0.224</v>
      </c>
      <c r="J1356" s="31"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2" t="n">
        <v>0.448</v>
      </c>
      <c r="J1357" s="33"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0" t="n">
        <v>0.448</v>
      </c>
      <c r="J1358" s="31"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2" t="n">
        <v>0.336</v>
      </c>
      <c r="J1359" s="33"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0" t="n">
        <v>0.336</v>
      </c>
      <c r="J1360" s="31"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2" t="n">
        <v>0.336</v>
      </c>
      <c r="J1361" s="33"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0" t="n">
        <v>0.336</v>
      </c>
      <c r="J1362" s="31"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2" t="n">
        <v>2.7</v>
      </c>
      <c r="J1363" s="33"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0" t="n">
        <v>0.064</v>
      </c>
      <c r="J1364" s="31"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2" t="n">
        <v>0.448</v>
      </c>
      <c r="J1365" s="33"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0" t="n">
        <v>0.224</v>
      </c>
      <c r="J1366" s="31"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2" t="n">
        <v>0.448</v>
      </c>
      <c r="J1367" s="33"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0" t="n">
        <v>0.448</v>
      </c>
      <c r="J1368" s="31"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2" t="n">
        <v>0.336</v>
      </c>
      <c r="J1369" s="33"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0" t="n">
        <v>0.336</v>
      </c>
      <c r="J1370" s="31"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2" t="n">
        <v>0.336</v>
      </c>
      <c r="J1371" s="33"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0" t="n">
        <v>0.336</v>
      </c>
      <c r="J1372" s="31"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2" t="n">
        <v>2.7</v>
      </c>
      <c r="J1373" s="33"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0" t="n">
        <v>0.064</v>
      </c>
      <c r="J1374" s="31"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2" t="n">
        <v>0.448</v>
      </c>
      <c r="J1375" s="33"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0" t="n">
        <v>0.224</v>
      </c>
      <c r="J1376" s="31"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2" t="n">
        <v>0.448</v>
      </c>
      <c r="J1377" s="33"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0" t="n">
        <v>0.448</v>
      </c>
      <c r="J1378" s="31"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2" t="n">
        <v>0.336</v>
      </c>
      <c r="J1379" s="33"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0" t="n">
        <v>0.336</v>
      </c>
      <c r="J1380" s="31"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2" t="n">
        <v>0.336</v>
      </c>
      <c r="J1381" s="33"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0" t="n">
        <v>0.336</v>
      </c>
      <c r="J1382" s="31"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2" t="n">
        <v>2.7</v>
      </c>
      <c r="J1383" s="33"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0" t="n">
        <v>0.064</v>
      </c>
      <c r="J1384" s="31"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2" t="n">
        <v>0.448</v>
      </c>
      <c r="J1385" s="33"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0" t="n">
        <v>0.224</v>
      </c>
      <c r="J1386" s="31"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2" t="n">
        <v>0.448</v>
      </c>
      <c r="J1387" s="33"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0" t="n">
        <v>0.448</v>
      </c>
      <c r="J1388" s="31"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2" t="n">
        <v>0.336</v>
      </c>
      <c r="J1389" s="33"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0" t="n">
        <v>0.336</v>
      </c>
      <c r="J1390" s="31"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2" t="n">
        <v>0.336</v>
      </c>
      <c r="J1391" s="33"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0" t="n">
        <v>0.336</v>
      </c>
      <c r="J1392" s="31"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2" t="n">
        <v>2.7</v>
      </c>
      <c r="J1393" s="33"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0" t="n">
        <v>0.064</v>
      </c>
      <c r="J1394" s="31"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2" t="n">
        <v>0.448</v>
      </c>
      <c r="J1395" s="33"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0" t="n">
        <v>0.224</v>
      </c>
      <c r="J1396" s="31"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2" t="n">
        <v>0.448</v>
      </c>
      <c r="J1397" s="33"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0" t="n">
        <v>0.448</v>
      </c>
      <c r="J1398" s="31"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2" t="n">
        <v>0.336</v>
      </c>
      <c r="J1399" s="33"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0" t="n">
        <v>0.336</v>
      </c>
      <c r="J1400" s="31"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2" t="n">
        <v>0.336</v>
      </c>
      <c r="J1401" s="33"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0" t="n">
        <v>0.336</v>
      </c>
      <c r="J1402" s="31"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2" t="n">
        <v>1.35</v>
      </c>
      <c r="J1403" s="33"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0" t="n">
        <v>0.032</v>
      </c>
      <c r="J1404" s="31"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2" t="n">
        <v>0.224</v>
      </c>
      <c r="J1405" s="33"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0" t="n">
        <v>0.112</v>
      </c>
      <c r="J1406" s="31"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2" t="n">
        <v>0.224</v>
      </c>
      <c r="J1407" s="33"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0" t="n">
        <v>0.448</v>
      </c>
      <c r="J1408" s="31"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2" t="n">
        <v>0.336</v>
      </c>
      <c r="J1409" s="33"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0" t="n">
        <v>0.336</v>
      </c>
      <c r="J1410" s="31"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2" t="n">
        <v>0.336</v>
      </c>
      <c r="J1411" s="33"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0" t="n">
        <v>0.336</v>
      </c>
      <c r="J1412" s="31"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2" t="n">
        <v>1.35</v>
      </c>
      <c r="J1413" s="33"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0" t="n">
        <v>0.032</v>
      </c>
      <c r="J1414" s="31"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2" t="n">
        <v>0.224</v>
      </c>
      <c r="J1415" s="33"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0" t="n">
        <v>0.112</v>
      </c>
      <c r="J1416" s="31"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2" t="n">
        <v>0.224</v>
      </c>
      <c r="J1417" s="33"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0" t="n">
        <v>0.448</v>
      </c>
      <c r="J1418" s="31"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2" t="n">
        <v>0.336</v>
      </c>
      <c r="J1419" s="33"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0" t="n">
        <v>0.336</v>
      </c>
      <c r="J1420" s="31"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2" t="n">
        <v>0.336</v>
      </c>
      <c r="J1421" s="33"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0" t="n">
        <v>0.336</v>
      </c>
      <c r="J1422" s="31"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2" t="n">
        <v>1.35</v>
      </c>
      <c r="J1423" s="33"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0" t="n">
        <v>0.032</v>
      </c>
      <c r="J1424" s="31"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2" t="n">
        <v>0.224</v>
      </c>
      <c r="J1425" s="33"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0" t="n">
        <v>0.112</v>
      </c>
      <c r="J1426" s="31"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2" t="n">
        <v>0.224</v>
      </c>
      <c r="J1427" s="33"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0" t="n">
        <v>0.448</v>
      </c>
      <c r="J1428" s="31"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2" t="n">
        <v>0.336</v>
      </c>
      <c r="J1429" s="33"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0" t="n">
        <v>0.336</v>
      </c>
      <c r="J1430" s="31"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2" t="n">
        <v>0.336</v>
      </c>
      <c r="J1431" s="33"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0" t="n">
        <v>0.336</v>
      </c>
      <c r="J1432" s="31"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2" t="n">
        <v>1.35</v>
      </c>
      <c r="J1433" s="33"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0" t="n">
        <v>0.032</v>
      </c>
      <c r="J1434" s="31"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2" t="n">
        <v>0.224</v>
      </c>
      <c r="J1435" s="33"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0" t="n">
        <v>0.112</v>
      </c>
      <c r="J1436" s="31"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2" t="n">
        <v>0.224</v>
      </c>
      <c r="J1437" s="33"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0" t="n">
        <v>0.448</v>
      </c>
      <c r="J1438" s="31"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2" t="n">
        <v>0.336</v>
      </c>
      <c r="J1439" s="33"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0" t="n">
        <v>0.336</v>
      </c>
      <c r="J1440" s="31"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2" t="n">
        <v>0.336</v>
      </c>
      <c r="J1441" s="33"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0" t="n">
        <v>0.336</v>
      </c>
      <c r="J1442" s="31"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2" t="n">
        <v>1.35</v>
      </c>
      <c r="J1443" s="33"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0" t="n">
        <v>0.032</v>
      </c>
      <c r="J1444" s="31"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2" t="n">
        <v>0.224</v>
      </c>
      <c r="J1445" s="33"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0" t="n">
        <v>0.112</v>
      </c>
      <c r="J1446" s="31"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2" t="n">
        <v>0.224</v>
      </c>
      <c r="J1447" s="33"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0" t="n">
        <v>0.448</v>
      </c>
      <c r="J1448" s="31"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2" t="n">
        <v>0.336</v>
      </c>
      <c r="J1449" s="33"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0" t="n">
        <v>0.336</v>
      </c>
      <c r="J1450" s="31"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2" t="n">
        <v>0.336</v>
      </c>
      <c r="J1451" s="33"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0" t="n">
        <v>0.336</v>
      </c>
      <c r="J1452" s="31"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2" t="n">
        <v>2.7</v>
      </c>
      <c r="J1453" s="33"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0" t="n">
        <v>0.064</v>
      </c>
      <c r="J1454" s="31"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2" t="n">
        <v>0.448</v>
      </c>
      <c r="J1455" s="33"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0" t="n">
        <v>0.224</v>
      </c>
      <c r="J1456" s="31"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2" t="n">
        <v>0.448</v>
      </c>
      <c r="J1457" s="33"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0" t="n">
        <v>0.448</v>
      </c>
      <c r="J1458" s="31"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2" t="n">
        <v>0.336</v>
      </c>
      <c r="J1459" s="33"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0" t="n">
        <v>0.336</v>
      </c>
      <c r="J1460" s="31"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2" t="n">
        <v>0.336</v>
      </c>
      <c r="J1461" s="33"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0" t="n">
        <v>0.336</v>
      </c>
      <c r="J1462" s="31"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2" t="n">
        <v>2.7</v>
      </c>
      <c r="J1463" s="33"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0" t="n">
        <v>0.064</v>
      </c>
      <c r="J1464" s="31"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2" t="n">
        <v>0.448</v>
      </c>
      <c r="J1465" s="33"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0" t="n">
        <v>0.224</v>
      </c>
      <c r="J1466" s="31"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2" t="n">
        <v>0.448</v>
      </c>
      <c r="J1467" s="33"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0" t="n">
        <v>0.448</v>
      </c>
      <c r="J1468" s="31"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2" t="n">
        <v>0.336</v>
      </c>
      <c r="J1469" s="33"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0" t="n">
        <v>0.336</v>
      </c>
      <c r="J1470" s="31"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2" t="n">
        <v>0.336</v>
      </c>
      <c r="J1471" s="33"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0" t="n">
        <v>0.336</v>
      </c>
      <c r="J1472" s="31"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2" t="n">
        <v>2.7</v>
      </c>
      <c r="J1473" s="33"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0" t="n">
        <v>0.064</v>
      </c>
      <c r="J1474" s="31"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2" t="n">
        <v>0.448</v>
      </c>
      <c r="J1475" s="33"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0" t="n">
        <v>0.224</v>
      </c>
      <c r="J1476" s="31"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2" t="n">
        <v>0.448</v>
      </c>
      <c r="J1477" s="33"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0" t="n">
        <v>0.448</v>
      </c>
      <c r="J1478" s="31"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2" t="n">
        <v>0.336</v>
      </c>
      <c r="J1479" s="33"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0" t="n">
        <v>0.336</v>
      </c>
      <c r="J1480" s="31"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2" t="n">
        <v>0.336</v>
      </c>
      <c r="J1481" s="33"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0" t="n">
        <v>0.336</v>
      </c>
      <c r="J1482" s="31"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2" t="n">
        <v>2.7</v>
      </c>
      <c r="J1483" s="33"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0" t="n">
        <v>0.064</v>
      </c>
      <c r="J1484" s="31"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2" t="n">
        <v>0.448</v>
      </c>
      <c r="J1485" s="33"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0" t="n">
        <v>0.224</v>
      </c>
      <c r="J1486" s="31"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2" t="n">
        <v>0.448</v>
      </c>
      <c r="J1487" s="33"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0" t="n">
        <v>0.448</v>
      </c>
      <c r="J1488" s="31"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2" t="n">
        <v>0.336</v>
      </c>
      <c r="J1489" s="33"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0" t="n">
        <v>0.336</v>
      </c>
      <c r="J1490" s="31"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2" t="n">
        <v>0.336</v>
      </c>
      <c r="J1491" s="33"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0" t="n">
        <v>0.336</v>
      </c>
      <c r="J1492" s="31"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2" t="n">
        <v>2.7</v>
      </c>
      <c r="J1493" s="33"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0" t="n">
        <v>0.064</v>
      </c>
      <c r="J1494" s="31"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2" t="n">
        <v>0.448</v>
      </c>
      <c r="J1495" s="33"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0" t="n">
        <v>0.224</v>
      </c>
      <c r="J1496" s="31"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2" t="n">
        <v>0.448</v>
      </c>
      <c r="J1497" s="33"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0" t="n">
        <v>0.448</v>
      </c>
      <c r="J1498" s="31"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2" t="n">
        <v>0.336</v>
      </c>
      <c r="J1499" s="33"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0" t="n">
        <v>0.336</v>
      </c>
      <c r="J1500" s="31"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2" t="n">
        <v>0.336</v>
      </c>
      <c r="J1501" s="33"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0" t="n">
        <v>0.336</v>
      </c>
      <c r="J1502" s="31"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2" t="n">
        <v>0.448</v>
      </c>
      <c r="J1503" s="33"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0" t="n">
        <v>0.336</v>
      </c>
      <c r="J1504" s="31"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2" t="n">
        <v>0.336</v>
      </c>
      <c r="J1505" s="33"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0" t="n">
        <v>0.336</v>
      </c>
      <c r="J1506" s="31"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2" t="n">
        <v>0.336</v>
      </c>
      <c r="J1507" s="33"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0" t="n">
        <v>0.448</v>
      </c>
      <c r="J1508" s="31"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2" t="n">
        <v>0.336</v>
      </c>
      <c r="J1509" s="33"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0" t="n">
        <v>0.336</v>
      </c>
      <c r="J1510" s="31"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2" t="n">
        <v>0.336</v>
      </c>
      <c r="J1511" s="33"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0" t="n">
        <v>0.336</v>
      </c>
      <c r="J1512" s="31"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2" t="n">
        <v>0.25</v>
      </c>
      <c r="J1513" s="33"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0" t="n">
        <v>0.25</v>
      </c>
      <c r="J1514" s="31"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2" t="n">
        <v>0.5</v>
      </c>
      <c r="J1515" s="33"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0" t="n">
        <v>0.03</v>
      </c>
      <c r="J1516" s="31"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2" t="n">
        <v>6.5</v>
      </c>
      <c r="J1517" s="33"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0" t="n">
        <v>6.5</v>
      </c>
      <c r="J1518" s="31"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2" t="n">
        <v>4.3</v>
      </c>
      <c r="J1519" s="33"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0" t="n">
        <v>10.8</v>
      </c>
      <c r="J1520" s="31"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2" t="n">
        <v>0.3</v>
      </c>
      <c r="J1521" s="33"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0" t="n">
        <v>0.3</v>
      </c>
      <c r="J1522" s="31"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2" t="n">
        <v>0.15</v>
      </c>
      <c r="J1523" s="33"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0" t="n">
        <v>0.448</v>
      </c>
      <c r="J1524" s="31"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2" t="n">
        <v>0.336</v>
      </c>
      <c r="J1525" s="33"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0" t="n">
        <v>0.336</v>
      </c>
      <c r="J1526" s="31"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2" t="n">
        <v>0.336</v>
      </c>
      <c r="J1527" s="33"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0" t="n">
        <v>0.448</v>
      </c>
      <c r="J1528" s="31"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2" t="n">
        <v>0.336</v>
      </c>
      <c r="J1529" s="33"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0" t="n">
        <v>0.336</v>
      </c>
      <c r="J1530" s="31"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2" t="n">
        <v>0.336</v>
      </c>
      <c r="J1531" s="33"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0" t="n">
        <v>0.26</v>
      </c>
      <c r="J1532" s="31"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2" t="n">
        <v>0.26</v>
      </c>
      <c r="J1533" s="33"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0" t="n">
        <v>2</v>
      </c>
      <c r="J1534" s="31"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2" t="n">
        <v>1.34</v>
      </c>
      <c r="J1535" s="33"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0" t="n">
        <v>0.67</v>
      </c>
      <c r="J1536" s="31"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2" t="n">
        <v>4.92</v>
      </c>
      <c r="J1537" s="33"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0" t="n">
        <v>0.1</v>
      </c>
      <c r="J1538" s="31"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2" t="n">
        <v>1</v>
      </c>
      <c r="J1539" s="33"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0" t="n">
        <v>1.1</v>
      </c>
      <c r="J1540" s="31"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2" t="n">
        <v>0.75</v>
      </c>
      <c r="J1541" s="33"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0" t="n">
        <v>0.75</v>
      </c>
      <c r="J1542" s="31"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2" t="n">
        <v>0.75</v>
      </c>
      <c r="J1543" s="33"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0" t="n">
        <v>2.15</v>
      </c>
      <c r="J1544" s="31"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2" t="n">
        <v>1.62</v>
      </c>
      <c r="J1545" s="33"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0" t="n">
        <v>2.15</v>
      </c>
      <c r="J1546" s="31"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2" t="n">
        <v>1.62</v>
      </c>
      <c r="J1547" s="33"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0" t="n">
        <v>1.08</v>
      </c>
      <c r="J1548" s="31"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2" t="n">
        <v>0.8</v>
      </c>
      <c r="J1549" s="33"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0" t="n">
        <v>1.08</v>
      </c>
      <c r="J1550" s="31"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2" t="n">
        <v>1.08</v>
      </c>
      <c r="J1551" s="33"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0" t="n">
        <v>0.8</v>
      </c>
      <c r="J1552" s="31"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2" t="n">
        <v>1.08</v>
      </c>
      <c r="J1553" s="33"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0" t="n">
        <v>1.28</v>
      </c>
      <c r="J1554" s="31"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2" t="n">
        <v>1.43</v>
      </c>
      <c r="J1555" s="33"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0" t="n">
        <v>1.28</v>
      </c>
      <c r="J1556" s="31"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2" t="n">
        <v>1.43</v>
      </c>
      <c r="J1557" s="33"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0" t="n">
        <v>1.28</v>
      </c>
      <c r="J1558" s="31"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2" t="n">
        <v>1.43</v>
      </c>
      <c r="J1559" s="33"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0" t="n">
        <v>1</v>
      </c>
      <c r="J1560" s="31"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2" t="n">
        <v>0.25</v>
      </c>
      <c r="J1561" s="33"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0" t="n">
        <v>3.8</v>
      </c>
      <c r="J1562" s="31"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2" t="n">
        <v>4.6</v>
      </c>
      <c r="J1563" s="33"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0" t="n">
        <v>0.6</v>
      </c>
      <c r="J1564" s="31"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2" t="n">
        <v>3.8</v>
      </c>
      <c r="J1565" s="33"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0" t="n">
        <v>4.6</v>
      </c>
      <c r="J1566" s="31"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2" t="n">
        <v>0.6</v>
      </c>
      <c r="J1567" s="33"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0" t="n">
        <v>0.77</v>
      </c>
      <c r="J1568" s="31"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2" t="n">
        <v>0.86</v>
      </c>
      <c r="J1569" s="33"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0" t="n">
        <v>0.77</v>
      </c>
      <c r="J1570" s="31"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2" t="n">
        <v>0.86</v>
      </c>
      <c r="J1571" s="33"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0" t="n">
        <v>0.25</v>
      </c>
      <c r="J1572" s="31"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2" t="n">
        <v>0.25</v>
      </c>
      <c r="J1573" s="33"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0" t="n">
        <v>0.72</v>
      </c>
      <c r="J1574" s="31"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2" t="n">
        <v>0.07000000000000001</v>
      </c>
      <c r="J1575" s="33"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0" t="n">
        <v>0.72</v>
      </c>
      <c r="J1576" s="31"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2" t="n">
        <v>0.07000000000000001</v>
      </c>
      <c r="J1577" s="33"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0" t="n">
        <v>0.72</v>
      </c>
      <c r="J1578" s="31"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2" t="n">
        <v>0.07000000000000001</v>
      </c>
      <c r="J1579" s="33"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0" t="n">
        <v>0.2</v>
      </c>
      <c r="J1580" s="31"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2" t="n">
        <v>0.2</v>
      </c>
      <c r="J1581" s="33"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0" t="n">
        <v>0.2</v>
      </c>
      <c r="J1582" s="31"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2" t="n">
        <v>1</v>
      </c>
      <c r="J1583" s="33"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0" t="n">
        <v>1</v>
      </c>
      <c r="J1584" s="31"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2" t="n">
        <v>1</v>
      </c>
      <c r="J1585" s="33"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0" t="n">
        <v>1</v>
      </c>
      <c r="J1586" s="31"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2" t="n">
        <v>0.07199999999999999</v>
      </c>
      <c r="J1587" s="33"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0" t="n">
        <v>0.007</v>
      </c>
      <c r="J1588" s="31"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2" t="n">
        <v>0.07199999999999999</v>
      </c>
      <c r="J1589" s="33"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0" t="n">
        <v>0.007</v>
      </c>
      <c r="J1590" s="31"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2" t="n">
        <v>0.07199999999999999</v>
      </c>
      <c r="J1591" s="33"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0" t="n">
        <v>0.007</v>
      </c>
      <c r="J1592" s="31"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2" t="n">
        <v>1.83</v>
      </c>
      <c r="J1593" s="33"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0" t="n">
        <v>0.76</v>
      </c>
      <c r="J1594" s="31"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2" t="n">
        <v>1.83</v>
      </c>
      <c r="J1595" s="33"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0" t="n">
        <v>0.76</v>
      </c>
      <c r="J1596" s="31"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2" t="n">
        <v>1.83</v>
      </c>
      <c r="J1597" s="33"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0" t="n">
        <v>0.76</v>
      </c>
      <c r="J1598" s="31"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2" t="n">
        <v>1.83</v>
      </c>
      <c r="J1599" s="33"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0" t="n">
        <v>0.76</v>
      </c>
      <c r="J1600" s="31"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2" t="n">
        <v>1.83</v>
      </c>
      <c r="J1601" s="33"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0" t="n">
        <v>0.76</v>
      </c>
      <c r="J1602" s="31"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2" t="n">
        <v>1.83</v>
      </c>
      <c r="J1603" s="33"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0" t="n">
        <v>0.76</v>
      </c>
      <c r="J1604" s="31"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2" t="n">
        <v>0.52</v>
      </c>
      <c r="J1605" s="33"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0" t="n">
        <v>0.6</v>
      </c>
      <c r="J1606" s="31"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2" t="n">
        <v>0.52</v>
      </c>
      <c r="J1607" s="33"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0" t="n">
        <v>0.6</v>
      </c>
      <c r="J1608" s="31"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2" t="n">
        <v>0.52</v>
      </c>
      <c r="J1609" s="33"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0" t="n">
        <v>0.6</v>
      </c>
      <c r="J1610" s="31"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2" t="n">
        <v>0.57</v>
      </c>
      <c r="J1611" s="33"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0" t="n">
        <v>0.57</v>
      </c>
      <c r="J1612" s="31"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2" t="n">
        <v>0.57</v>
      </c>
      <c r="J1613" s="33"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0" t="n">
        <v>0.57</v>
      </c>
      <c r="J1614" s="31"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2" t="n">
        <v>0.57</v>
      </c>
      <c r="J1615" s="33"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0" t="n">
        <v>0.57</v>
      </c>
      <c r="J1616" s="31"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2" t="n">
        <v>0.57</v>
      </c>
      <c r="J1617" s="33"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0" t="n">
        <v>0.57</v>
      </c>
      <c r="J1618" s="31"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2" t="n">
        <v>0.57</v>
      </c>
      <c r="J1619" s="33"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0" t="n">
        <v>0.57</v>
      </c>
      <c r="J1620" s="31"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2" t="n">
        <v>0.57</v>
      </c>
      <c r="J1621" s="33"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0" t="n">
        <v>0.15</v>
      </c>
      <c r="J1622" s="31"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2" t="n">
        <v>0.15</v>
      </c>
      <c r="J1623" s="33"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0" t="n">
        <v>0.57</v>
      </c>
      <c r="J1624" s="31"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2" t="n">
        <v>0.15</v>
      </c>
      <c r="J1625" s="33"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0" t="n">
        <v>0.15</v>
      </c>
      <c r="J1626" s="31"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2" t="n">
        <v>0.57</v>
      </c>
      <c r="J1627" s="33"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0" t="n">
        <v>1.83</v>
      </c>
      <c r="J1628" s="31"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2" t="n">
        <v>0.23</v>
      </c>
      <c r="J1629" s="33"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0" t="n">
        <v>0.77</v>
      </c>
      <c r="J1630" s="31"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2" t="n">
        <v>1.83</v>
      </c>
      <c r="J1631" s="33"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0" t="n">
        <v>0.23</v>
      </c>
      <c r="J1632" s="31"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2" t="n">
        <v>0.77</v>
      </c>
      <c r="J1633" s="33"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0" t="n">
        <v>1.83</v>
      </c>
      <c r="J1634" s="31"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2" t="n">
        <v>0.23</v>
      </c>
      <c r="J1635" s="33"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0" t="n">
        <v>0.77</v>
      </c>
      <c r="J1636" s="31"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2" t="n">
        <v>1.83</v>
      </c>
      <c r="J1637" s="33"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0" t="n">
        <v>0.23</v>
      </c>
      <c r="J1638" s="31"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2" t="n">
        <v>0.77</v>
      </c>
      <c r="J1639" s="33"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0" t="n">
        <v>1.83</v>
      </c>
      <c r="J1640" s="31"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2" t="n">
        <v>0.23</v>
      </c>
      <c r="J1641" s="33"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0" t="n">
        <v>0.77</v>
      </c>
      <c r="J1642" s="31"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2" t="n">
        <v>1.83</v>
      </c>
      <c r="J1643" s="33"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0" t="n">
        <v>0.23</v>
      </c>
      <c r="J1644" s="31"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2" t="n">
        <v>0.77</v>
      </c>
      <c r="J1645" s="33"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0" t="n">
        <v>0.52</v>
      </c>
      <c r="J1646" s="31"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2" t="n">
        <v>0.6</v>
      </c>
      <c r="J1647" s="33"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0" t="n">
        <v>2.4</v>
      </c>
      <c r="J1648" s="31"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2" t="n">
        <v>0.18</v>
      </c>
      <c r="J1649" s="33"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0" t="n">
        <v>0.77</v>
      </c>
      <c r="J1650" s="31"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2" t="n">
        <v>2.4</v>
      </c>
      <c r="J1651" s="33"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0" t="n">
        <v>0.18</v>
      </c>
      <c r="J1652" s="31"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2" t="n">
        <v>0.77</v>
      </c>
      <c r="J1653" s="33"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0" t="n">
        <v>1.83</v>
      </c>
      <c r="J1654" s="31"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2" t="n">
        <v>0.23</v>
      </c>
      <c r="J1655" s="33"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0" t="n">
        <v>0.77</v>
      </c>
      <c r="J1656" s="31"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2" t="n">
        <v>1.83</v>
      </c>
      <c r="J1657" s="33"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0" t="n">
        <v>0.23</v>
      </c>
      <c r="J1658" s="31"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2" t="n">
        <v>0.77</v>
      </c>
      <c r="J1659" s="33"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0" t="n">
        <v>0.9</v>
      </c>
      <c r="J1660" s="31"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2" t="n">
        <v>1</v>
      </c>
      <c r="J1661" s="33"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0" t="n">
        <v>0.9</v>
      </c>
      <c r="J1662" s="31"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2" t="n">
        <v>1</v>
      </c>
      <c r="J1663" s="33"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0" t="n">
        <v>0.11</v>
      </c>
      <c r="J1664" s="31"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2" t="n">
        <v>0.06</v>
      </c>
      <c r="J1665" s="33"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0" t="n">
        <v>0.11</v>
      </c>
      <c r="J1666" s="31"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2" t="n">
        <v>0.06</v>
      </c>
      <c r="J1667" s="33"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0" t="n">
        <v>0.55</v>
      </c>
      <c r="J1668" s="31"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2" t="n">
        <v>0.55</v>
      </c>
      <c r="J1669" s="33"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0" t="n">
        <v>0.55</v>
      </c>
      <c r="J1670" s="31"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2" t="n">
        <v>0.55</v>
      </c>
      <c r="J1671" s="33"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0" t="n">
        <v>0.55</v>
      </c>
      <c r="J1672" s="31"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2" t="n">
        <v>0.55</v>
      </c>
      <c r="J1673" s="33"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0" t="n">
        <v>0.55</v>
      </c>
      <c r="J1674" s="31"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2" t="n">
        <v>0.55</v>
      </c>
      <c r="J1675" s="33"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0" t="n">
        <v>0.55</v>
      </c>
      <c r="J1676" s="31"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2" t="n">
        <v>0.55</v>
      </c>
      <c r="J1677" s="33"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0" t="n">
        <v>0.55</v>
      </c>
      <c r="J1678" s="31"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2" t="n">
        <v>0.55</v>
      </c>
      <c r="J1679" s="33"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0" t="n">
        <v>1.3</v>
      </c>
      <c r="J1680" s="31"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2" t="n">
        <v>0.9</v>
      </c>
      <c r="J1681" s="33"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0" t="n">
        <v>1.05</v>
      </c>
      <c r="J1682" s="31"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2" t="n">
        <v>0.105</v>
      </c>
      <c r="J1683" s="33"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0" t="n">
        <v>1.3</v>
      </c>
      <c r="J1684" s="31"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2" t="n">
        <v>0.9</v>
      </c>
      <c r="J1685" s="33"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0" t="n">
        <v>1.05</v>
      </c>
      <c r="J1686" s="31"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2" t="n">
        <v>0.105</v>
      </c>
      <c r="J1687" s="33"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0" t="n">
        <v>1.3</v>
      </c>
      <c r="J1688" s="31"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2" t="n">
        <v>0.9</v>
      </c>
      <c r="J1689" s="33"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0" t="n">
        <v>1.05</v>
      </c>
      <c r="J1690" s="31"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2" t="n">
        <v>0.105</v>
      </c>
      <c r="J1691" s="33"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0" t="n">
        <v>1.3</v>
      </c>
      <c r="J1692" s="31"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2" t="n">
        <v>0.9</v>
      </c>
      <c r="J1693" s="33"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0" t="n">
        <v>1.05</v>
      </c>
      <c r="J1694" s="31"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2" t="n">
        <v>0.105</v>
      </c>
      <c r="J1695" s="33"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0" t="n">
        <v>1.3</v>
      </c>
      <c r="J1696" s="31"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2" t="n">
        <v>0.9</v>
      </c>
      <c r="J1697" s="33"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0" t="n">
        <v>1.05</v>
      </c>
      <c r="J1698" s="31"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2" t="n">
        <v>0.105</v>
      </c>
      <c r="J1699" s="33"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0" t="n">
        <v>1.3</v>
      </c>
      <c r="J1700" s="31"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2" t="n">
        <v>0.9</v>
      </c>
      <c r="J1701" s="33"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0" t="n">
        <v>1.05</v>
      </c>
      <c r="J1702" s="31"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2" t="n">
        <v>0.105</v>
      </c>
      <c r="J1703" s="33"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0" t="n">
        <v>1.2</v>
      </c>
      <c r="J1704" s="31"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2" t="n">
        <v>0.8</v>
      </c>
      <c r="J1705" s="33"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0" t="n">
        <v>1</v>
      </c>
      <c r="J1706" s="31"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2" t="n">
        <v>0.1</v>
      </c>
      <c r="J1707" s="33"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0" t="n">
        <v>1.2</v>
      </c>
      <c r="J1708" s="31"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2" t="n">
        <v>0.8</v>
      </c>
      <c r="J1709" s="33"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0" t="n">
        <v>1</v>
      </c>
      <c r="J1710" s="31"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2" t="n">
        <v>0.1</v>
      </c>
      <c r="J1711" s="33"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0" t="n">
        <v>1.2</v>
      </c>
      <c r="J1712" s="31"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2" t="n">
        <v>0.8</v>
      </c>
      <c r="J1713" s="33"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0" t="n">
        <v>1</v>
      </c>
      <c r="J1714" s="31"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2" t="n">
        <v>0.1</v>
      </c>
      <c r="J1715" s="33"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0" t="n">
        <v>1.2</v>
      </c>
      <c r="J1716" s="31"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2" t="n">
        <v>0.8</v>
      </c>
      <c r="J1717" s="33"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0" t="n">
        <v>1</v>
      </c>
      <c r="J1718" s="31"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2" t="n">
        <v>0.1</v>
      </c>
      <c r="J1719" s="33"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0" t="n">
        <v>1.2</v>
      </c>
      <c r="J1720" s="31"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2" t="n">
        <v>0.8</v>
      </c>
      <c r="J1721" s="33"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0" t="n">
        <v>1</v>
      </c>
      <c r="J1722" s="31"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2" t="n">
        <v>0.1</v>
      </c>
      <c r="J1723" s="33"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0" t="n">
        <v>1.2</v>
      </c>
      <c r="J1724" s="31"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2" t="n">
        <v>0.8</v>
      </c>
      <c r="J1725" s="33"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0" t="n">
        <v>1</v>
      </c>
      <c r="J1726" s="31"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2" t="n">
        <v>0.1</v>
      </c>
      <c r="J1727" s="33"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0" t="n">
        <v>0.52</v>
      </c>
      <c r="J1728" s="31"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2" t="n">
        <v>0.6</v>
      </c>
      <c r="J1729" s="33"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0" t="n">
        <v>0.52</v>
      </c>
      <c r="J1730" s="31"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2" t="n">
        <v>0.6</v>
      </c>
      <c r="J1731" s="33"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0" t="n">
        <v>0.53</v>
      </c>
      <c r="J1732" s="31"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2" t="n">
        <v>0.53</v>
      </c>
      <c r="J1733" s="33"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0" t="n">
        <v>0.53</v>
      </c>
      <c r="J1734" s="31"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2" t="n">
        <v>0.53</v>
      </c>
      <c r="J1735" s="33"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0" t="n">
        <v>0.75</v>
      </c>
      <c r="J1736" s="31"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2" t="n">
        <v>1</v>
      </c>
      <c r="J1737" s="33"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0" t="n">
        <v>0.5</v>
      </c>
      <c r="J1738" s="31"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2" t="n">
        <v>0.1</v>
      </c>
      <c r="J1739" s="33"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0" t="n">
        <v>0.18</v>
      </c>
      <c r="J1740" s="31"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2" t="n">
        <v>0.18</v>
      </c>
      <c r="J1741" s="33"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0" t="n">
        <v>0.11</v>
      </c>
      <c r="J1742" s="31"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2" t="n">
        <v>0.18</v>
      </c>
      <c r="J1743" s="33"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0" t="n">
        <v>0.18</v>
      </c>
      <c r="J1744" s="31"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2" t="n">
        <v>0.11</v>
      </c>
      <c r="J1745" s="33"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0" t="n">
        <v>0.25</v>
      </c>
      <c r="J1746" s="31"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2" t="n">
        <v>0.25</v>
      </c>
      <c r="J1747" s="33"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0" t="n">
        <v>0.86</v>
      </c>
      <c r="J1748" s="31"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2" t="n">
        <v>1.1</v>
      </c>
      <c r="J1749" s="33"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0" t="n">
        <v>0.86</v>
      </c>
      <c r="J1750" s="31"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2" t="n">
        <v>1.1</v>
      </c>
      <c r="J1751" s="33"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0" t="n">
        <v>0.33</v>
      </c>
      <c r="J1752" s="31"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2" t="n">
        <v>0.25</v>
      </c>
      <c r="J1753" s="33"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0" t="n">
        <v>0.33</v>
      </c>
      <c r="J1754" s="31"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2" t="n">
        <v>0.25</v>
      </c>
      <c r="J1755" s="33"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0" t="n">
        <v>0.33</v>
      </c>
      <c r="J1756" s="31"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2" t="n">
        <v>0.25</v>
      </c>
      <c r="J1757" s="33"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0" t="n">
        <v>0.33</v>
      </c>
      <c r="J1758" s="31"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2" t="n">
        <v>0.25</v>
      </c>
      <c r="J1759" s="33"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0" t="n">
        <v>0.03</v>
      </c>
      <c r="J1760" s="31"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2" t="n">
        <v>0.03</v>
      </c>
      <c r="J1761" s="33"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0" t="n">
        <v>0.03</v>
      </c>
      <c r="J1762" s="31"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2" t="n">
        <v>0.7</v>
      </c>
      <c r="J1763" s="33"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0" t="n">
        <v>1.45</v>
      </c>
      <c r="J1764" s="31"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2" t="n">
        <v>0.7</v>
      </c>
      <c r="J1765" s="33"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0" t="n">
        <v>0.7</v>
      </c>
      <c r="J1766" s="31"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2" t="n">
        <v>1.45</v>
      </c>
      <c r="J1767" s="33"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0" t="n">
        <v>0.7</v>
      </c>
      <c r="J1768" s="31"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2" t="n">
        <v>0.14</v>
      </c>
      <c r="J1769" s="33"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0" t="n">
        <v>0.09</v>
      </c>
      <c r="J1770" s="31"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2" t="n">
        <v>0.14</v>
      </c>
      <c r="J1771" s="33"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0" t="n">
        <v>0.09</v>
      </c>
      <c r="J1772" s="31"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2" t="n">
        <v>0.14</v>
      </c>
      <c r="J1773" s="33"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0" t="n">
        <v>0.09</v>
      </c>
      <c r="J1774" s="31"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2" t="n">
        <v>0.08</v>
      </c>
      <c r="J1775" s="33"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0" t="n">
        <v>0.14</v>
      </c>
      <c r="J1776" s="31"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2" t="n">
        <v>0.09</v>
      </c>
      <c r="J1777" s="33"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0" t="n">
        <v>0.14</v>
      </c>
      <c r="J1778" s="31"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2" t="n">
        <v>0.09</v>
      </c>
      <c r="J1779" s="33"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0" t="n">
        <v>0.14</v>
      </c>
      <c r="J1780" s="31"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2" t="n">
        <v>0.09</v>
      </c>
      <c r="J1781" s="33"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0" t="n">
        <v>0.08</v>
      </c>
      <c r="J1782" s="31"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2" t="n">
        <v>0.14</v>
      </c>
      <c r="J1783" s="33"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0" t="n">
        <v>0.09</v>
      </c>
      <c r="J1784" s="31"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2" t="n">
        <v>0.14</v>
      </c>
      <c r="J1785" s="33"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0" t="n">
        <v>0.09</v>
      </c>
      <c r="J1786" s="31"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2" t="n">
        <v>0.14</v>
      </c>
      <c r="J1787" s="33"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0" t="n">
        <v>0.09</v>
      </c>
      <c r="J1788" s="31"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2" t="n">
        <v>0.08</v>
      </c>
      <c r="J1789" s="33"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0" t="n">
        <v>0.14</v>
      </c>
      <c r="J1790" s="31"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2" t="n">
        <v>0.14</v>
      </c>
      <c r="J1791" s="33"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0" t="n">
        <v>0.14</v>
      </c>
      <c r="J1792" s="31"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2" t="n">
        <v>0.14</v>
      </c>
      <c r="J1793" s="33"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0" t="n">
        <v>0.14</v>
      </c>
      <c r="J1794" s="31"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2" t="n">
        <v>0.14</v>
      </c>
      <c r="J1795" s="33"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0" t="n">
        <v>0.14</v>
      </c>
      <c r="J1796" s="31"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2" t="n">
        <v>0.14</v>
      </c>
      <c r="J1797" s="33"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0" t="n">
        <v>0.4</v>
      </c>
      <c r="J1798" s="31"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2" t="n">
        <v>0.2</v>
      </c>
      <c r="J1799" s="33"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0" t="n">
        <v>0.4</v>
      </c>
      <c r="J1800" s="31"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2" t="n">
        <v>0.2</v>
      </c>
      <c r="J1801" s="33"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0" t="n">
        <v>0.4</v>
      </c>
      <c r="J1802" s="31"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2" t="n">
        <v>0.2</v>
      </c>
      <c r="J1803" s="33"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0" t="n">
        <v>0.4</v>
      </c>
      <c r="J1804" s="31"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2" t="n">
        <v>0.2</v>
      </c>
      <c r="J1805" s="33"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0" t="n">
        <v>0.4</v>
      </c>
      <c r="J1806" s="31"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2" t="n">
        <v>0.2</v>
      </c>
      <c r="J1807" s="33"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0" t="n">
        <v>0.4</v>
      </c>
      <c r="J1808" s="31"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2" t="n">
        <v>0.2</v>
      </c>
      <c r="J1809" s="33"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0" t="n">
        <v>0.14</v>
      </c>
      <c r="J1810" s="31"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2" t="n">
        <v>0.09</v>
      </c>
      <c r="J1811" s="33"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0" t="n">
        <v>0.14</v>
      </c>
      <c r="J1812" s="31"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2" t="n">
        <v>0.09</v>
      </c>
      <c r="J1813" s="33"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0" t="n">
        <v>0.14</v>
      </c>
      <c r="J1814" s="31"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2" t="n">
        <v>0.09</v>
      </c>
      <c r="J1815" s="33"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0" t="n">
        <v>0.25</v>
      </c>
      <c r="J1816" s="31"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2" t="n">
        <v>0.25</v>
      </c>
      <c r="J1817" s="33"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0" t="n">
        <v>0.1</v>
      </c>
      <c r="J1818" s="31"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2" t="n">
        <v>0.1</v>
      </c>
      <c r="J1819" s="33"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0" t="n">
        <v>0.1</v>
      </c>
      <c r="J1820" s="31"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2" t="n">
        <v>0.08</v>
      </c>
      <c r="J1821" s="33"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0" t="n">
        <v>0.25</v>
      </c>
      <c r="J1822" s="31"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2" t="n">
        <v>0.12</v>
      </c>
      <c r="J1823" s="33"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0" t="n">
        <v>0.12</v>
      </c>
      <c r="J1824" s="31"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2" t="n">
        <v>0.06</v>
      </c>
      <c r="J1825" s="33"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0" t="n">
        <v>0.06</v>
      </c>
      <c r="J1826" s="31"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2" t="n">
        <v>0.06</v>
      </c>
      <c r="J1827" s="33"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0" t="n">
        <v>0.08</v>
      </c>
      <c r="J1828" s="31"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2" t="n">
        <v>0.08</v>
      </c>
      <c r="J1829" s="33"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0" t="n">
        <v>0.08</v>
      </c>
      <c r="J1830" s="31"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2" t="n">
        <v>0.1</v>
      </c>
      <c r="J1831" s="33"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0" t="n">
        <v>0.1</v>
      </c>
      <c r="J1832" s="31"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2" t="n">
        <v>0.1</v>
      </c>
      <c r="J1833" s="33"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0" t="n">
        <v>0.1</v>
      </c>
      <c r="J1834" s="31"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2" t="n">
        <v>0.14</v>
      </c>
      <c r="J1835" s="33"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0" t="n">
        <v>0.09</v>
      </c>
      <c r="J1836" s="31"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2" t="n">
        <v>0.14</v>
      </c>
      <c r="J1837" s="33"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0" t="n">
        <v>0.09</v>
      </c>
      <c r="J1838" s="31"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2" t="n">
        <v>0.14</v>
      </c>
      <c r="J1839" s="33"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0" t="n">
        <v>0.09</v>
      </c>
      <c r="J1840" s="31"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2" t="n">
        <v>0.08</v>
      </c>
      <c r="J1841" s="33"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0" t="n">
        <v>0.14</v>
      </c>
      <c r="J1842" s="31"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2" t="n">
        <v>0.09</v>
      </c>
      <c r="J1843" s="33"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0" t="n">
        <v>0.14</v>
      </c>
      <c r="J1844" s="31"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2" t="n">
        <v>0.09</v>
      </c>
      <c r="J1845" s="33"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0" t="n">
        <v>0.14</v>
      </c>
      <c r="J1846" s="31"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2" t="n">
        <v>0.09</v>
      </c>
      <c r="J1847" s="33"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0" t="n">
        <v>0.14</v>
      </c>
      <c r="J1848" s="31"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2" t="n">
        <v>0.1</v>
      </c>
      <c r="J1849" s="33"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0" t="n">
        <v>0.14</v>
      </c>
      <c r="J1850" s="31"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2" t="n">
        <v>0.1</v>
      </c>
      <c r="J1851" s="33"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0" t="n">
        <v>0.14</v>
      </c>
      <c r="J1852" s="31"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2" t="n">
        <v>0.1</v>
      </c>
      <c r="J1853" s="33"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0" t="n">
        <v>0.14</v>
      </c>
      <c r="J1854" s="31"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2" t="n">
        <v>0.1</v>
      </c>
      <c r="J1855" s="33"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0" t="n">
        <v>0.14</v>
      </c>
      <c r="J1856" s="31"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2" t="n">
        <v>0.1</v>
      </c>
      <c r="J1857" s="33"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0" t="n">
        <v>0.14</v>
      </c>
      <c r="J1858" s="31"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2" t="n">
        <v>0.1</v>
      </c>
      <c r="J1859" s="33"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0" t="n">
        <v>0.08</v>
      </c>
      <c r="J1860" s="31"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2" t="n">
        <v>0.14</v>
      </c>
      <c r="J1861" s="33"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0" t="n">
        <v>0.14</v>
      </c>
      <c r="J1862" s="31"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2" t="n">
        <v>0.14</v>
      </c>
      <c r="J1863" s="33"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0" t="n">
        <v>0.14</v>
      </c>
      <c r="J1864" s="31"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2" t="n">
        <v>0.14</v>
      </c>
      <c r="J1865" s="33"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0" t="n">
        <v>0.14</v>
      </c>
      <c r="J1866" s="31"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2" t="n">
        <v>0.14</v>
      </c>
      <c r="J1867" s="33"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0" t="n">
        <v>0.14</v>
      </c>
      <c r="J1868" s="31"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2" t="n">
        <v>0.1</v>
      </c>
      <c r="J1869" s="33"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0" t="n">
        <v>0.1</v>
      </c>
      <c r="J1870" s="31"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2" t="n">
        <v>0.1</v>
      </c>
      <c r="J1871" s="33"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0" t="n">
        <v>0.1</v>
      </c>
      <c r="J1872" s="31"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2" t="n">
        <v>0.12</v>
      </c>
      <c r="J1873" s="33"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0" t="n">
        <v>0.12</v>
      </c>
      <c r="J1874" s="31"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2" t="n">
        <v>0.17</v>
      </c>
      <c r="J1875" s="33"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0" t="n">
        <v>0.17</v>
      </c>
      <c r="J1876" s="31"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2" t="n">
        <v>0.17</v>
      </c>
      <c r="J1877" s="33"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0" t="n">
        <v>0.17</v>
      </c>
      <c r="J1878" s="31"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2" t="n">
        <v>0.17</v>
      </c>
      <c r="J1879" s="33"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0" t="n">
        <v>0.17</v>
      </c>
      <c r="J1880" s="31"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2" t="n">
        <v>0.17</v>
      </c>
      <c r="J1881" s="33"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0" t="n">
        <v>0.14</v>
      </c>
      <c r="J1882" s="31"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2" t="n">
        <v>0.06</v>
      </c>
      <c r="J1883" s="33"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0" t="n">
        <v>0.06</v>
      </c>
      <c r="J1884" s="31"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2" t="n">
        <v>0.06</v>
      </c>
      <c r="J1885" s="33"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0" t="n">
        <v>0.03</v>
      </c>
      <c r="J1886" s="31"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2" t="n">
        <v>1</v>
      </c>
      <c r="J1887" s="33"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0" t="n">
        <v>1</v>
      </c>
      <c r="J1888" s="31"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2" t="n">
        <v>0.1</v>
      </c>
      <c r="J1889" s="33"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0" t="n">
        <v>0.1</v>
      </c>
      <c r="J1890" s="31"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2" t="n">
        <v>0.1</v>
      </c>
      <c r="J1891" s="33"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0" t="n">
        <v>0.1</v>
      </c>
      <c r="J1892" s="31"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2" t="n">
        <v>0.08</v>
      </c>
      <c r="J1893" s="33"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0" t="n">
        <v>0.08</v>
      </c>
      <c r="J1894" s="31"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2" t="n">
        <v>0.08</v>
      </c>
      <c r="J1895" s="33"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0" t="n">
        <v>0.17</v>
      </c>
      <c r="J1896" s="31"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2" t="n">
        <v>0.17</v>
      </c>
      <c r="J1897" s="33"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0" t="n">
        <v>0.17</v>
      </c>
      <c r="J1898" s="31"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2" t="n">
        <v>0.17</v>
      </c>
      <c r="J1899" s="33"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0" t="n">
        <v>0.17</v>
      </c>
      <c r="J1900" s="31"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2" t="n">
        <v>0.17</v>
      </c>
      <c r="J1901" s="33"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0" t="n">
        <v>0.14</v>
      </c>
      <c r="J1902" s="31"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2" t="n">
        <v>0.06</v>
      </c>
      <c r="J1903" s="33"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0" t="n">
        <v>0.06</v>
      </c>
      <c r="J1904" s="31"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2" t="n">
        <v>0.06</v>
      </c>
      <c r="J1905" s="33"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0" t="n">
        <v>0.1</v>
      </c>
      <c r="J1906" s="31"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2" t="n">
        <v>0.1</v>
      </c>
      <c r="J1907" s="33"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0" t="n">
        <v>0.1</v>
      </c>
      <c r="J1908" s="31"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2" t="n">
        <v>0.1</v>
      </c>
      <c r="J1909" s="33"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0" t="n">
        <v>0.14</v>
      </c>
      <c r="J1910" s="31"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2" t="n">
        <v>0.09</v>
      </c>
      <c r="J1911" s="33"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0" t="n">
        <v>0.14</v>
      </c>
      <c r="J1912" s="31"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2" t="n">
        <v>0.09</v>
      </c>
      <c r="J1913" s="33"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0" t="n">
        <v>0.14</v>
      </c>
      <c r="J1914" s="31"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2" t="n">
        <v>0.09</v>
      </c>
      <c r="J1915" s="33"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0" t="n">
        <v>0.14</v>
      </c>
      <c r="J1916" s="31"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2" t="n">
        <v>0.09</v>
      </c>
      <c r="J1917" s="33"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0" t="n">
        <v>0.14</v>
      </c>
      <c r="J1918" s="31"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2" t="n">
        <v>0.09</v>
      </c>
      <c r="J1919" s="33"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0" t="n">
        <v>0.14</v>
      </c>
      <c r="J1920" s="31"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2" t="n">
        <v>0.09</v>
      </c>
      <c r="J1921" s="33"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0" t="n">
        <v>0.14</v>
      </c>
      <c r="J1922" s="31"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2" t="n">
        <v>0.09</v>
      </c>
      <c r="J1923" s="33"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0" t="n">
        <v>0.14</v>
      </c>
      <c r="J1924" s="31"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2" t="n">
        <v>0.09</v>
      </c>
      <c r="J1925" s="33"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0" t="n">
        <v>0.5</v>
      </c>
      <c r="J1926" s="31"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2" t="n">
        <v>0.5</v>
      </c>
      <c r="J1927" s="33"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0" t="n">
        <v>0.125</v>
      </c>
      <c r="J1928" s="31"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2" t="n">
        <v>0.125</v>
      </c>
      <c r="J1929" s="33"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0" t="n">
        <v>0.125</v>
      </c>
      <c r="J1930" s="31"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2" t="n">
        <v>0.08</v>
      </c>
      <c r="J1931" s="33"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0" t="n">
        <v>0.08</v>
      </c>
      <c r="J1932" s="31"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2" t="n">
        <v>0.25</v>
      </c>
      <c r="J1933" s="33"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0" t="n">
        <v>0.07000000000000001</v>
      </c>
      <c r="J1934" s="31"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2" t="n">
        <v>0.05</v>
      </c>
      <c r="J1935" s="33"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0" t="n">
        <v>0.06</v>
      </c>
      <c r="J1936" s="31"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2" t="n">
        <v>0.06</v>
      </c>
      <c r="J1937" s="33"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0" t="n">
        <v>0.06</v>
      </c>
      <c r="J1938" s="31"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2" t="n">
        <v>0.03</v>
      </c>
      <c r="J1939" s="33"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0" t="n">
        <v>0.03</v>
      </c>
      <c r="J1940" s="31"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2" t="n">
        <v>0.1</v>
      </c>
      <c r="J1941" s="33"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0" t="n">
        <v>0.17</v>
      </c>
      <c r="J1942" s="31"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2" t="n">
        <v>6.57</v>
      </c>
      <c r="J1943" s="33"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0" t="n">
        <v>2.847</v>
      </c>
      <c r="J1944" s="31"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2" t="n">
        <v>1.095</v>
      </c>
      <c r="J1945" s="33"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0" t="n">
        <v>7.665</v>
      </c>
      <c r="J1946" s="31"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2" t="n">
        <v>6.57</v>
      </c>
      <c r="J1947" s="33"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0" t="n">
        <v>2.847</v>
      </c>
      <c r="J1948" s="31"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2" t="n">
        <v>1.095</v>
      </c>
      <c r="J1949" s="33"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0" t="n">
        <v>7.665</v>
      </c>
      <c r="J1950" s="31"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2" t="n">
        <v>6.57</v>
      </c>
      <c r="J1951" s="33"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0" t="n">
        <v>2.847</v>
      </c>
      <c r="J1952" s="31"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2" t="n">
        <v>1.095</v>
      </c>
      <c r="J1953" s="33"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0" t="n">
        <v>7.665</v>
      </c>
      <c r="J1954" s="31"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2" t="n">
        <v>6.57</v>
      </c>
      <c r="J1955" s="33"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0" t="n">
        <v>2.847</v>
      </c>
      <c r="J1956" s="31"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2" t="n">
        <v>1.095</v>
      </c>
      <c r="J1957" s="33"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0" t="n">
        <v>7.665</v>
      </c>
      <c r="J1958" s="31"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2" t="n">
        <v>6.57</v>
      </c>
      <c r="J1959" s="33"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0" t="n">
        <v>2.847</v>
      </c>
      <c r="J1960" s="31"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2" t="n">
        <v>1.095</v>
      </c>
      <c r="J1961" s="33"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0" t="n">
        <v>7.665</v>
      </c>
      <c r="J1962" s="31"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2" t="n">
        <v>0.06</v>
      </c>
      <c r="J1963" s="33"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0" t="n">
        <v>0.06</v>
      </c>
      <c r="J1964" s="31"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2" t="n">
        <v>0.14</v>
      </c>
      <c r="J1965" s="33"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0" t="n">
        <v>0.09</v>
      </c>
      <c r="J1966" s="31"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2" t="n">
        <v>0.14</v>
      </c>
      <c r="J1967" s="33"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0" t="n">
        <v>0.09</v>
      </c>
      <c r="J1968" s="31"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2" t="n">
        <v>0.08</v>
      </c>
      <c r="J1969" s="33"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0" t="n">
        <v>0.1</v>
      </c>
      <c r="J1970" s="31"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2" t="n">
        <v>0.03</v>
      </c>
      <c r="J1971" s="33"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0" t="n">
        <v>0.25</v>
      </c>
      <c r="J1972" s="31"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2" t="n">
        <v>0.25</v>
      </c>
      <c r="J1973" s="33"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0" t="n">
        <v>0.75</v>
      </c>
      <c r="J1974" s="31"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2" t="n">
        <v>0.25</v>
      </c>
      <c r="J1975" s="33"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0" t="n">
        <v>0.25</v>
      </c>
      <c r="J1976" s="31"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2" t="n">
        <v>0.13</v>
      </c>
      <c r="J1977" s="33"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0" t="n">
        <v>0.15</v>
      </c>
      <c r="J1978" s="31"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2" t="n">
        <v>0.15</v>
      </c>
      <c r="J1979" s="33"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0" t="n">
        <v>0.15</v>
      </c>
      <c r="J1980" s="31"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2" t="n">
        <v>0.15</v>
      </c>
      <c r="J1981" s="33"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0" t="n">
        <v>0.4</v>
      </c>
      <c r="J1982" s="31"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2" t="n">
        <v>0.4</v>
      </c>
      <c r="J1983" s="33"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0" t="n">
        <v>0.4</v>
      </c>
      <c r="J1984" s="31"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2" t="n">
        <v>0.4</v>
      </c>
      <c r="J1985" s="33"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0" t="n">
        <v>0.4</v>
      </c>
      <c r="J1986" s="31"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2" t="n">
        <v>0.4</v>
      </c>
      <c r="J1987" s="33"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0" t="n">
        <v>0.15</v>
      </c>
      <c r="J1988" s="31"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2" t="n">
        <v>0.15</v>
      </c>
      <c r="J1989" s="33"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0" t="n">
        <v>0.4</v>
      </c>
      <c r="J1990" s="31"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2" t="n">
        <v>0.4</v>
      </c>
      <c r="J1991" s="33"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0" t="n">
        <v>0.4</v>
      </c>
      <c r="J1992" s="31"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2" t="n">
        <v>0.4</v>
      </c>
      <c r="J1993" s="33"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0" t="n">
        <v>0.15</v>
      </c>
      <c r="J1994" s="31"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2" t="n">
        <v>0.15</v>
      </c>
      <c r="J1995" s="33"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0" t="n">
        <v>0.4</v>
      </c>
      <c r="J1996" s="31"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2" t="n">
        <v>0.4</v>
      </c>
      <c r="J1997" s="33"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0" t="n">
        <v>0.4</v>
      </c>
      <c r="J1998" s="31"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2" t="n">
        <v>0.4</v>
      </c>
      <c r="J1999" s="33"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0" t="n">
        <v>0.15</v>
      </c>
      <c r="J2000" s="31"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2" t="n">
        <v>0.15</v>
      </c>
      <c r="J2001" s="33"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0" t="n">
        <v>0.4</v>
      </c>
      <c r="J2002" s="31"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2" t="n">
        <v>0.4</v>
      </c>
      <c r="J2003" s="33"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0" t="n">
        <v>0.4</v>
      </c>
      <c r="J2004" s="31"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2" t="n">
        <v>0.4</v>
      </c>
      <c r="J2005" s="33"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0" t="n">
        <v>0.11</v>
      </c>
      <c r="J2006" s="31"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2" t="n">
        <v>0.14</v>
      </c>
      <c r="J2007" s="33"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0" t="n">
        <v>0.02</v>
      </c>
      <c r="J2008" s="31"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2" t="n">
        <v>0.57</v>
      </c>
      <c r="J2009" s="33"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0" t="n">
        <v>0.57</v>
      </c>
      <c r="J2010" s="31"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2" t="n">
        <v>0.5</v>
      </c>
      <c r="J2011" s="33"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0" t="n">
        <v>0.5</v>
      </c>
      <c r="J2012" s="31"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2" t="n">
        <v>0.5</v>
      </c>
      <c r="J2013" s="33"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0" t="n">
        <v>0.5</v>
      </c>
      <c r="J2014" s="31"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2" t="n">
        <v>0.5</v>
      </c>
      <c r="J2015" s="33"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0" t="n">
        <v>0.5</v>
      </c>
      <c r="J2016" s="31"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2" t="n">
        <v>0.07000000000000001</v>
      </c>
      <c r="J2017" s="33"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0" t="n">
        <v>0.5</v>
      </c>
      <c r="J2018" s="31"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2" t="n">
        <v>0.5</v>
      </c>
      <c r="J2019" s="33"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0" t="n">
        <v>0.07000000000000001</v>
      </c>
      <c r="J2020" s="31"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2" t="n">
        <v>0.5</v>
      </c>
      <c r="J2021" s="33"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0" t="n">
        <v>0.5</v>
      </c>
      <c r="J2022" s="31"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2" t="n">
        <v>0.07000000000000001</v>
      </c>
      <c r="J2023" s="33"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0" t="n">
        <v>0.27</v>
      </c>
      <c r="J2024" s="31"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2" t="n">
        <v>0.3</v>
      </c>
      <c r="J2025" s="33"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0" t="n">
        <v>3.8</v>
      </c>
      <c r="J2026" s="31"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2" t="n">
        <v>4.6</v>
      </c>
      <c r="J2027" s="33"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0" t="n">
        <v>3.8</v>
      </c>
      <c r="J2028" s="31"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2" t="n">
        <v>4.6</v>
      </c>
      <c r="J2029" s="33"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0" t="n">
        <v>3.8</v>
      </c>
      <c r="J2030" s="31"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2" t="n">
        <v>4.6</v>
      </c>
      <c r="J2031" s="33"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0" t="n">
        <v>3.8</v>
      </c>
      <c r="J2032" s="31"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2" t="n">
        <v>4.6</v>
      </c>
      <c r="J2033" s="33"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0" t="n">
        <v>1.3</v>
      </c>
      <c r="J2034" s="31"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2" t="n">
        <v>0.9</v>
      </c>
      <c r="J2035" s="33"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0" t="n">
        <v>1.05</v>
      </c>
      <c r="J2036" s="31"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2" t="n">
        <v>0.105</v>
      </c>
      <c r="J2037" s="33"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0" t="n">
        <v>1.3</v>
      </c>
      <c r="J2038" s="31"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2" t="n">
        <v>0.9</v>
      </c>
      <c r="J2039" s="33"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0" t="n">
        <v>1.05</v>
      </c>
      <c r="J2040" s="31"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2" t="n">
        <v>0.105</v>
      </c>
      <c r="J2041" s="33"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0" t="n">
        <v>1.3</v>
      </c>
      <c r="J2042" s="31"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2" t="n">
        <v>0.9</v>
      </c>
      <c r="J2043" s="33"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0" t="n">
        <v>1.05</v>
      </c>
      <c r="J2044" s="31"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2" t="n">
        <v>0.105</v>
      </c>
      <c r="J2045" s="33"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0" t="n">
        <v>1.3</v>
      </c>
      <c r="J2046" s="31"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2" t="n">
        <v>0.9</v>
      </c>
      <c r="J2047" s="33"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0" t="n">
        <v>1.05</v>
      </c>
      <c r="J2048" s="31"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2" t="n">
        <v>0.105</v>
      </c>
      <c r="J2049" s="33"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0" t="n">
        <v>1.3</v>
      </c>
      <c r="J2050" s="31"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2" t="n">
        <v>0.9</v>
      </c>
      <c r="J2051" s="33"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0" t="n">
        <v>1.05</v>
      </c>
      <c r="J2052" s="31"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2" t="n">
        <v>0.105</v>
      </c>
      <c r="J2053" s="33"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0" t="n">
        <v>1.3</v>
      </c>
      <c r="J2054" s="31"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2" t="n">
        <v>0.9</v>
      </c>
      <c r="J2055" s="33"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0" t="n">
        <v>1.05</v>
      </c>
      <c r="J2056" s="31"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2" t="n">
        <v>0.105</v>
      </c>
      <c r="J2057" s="33"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0" t="n">
        <v>1.2</v>
      </c>
      <c r="J2058" s="31"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2" t="n">
        <v>0.8</v>
      </c>
      <c r="J2059" s="33"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0" t="n">
        <v>1</v>
      </c>
      <c r="J2060" s="31"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2" t="n">
        <v>0.1</v>
      </c>
      <c r="J2061" s="33"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0" t="n">
        <v>1.2</v>
      </c>
      <c r="J2062" s="31"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2" t="n">
        <v>0.8</v>
      </c>
      <c r="J2063" s="33"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0" t="n">
        <v>1</v>
      </c>
      <c r="J2064" s="31"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2" t="n">
        <v>0.1</v>
      </c>
      <c r="J2065" s="33"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0" t="n">
        <v>1.2</v>
      </c>
      <c r="J2066" s="31"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2" t="n">
        <v>0.8</v>
      </c>
      <c r="J2067" s="33"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0" t="n">
        <v>1</v>
      </c>
      <c r="J2068" s="31"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2" t="n">
        <v>0.1</v>
      </c>
      <c r="J2069" s="33"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0" t="n">
        <v>1.2</v>
      </c>
      <c r="J2070" s="31"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2" t="n">
        <v>0.8</v>
      </c>
      <c r="J2071" s="33"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0" t="n">
        <v>1</v>
      </c>
      <c r="J2072" s="31"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2" t="n">
        <v>0.1</v>
      </c>
      <c r="J2073" s="33"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0" t="n">
        <v>1.2</v>
      </c>
      <c r="J2074" s="31"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2" t="n">
        <v>0.8</v>
      </c>
      <c r="J2075" s="33"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0" t="n">
        <v>1</v>
      </c>
      <c r="J2076" s="31"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2" t="n">
        <v>0.1</v>
      </c>
      <c r="J2077" s="33"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0" t="n">
        <v>1.2</v>
      </c>
      <c r="J2078" s="31"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2" t="n">
        <v>0.8</v>
      </c>
      <c r="J2079" s="33"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0" t="n">
        <v>1</v>
      </c>
      <c r="J2080" s="31"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2" t="n">
        <v>0.1</v>
      </c>
      <c r="J2081" s="33"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0" t="n">
        <v>0.33</v>
      </c>
      <c r="J2082" s="31"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2" t="n">
        <v>0.25</v>
      </c>
      <c r="J2083" s="33"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0" t="n">
        <v>0.33</v>
      </c>
      <c r="J2084" s="31"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2" t="n">
        <v>0.25</v>
      </c>
      <c r="J2085" s="33"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0" t="n">
        <v>0.17</v>
      </c>
      <c r="J2086" s="31"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2" t="n">
        <v>1.28</v>
      </c>
      <c r="J2087" s="33"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0" t="n">
        <v>1.43</v>
      </c>
      <c r="J2088" s="31"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2" t="n">
        <v>0.15</v>
      </c>
      <c r="J2089" s="33"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0" t="n">
        <v>0.15</v>
      </c>
      <c r="J2090" s="31"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2" t="n">
        <v>0.4</v>
      </c>
      <c r="J2091" s="33"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0" t="n">
        <v>0.4</v>
      </c>
      <c r="J2092" s="31"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2" t="n">
        <v>0.4</v>
      </c>
      <c r="J2093" s="33"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0" t="n">
        <v>0.4</v>
      </c>
      <c r="J2094" s="31"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2" t="n">
        <v>0.15</v>
      </c>
      <c r="J2095" s="33"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0" t="n">
        <v>0.15</v>
      </c>
      <c r="J2096" s="31"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2" t="n">
        <v>0.4</v>
      </c>
      <c r="J2097" s="33"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0" t="n">
        <v>0.4</v>
      </c>
      <c r="J2098" s="31"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2" t="n">
        <v>0.15</v>
      </c>
      <c r="J2099" s="33"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0" t="n">
        <v>0.15</v>
      </c>
      <c r="J2100" s="31"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2" t="n">
        <v>0.4</v>
      </c>
      <c r="J2101" s="33"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0" t="n">
        <v>0.4</v>
      </c>
      <c r="J2102" s="31"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2" t="n">
        <v>0.68</v>
      </c>
      <c r="J2103" s="33"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0" t="n">
        <v>0.68</v>
      </c>
      <c r="J2104" s="31"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2" t="n">
        <v>1.35</v>
      </c>
      <c r="J2105" s="33"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0" t="n">
        <v>1.35</v>
      </c>
      <c r="J2106" s="31"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2" t="n">
        <v>2.16</v>
      </c>
      <c r="J2107" s="33"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0" t="n">
        <v>2.16</v>
      </c>
      <c r="J2108" s="31"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2" t="n">
        <v>0.95</v>
      </c>
      <c r="J2109" s="33"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0" t="n">
        <v>0.95</v>
      </c>
      <c r="J2110" s="31"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2" t="n">
        <v>1.62</v>
      </c>
      <c r="J2111" s="33"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0" t="n">
        <v>1.62</v>
      </c>
      <c r="J2112" s="31"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2" t="n">
        <v>4</v>
      </c>
      <c r="J2113" s="33"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0" t="n">
        <v>4</v>
      </c>
      <c r="J2114" s="31"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2" t="n">
        <v>0.6</v>
      </c>
      <c r="J2115" s="33"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0" t="n">
        <v>0.6</v>
      </c>
      <c r="J2116" s="31"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2" t="n">
        <v>1.89</v>
      </c>
      <c r="J2117" s="33"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0" t="n">
        <v>1.89</v>
      </c>
      <c r="J2118" s="31"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2" t="n">
        <v>2.43</v>
      </c>
      <c r="J2119" s="33"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0" t="n">
        <v>2.43</v>
      </c>
      <c r="J2120" s="31"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2" t="n">
        <v>1.62</v>
      </c>
      <c r="J2121" s="33"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0" t="n">
        <v>1.62</v>
      </c>
      <c r="J2122" s="31"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2" t="n">
        <v>1.62</v>
      </c>
      <c r="J2123" s="33"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0" t="n">
        <v>1.62</v>
      </c>
      <c r="J2124" s="31"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2" t="n">
        <v>2.03</v>
      </c>
      <c r="J2125" s="33"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0" t="n">
        <v>2.03</v>
      </c>
      <c r="J2126" s="31"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2" t="n">
        <v>2.43</v>
      </c>
      <c r="J2127" s="33"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0" t="n">
        <v>2.43</v>
      </c>
      <c r="J2128" s="31"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2" t="n">
        <v>2.43</v>
      </c>
      <c r="J2129" s="33"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0" t="n">
        <v>2.43</v>
      </c>
      <c r="J2130" s="31"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2" t="n">
        <v>3.6</v>
      </c>
      <c r="J2131" s="33"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0" t="n">
        <v>3.6</v>
      </c>
      <c r="J2132" s="31"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2" t="n">
        <v>7.2</v>
      </c>
      <c r="J2133" s="33"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0" t="n">
        <v>7.2</v>
      </c>
      <c r="J2134" s="31"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2" t="n">
        <v>4.2</v>
      </c>
      <c r="J2135" s="33"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0" t="n">
        <v>4.2</v>
      </c>
      <c r="J2136" s="31"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2" t="n">
        <v>8.4</v>
      </c>
      <c r="J2137" s="33"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0" t="n">
        <v>8.4</v>
      </c>
      <c r="J2138" s="31"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2" t="n">
        <v>6.3</v>
      </c>
      <c r="J2139" s="33"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0" t="n">
        <v>6.3</v>
      </c>
      <c r="J2140" s="31"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2" t="n">
        <v>4.2</v>
      </c>
      <c r="J2141" s="33"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0" t="n">
        <v>4.2</v>
      </c>
      <c r="J2142" s="31"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2" t="n">
        <v>0.14</v>
      </c>
      <c r="J2143" s="33"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0" t="n">
        <v>0.14</v>
      </c>
      <c r="J2144" s="31"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2" t="n">
        <v>0.14</v>
      </c>
      <c r="J2145" s="33"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0" t="n">
        <v>0.14</v>
      </c>
      <c r="J2146" s="31"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2" t="n">
        <v>0.14</v>
      </c>
      <c r="J2147" s="33"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0" t="n">
        <v>0.14</v>
      </c>
      <c r="J2148" s="31"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2" t="n">
        <v>0.14</v>
      </c>
      <c r="J2149" s="33"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0" t="n">
        <v>0.14</v>
      </c>
      <c r="J2150" s="31"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2" t="n">
        <v>0.14</v>
      </c>
      <c r="J2151" s="33"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0" t="n">
        <v>0.14</v>
      </c>
      <c r="J2152" s="31"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2" t="n">
        <v>0.125</v>
      </c>
      <c r="J2153" s="33"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0" t="n">
        <v>0.125</v>
      </c>
      <c r="J2154" s="31"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2" t="n">
        <v>0.125</v>
      </c>
      <c r="J2155" s="33"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0" t="n">
        <v>0.125</v>
      </c>
      <c r="J2156" s="31"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2" t="n">
        <v>0.125</v>
      </c>
      <c r="J2157" s="33"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0" t="n">
        <v>0.4</v>
      </c>
      <c r="J2158" s="31"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2" t="n">
        <v>0.53</v>
      </c>
      <c r="J2159" s="33"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0" t="n">
        <v>1.23</v>
      </c>
      <c r="J2160" s="31"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2" t="n">
        <v>0.06</v>
      </c>
      <c r="J2161" s="33"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0" t="n">
        <v>0.57</v>
      </c>
      <c r="J2162" s="31"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2" t="n">
        <v>0.9</v>
      </c>
      <c r="J2163" s="33"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0" t="n">
        <v>1</v>
      </c>
      <c r="J2164" s="31"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2" t="n">
        <v>0.9</v>
      </c>
      <c r="J2165" s="33"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0" t="n">
        <v>1</v>
      </c>
      <c r="J2166" s="31"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2" t="n">
        <v>0.11</v>
      </c>
      <c r="J2167" s="33"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0" t="n">
        <v>0.06</v>
      </c>
      <c r="J2168" s="31"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2" t="n">
        <v>0.11</v>
      </c>
      <c r="J2169" s="33"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0" t="n">
        <v>0.06</v>
      </c>
      <c r="J2170" s="31"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2" t="n">
        <v>1.28</v>
      </c>
      <c r="J2171" s="33"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0" t="n">
        <v>1.43</v>
      </c>
      <c r="J2172" s="31"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2" t="n">
        <v>1.28</v>
      </c>
      <c r="J2173" s="33"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0" t="n">
        <v>1.43</v>
      </c>
      <c r="J2174" s="31"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2" t="n">
        <v>1.28</v>
      </c>
      <c r="J2175" s="33"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0" t="n">
        <v>1.43</v>
      </c>
      <c r="J2176" s="31"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2" t="n">
        <v>0.55</v>
      </c>
      <c r="J2177" s="33"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0" t="n">
        <v>0.55</v>
      </c>
      <c r="J2178" s="31"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2" t="n">
        <v>0.77</v>
      </c>
      <c r="J2179" s="33"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0" t="n">
        <v>0.86</v>
      </c>
      <c r="J2180" s="31"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2" t="n">
        <v>0.77</v>
      </c>
      <c r="J2181" s="33"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0" t="n">
        <v>0.86</v>
      </c>
      <c r="J2182" s="31"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2" t="n">
        <v>0.06</v>
      </c>
      <c r="J2183" s="33"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0" t="n">
        <v>0.06</v>
      </c>
      <c r="J2184" s="31"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2" t="n">
        <v>0.06</v>
      </c>
      <c r="J2185" s="33"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0" t="n">
        <v>0.5</v>
      </c>
      <c r="J2186" s="31"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2" t="n">
        <v>0.75</v>
      </c>
      <c r="J2187" s="33"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0" t="n">
        <v>1</v>
      </c>
      <c r="J2188" s="31"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2" t="n">
        <v>2.7</v>
      </c>
      <c r="J2189" s="33"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0" t="n">
        <v>3.6</v>
      </c>
      <c r="J2190" s="31"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2" t="n">
        <v>5.4</v>
      </c>
      <c r="J2191" s="33"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0" t="n">
        <v>3.6</v>
      </c>
      <c r="J2192" s="31"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2" t="n">
        <v>0.44</v>
      </c>
      <c r="J2193" s="33"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0" t="n">
        <v>3</v>
      </c>
      <c r="J2194" s="31"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2" t="n">
        <v>6</v>
      </c>
      <c r="J2195" s="33"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0" t="n">
        <v>6</v>
      </c>
      <c r="J2196" s="31"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2" t="n">
        <v>0.5</v>
      </c>
      <c r="J2197" s="33"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0" t="n">
        <v>0.5</v>
      </c>
      <c r="J2198" s="31"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2" t="n">
        <v>8</v>
      </c>
      <c r="J2199" s="33"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0" t="n">
        <v>2</v>
      </c>
      <c r="J2200" s="31"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2" t="n">
        <v>3</v>
      </c>
      <c r="J2201" s="33"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0" t="n">
        <v>4</v>
      </c>
      <c r="J2202" s="31"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2" t="n">
        <v>4</v>
      </c>
      <c r="J2203" s="33"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0" t="n">
        <v>0.06</v>
      </c>
      <c r="J2204" s="31"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2" t="n">
        <v>0.06</v>
      </c>
      <c r="J2205" s="33"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0" t="n">
        <v>2</v>
      </c>
      <c r="J2206" s="31"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2" t="n">
        <v>3</v>
      </c>
      <c r="J2207" s="33"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0" t="n">
        <v>4</v>
      </c>
      <c r="J2208" s="31"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2" t="n">
        <v>0.06</v>
      </c>
      <c r="J2209" s="33"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0" t="n">
        <v>0.06</v>
      </c>
      <c r="J2210" s="31"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2" t="n">
        <v>5</v>
      </c>
      <c r="J2211" s="33"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0" t="n">
        <v>2</v>
      </c>
      <c r="J2212" s="31"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2" t="n">
        <v>3</v>
      </c>
      <c r="J2213" s="33"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0" t="n">
        <v>4</v>
      </c>
      <c r="J2214" s="31"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2" t="n">
        <v>0.06</v>
      </c>
      <c r="J2215" s="33"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0" t="n">
        <v>0.06</v>
      </c>
      <c r="J2216" s="31"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2" t="n">
        <v>5</v>
      </c>
      <c r="J2217" s="33"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0" t="n">
        <v>2.55</v>
      </c>
      <c r="J2218" s="31"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2" t="n">
        <v>2.55</v>
      </c>
      <c r="J2219" s="33"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0" t="n">
        <v>0.12</v>
      </c>
      <c r="J2220" s="31"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2" t="n">
        <v>0.12</v>
      </c>
      <c r="J2221" s="33"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0" t="n">
        <v>2.55</v>
      </c>
      <c r="J2222" s="31"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2" t="n">
        <v>2.55</v>
      </c>
      <c r="J2223" s="33"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0" t="n">
        <v>0.12</v>
      </c>
      <c r="J2224" s="31"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2" t="n">
        <v>0.12</v>
      </c>
      <c r="J2225" s="33"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0" t="n">
        <v>2.55</v>
      </c>
      <c r="J2226" s="31"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2" t="n">
        <v>2.55</v>
      </c>
      <c r="J2227" s="33"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0" t="n">
        <v>0.12</v>
      </c>
      <c r="J2228" s="31"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2" t="n">
        <v>0.12</v>
      </c>
      <c r="J2229" s="33"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0" t="n">
        <v>0.17</v>
      </c>
      <c r="J2230" s="31"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2" t="n">
        <v>0.08</v>
      </c>
      <c r="J2231" s="33"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0" t="n">
        <v>0.08</v>
      </c>
      <c r="J2232" s="31"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2" t="n">
        <v>0.5</v>
      </c>
      <c r="J2233" s="33"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0" t="n">
        <v>0.17</v>
      </c>
      <c r="J2234" s="31"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2" t="n">
        <v>0.17</v>
      </c>
      <c r="J2235" s="33"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0" t="n">
        <v>0.17</v>
      </c>
      <c r="J2236" s="31"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2" t="n">
        <v>0.26</v>
      </c>
      <c r="J2237" s="33"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0" t="n">
        <v>0.34</v>
      </c>
      <c r="J2238" s="31"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2" t="n">
        <v>0.17</v>
      </c>
      <c r="J2239" s="33"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0" t="n">
        <v>0.26</v>
      </c>
      <c r="J2240" s="31"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2" t="n">
        <v>0.34</v>
      </c>
      <c r="J2241" s="33"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0" t="n">
        <v>0.027</v>
      </c>
      <c r="J2242" s="31"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2" t="n">
        <v>0.0195</v>
      </c>
      <c r="J2243" s="33"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0" t="n">
        <v>0.008399999999999999</v>
      </c>
      <c r="J2244" s="31"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2" t="n">
        <v>0.0012</v>
      </c>
      <c r="J2245" s="33"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0" t="n">
        <v>0.1</v>
      </c>
      <c r="J2246" s="31"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2" t="n">
        <v>0.15</v>
      </c>
      <c r="J2247" s="33"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0" t="n">
        <v>0.2</v>
      </c>
      <c r="J2248" s="31"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2" t="n">
        <v>0.1</v>
      </c>
      <c r="J2249" s="33"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0" t="n">
        <v>0.15</v>
      </c>
      <c r="J2250" s="31"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2" t="n">
        <v>0.2</v>
      </c>
      <c r="J2251" s="33"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0" t="n">
        <v>0.15</v>
      </c>
      <c r="J2252" s="31"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2" t="n">
        <v>0.2</v>
      </c>
      <c r="J2253" s="33"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0" t="n">
        <v>0.15</v>
      </c>
      <c r="J2254" s="31"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2" t="n">
        <v>0.2</v>
      </c>
      <c r="J2255" s="33"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0" t="n">
        <v>0.15</v>
      </c>
      <c r="J2256" s="31"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2" t="n">
        <v>0.2</v>
      </c>
      <c r="J2257" s="33"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0" t="n">
        <v>0.15</v>
      </c>
      <c r="J2258" s="31"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2" t="n">
        <v>0.2</v>
      </c>
      <c r="J2259" s="33"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0" t="n">
        <v>0.15</v>
      </c>
      <c r="J2260" s="31"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2" t="n">
        <v>0.2</v>
      </c>
      <c r="J2261" s="33"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0" t="n">
        <v>0.15</v>
      </c>
      <c r="J2262" s="31"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2" t="n">
        <v>0.2</v>
      </c>
      <c r="J2263" s="33"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0" t="n">
        <v>0.04</v>
      </c>
      <c r="J2264" s="31"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2" t="n">
        <v>0.06</v>
      </c>
      <c r="J2265" s="33"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0" t="n">
        <v>0.08</v>
      </c>
      <c r="J2266" s="31"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2" t="n">
        <v>0.04</v>
      </c>
      <c r="J2267" s="33"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0" t="n">
        <v>0.06</v>
      </c>
      <c r="J2268" s="31"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2" t="n">
        <v>0.08</v>
      </c>
      <c r="J2269" s="33"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0" t="n">
        <v>1.5</v>
      </c>
      <c r="J2270" s="31"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2" t="n">
        <v>0.75</v>
      </c>
      <c r="J2271" s="33"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0" t="n">
        <v>5.5</v>
      </c>
      <c r="J2272" s="31"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2" t="n">
        <v>1.5</v>
      </c>
      <c r="J2273" s="33"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0" t="n">
        <v>0.75</v>
      </c>
      <c r="J2274" s="31"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2" t="n">
        <v>5.5</v>
      </c>
      <c r="J2275" s="33"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0" t="n">
        <v>1.5</v>
      </c>
      <c r="J2276" s="31"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2" t="n">
        <v>0.75</v>
      </c>
      <c r="J2277" s="33"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0" t="n">
        <v>5.5</v>
      </c>
      <c r="J2278" s="31"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2" t="n">
        <v>0.04</v>
      </c>
      <c r="J2279" s="33"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0" t="n">
        <v>0.04</v>
      </c>
      <c r="J2280" s="31"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2" t="n">
        <v>0.03</v>
      </c>
      <c r="J2281" s="33"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0" t="n">
        <v>0.03</v>
      </c>
      <c r="J2282" s="31"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2" t="n">
        <v>0.03</v>
      </c>
      <c r="J2283" s="33"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0" t="n">
        <v>0.38</v>
      </c>
      <c r="J2284" s="31"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2" t="n">
        <v>0.38</v>
      </c>
      <c r="J2285" s="33"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0" t="n">
        <v>0.83</v>
      </c>
      <c r="J2286" s="31"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2" t="n">
        <v>0.83</v>
      </c>
      <c r="J2287" s="33"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0" t="n">
        <v>1.85</v>
      </c>
      <c r="J2288" s="31"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2" t="n">
        <v>1.25</v>
      </c>
      <c r="J2289" s="33"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0" t="n">
        <v>0.6</v>
      </c>
      <c r="J2290" s="31"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2" t="n">
        <v>0.7</v>
      </c>
      <c r="J2291" s="33"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0" t="n">
        <v>0.5</v>
      </c>
      <c r="J2292" s="31"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2" t="n">
        <v>0.25</v>
      </c>
      <c r="J2293" s="33"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0" t="n">
        <v>0.24</v>
      </c>
      <c r="J2294" s="31"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2" t="n">
        <v>0.9</v>
      </c>
      <c r="J2295" s="33"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0" t="n">
        <v>0.12</v>
      </c>
      <c r="J2296" s="31"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2" t="n">
        <v>0.24</v>
      </c>
      <c r="J2297" s="33"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0" t="n">
        <v>0.9</v>
      </c>
      <c r="J2298" s="31"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2" t="n">
        <v>0.12</v>
      </c>
      <c r="J2299" s="33"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0" t="n">
        <v>0.24</v>
      </c>
      <c r="J2300" s="31"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2" t="n">
        <v>0.9</v>
      </c>
      <c r="J2301" s="33"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0" t="n">
        <v>0.12</v>
      </c>
      <c r="J2302" s="31"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2" t="n">
        <v>0.4</v>
      </c>
      <c r="J2303" s="33"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0" t="n">
        <v>0.4</v>
      </c>
      <c r="J2304" s="31"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2" t="n">
        <v>0.4</v>
      </c>
      <c r="J2305" s="33"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0" t="n">
        <v>0.4</v>
      </c>
      <c r="J2306" s="31"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2" t="n">
        <v>0.5</v>
      </c>
      <c r="J2307" s="33"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0" t="n">
        <v>0.5</v>
      </c>
      <c r="J2308" s="31"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2" t="n">
        <v>0.5</v>
      </c>
      <c r="J2309" s="33"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0" t="n">
        <v>0.5</v>
      </c>
      <c r="J2310" s="31"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2" t="n">
        <v>0.6</v>
      </c>
      <c r="J2311" s="33"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0" t="n">
        <v>0.6</v>
      </c>
      <c r="J2312" s="31"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2" t="n">
        <v>0.06</v>
      </c>
      <c r="J2313" s="33"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0" t="n">
        <v>0.2</v>
      </c>
      <c r="J2314" s="31"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2" t="n">
        <v>0.02</v>
      </c>
      <c r="J2315" s="33"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0" t="n">
        <v>0.17</v>
      </c>
      <c r="J2316" s="31"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2" t="n">
        <v>0.17</v>
      </c>
      <c r="J2317" s="33"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0" t="n">
        <v>0.06</v>
      </c>
      <c r="J2318" s="31"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2" t="n">
        <v>0.17</v>
      </c>
      <c r="J2319" s="33"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0" t="n">
        <v>0.17</v>
      </c>
      <c r="J2320" s="31"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2" t="n">
        <v>0.06</v>
      </c>
      <c r="J2321" s="33"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0" t="n">
        <v>0.13</v>
      </c>
      <c r="J2322" s="31"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2" t="n">
        <v>0.13</v>
      </c>
      <c r="J2323" s="33"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0" t="n">
        <v>0.1</v>
      </c>
      <c r="J2324" s="31"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2" t="n">
        <v>0.15</v>
      </c>
      <c r="J2325" s="33"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0" t="n">
        <v>0.2</v>
      </c>
      <c r="J2326" s="31"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2" t="n">
        <v>1.08</v>
      </c>
      <c r="J2327" s="33"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0" t="n">
        <v>0.25</v>
      </c>
      <c r="J2328" s="31"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2" t="n">
        <v>1.62</v>
      </c>
      <c r="J2329" s="33"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0" t="n">
        <v>0.27</v>
      </c>
      <c r="J2330" s="31"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2" t="n">
        <v>1.08</v>
      </c>
      <c r="J2331" s="33"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0" t="n">
        <v>0.25</v>
      </c>
      <c r="J2332" s="31"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2" t="n">
        <v>1.62</v>
      </c>
      <c r="J2333" s="33"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0" t="n">
        <v>0.27</v>
      </c>
      <c r="J2334" s="31"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2" t="n">
        <v>0.9</v>
      </c>
      <c r="J2335" s="33"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0" t="n">
        <v>1.98</v>
      </c>
      <c r="J2336" s="31"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2" t="n">
        <v>0.05</v>
      </c>
      <c r="J2337" s="33"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0" t="n">
        <v>0.8</v>
      </c>
      <c r="J2338" s="31"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2" t="n">
        <v>1.4</v>
      </c>
      <c r="J2339" s="33"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0" t="n">
        <v>1.04</v>
      </c>
      <c r="J2340" s="31"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2" t="n">
        <v>0.03</v>
      </c>
      <c r="J2341" s="33"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0" t="n">
        <v>0.03</v>
      </c>
      <c r="J2342" s="31"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2" t="n">
        <v>2.15</v>
      </c>
      <c r="J2343" s="33"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0" t="n">
        <v>1.6</v>
      </c>
      <c r="J2344" s="31"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2" t="n">
        <v>1.88</v>
      </c>
      <c r="J2345" s="33"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0" t="n">
        <v>0.27</v>
      </c>
      <c r="J2346" s="31"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2" t="n">
        <v>2.15</v>
      </c>
      <c r="J2347" s="33"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0" t="n">
        <v>1.86</v>
      </c>
      <c r="J2348" s="31"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2" t="n">
        <v>1.88</v>
      </c>
      <c r="J2349" s="33"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0" t="n">
        <v>0.27</v>
      </c>
      <c r="J2350" s="31"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2" t="n">
        <v>1.88</v>
      </c>
      <c r="J2351" s="33"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0" t="n">
        <v>1.88</v>
      </c>
      <c r="J2352" s="31"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2" t="n">
        <v>0.54</v>
      </c>
      <c r="J2353" s="33"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0" t="n">
        <v>0.35</v>
      </c>
      <c r="J2354" s="31"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2" t="n">
        <v>0.18</v>
      </c>
      <c r="J2355" s="33"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0" t="n">
        <v>0.05</v>
      </c>
      <c r="J2356" s="31"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2" t="n">
        <v>0.36</v>
      </c>
      <c r="J2357" s="33"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0" t="n">
        <v>0.36</v>
      </c>
      <c r="J2358" s="31"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2" t="n">
        <v>1.79</v>
      </c>
      <c r="J2359" s="33"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0" t="n">
        <v>1.99</v>
      </c>
      <c r="J2360" s="31"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2" t="n">
        <v>1.04</v>
      </c>
      <c r="J2361" s="33"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0" t="n">
        <v>1</v>
      </c>
      <c r="J2362" s="31"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2" t="n">
        <v>0.03</v>
      </c>
      <c r="J2363" s="33"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0" t="n">
        <v>0.03</v>
      </c>
      <c r="J2364" s="31"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2" t="n">
        <v>1.6</v>
      </c>
      <c r="J2365" s="33"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0" t="n">
        <v>1.79</v>
      </c>
      <c r="J2366" s="31"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2" t="n">
        <v>1.99</v>
      </c>
      <c r="J2367" s="33"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0" t="n">
        <v>1.04</v>
      </c>
      <c r="J2368" s="31"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2" t="n">
        <v>1</v>
      </c>
      <c r="J2369" s="33"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0" t="n">
        <v>0.03</v>
      </c>
      <c r="J2370" s="31"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2" t="n">
        <v>0.03</v>
      </c>
      <c r="J2371" s="33"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0" t="n">
        <v>1.6</v>
      </c>
      <c r="J2372" s="31"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2" t="n">
        <v>1.79</v>
      </c>
      <c r="J2373" s="33"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0" t="n">
        <v>1.99</v>
      </c>
      <c r="J2374" s="31"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2" t="n">
        <v>1.04</v>
      </c>
      <c r="J2375" s="33"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0" t="n">
        <v>1</v>
      </c>
      <c r="J2376" s="31"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2" t="n">
        <v>0.03</v>
      </c>
      <c r="J2377" s="33"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0" t="n">
        <v>0.03</v>
      </c>
      <c r="J2378" s="31"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2" t="n">
        <v>1.6</v>
      </c>
      <c r="J2379" s="33"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0" t="n">
        <v>1.79</v>
      </c>
      <c r="J2380" s="31"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2" t="n">
        <v>1.99</v>
      </c>
      <c r="J2381" s="33"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0" t="n">
        <v>1.04</v>
      </c>
      <c r="J2382" s="31"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2" t="n">
        <v>1</v>
      </c>
      <c r="J2383" s="33"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0" t="n">
        <v>0.03</v>
      </c>
      <c r="J2384" s="31"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2" t="n">
        <v>0.03</v>
      </c>
      <c r="J2385" s="33"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0" t="n">
        <v>1.6</v>
      </c>
      <c r="J2386" s="31"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2" t="n">
        <v>1.79</v>
      </c>
      <c r="J2387" s="33"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0" t="n">
        <v>1.99</v>
      </c>
      <c r="J2388" s="31"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2" t="n">
        <v>1.04</v>
      </c>
      <c r="J2389" s="33"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0" t="n">
        <v>1</v>
      </c>
      <c r="J2390" s="31"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2" t="n">
        <v>0.03</v>
      </c>
      <c r="J2391" s="33"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0" t="n">
        <v>0.03</v>
      </c>
      <c r="J2392" s="31"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2" t="n">
        <v>1.6</v>
      </c>
      <c r="J2393" s="33"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0" t="n">
        <v>1.79</v>
      </c>
      <c r="J2394" s="31"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2" t="n">
        <v>1.99</v>
      </c>
      <c r="J2395" s="33"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0" t="n">
        <v>1.04</v>
      </c>
      <c r="J2396" s="31"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2" t="n">
        <v>1</v>
      </c>
      <c r="J2397" s="33"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0" t="n">
        <v>0.03</v>
      </c>
      <c r="J2398" s="31"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2" t="n">
        <v>0.03</v>
      </c>
      <c r="J2399" s="33"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0" t="n">
        <v>1.6</v>
      </c>
      <c r="J2400" s="31"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2" t="n">
        <v>1.79</v>
      </c>
      <c r="J2401" s="33"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0" t="n">
        <v>1.99</v>
      </c>
      <c r="J2402" s="31"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2" t="n">
        <v>1.04</v>
      </c>
      <c r="J2403" s="33"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0" t="n">
        <v>1</v>
      </c>
      <c r="J2404" s="31"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2" t="n">
        <v>0.03</v>
      </c>
      <c r="J2405" s="33"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0" t="n">
        <v>0.03</v>
      </c>
      <c r="J2406" s="31"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2" t="n">
        <v>1.6</v>
      </c>
      <c r="J2407" s="33"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0" t="n">
        <v>1.79</v>
      </c>
      <c r="J2408" s="31"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2" t="n">
        <v>1.99</v>
      </c>
      <c r="J2409" s="33"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0" t="n">
        <v>1.04</v>
      </c>
      <c r="J2410" s="31"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2" t="n">
        <v>1</v>
      </c>
      <c r="J2411" s="33"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0" t="n">
        <v>0.03</v>
      </c>
      <c r="J2412" s="31"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2" t="n">
        <v>0.03</v>
      </c>
      <c r="J2413" s="33"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0" t="n">
        <v>1.6</v>
      </c>
      <c r="J2414" s="31"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2" t="n">
        <v>3</v>
      </c>
      <c r="J2415" s="33"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0" t="n">
        <v>3</v>
      </c>
      <c r="J2416" s="31"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2" t="n">
        <v>1</v>
      </c>
      <c r="J2417" s="33"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0" t="n">
        <v>7</v>
      </c>
      <c r="J2418" s="31"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2" t="n">
        <v>3</v>
      </c>
      <c r="J2419" s="33"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0" t="n">
        <v>3</v>
      </c>
      <c r="J2420" s="31"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2" t="n">
        <v>1</v>
      </c>
      <c r="J2421" s="33"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0" t="n">
        <v>7</v>
      </c>
      <c r="J2422" s="31"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2" t="n">
        <v>0.25</v>
      </c>
      <c r="J2423" s="33"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0" t="n">
        <v>0.25</v>
      </c>
      <c r="J2424" s="31"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2" t="n">
        <v>0.3</v>
      </c>
      <c r="J2425" s="33"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0" t="n">
        <v>0.3</v>
      </c>
      <c r="J2426" s="31"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2" t="n">
        <v>0.3</v>
      </c>
      <c r="J2427" s="33"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0" t="n">
        <v>0.5</v>
      </c>
      <c r="J2428" s="31"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2" t="n">
        <v>1.2</v>
      </c>
      <c r="J2429" s="33"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0" t="n">
        <v>1</v>
      </c>
      <c r="J2430" s="31"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2" t="n">
        <v>1</v>
      </c>
      <c r="J2431" s="33"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0" t="n">
        <v>5</v>
      </c>
      <c r="J2432" s="31"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2" t="n">
        <v>0.54</v>
      </c>
      <c r="J2433" s="33"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0" t="n">
        <v>4</v>
      </c>
      <c r="J2434" s="31"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2" t="n">
        <v>1.6</v>
      </c>
      <c r="J2435" s="33"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0" t="n">
        <v>2</v>
      </c>
      <c r="J2436" s="31"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2" t="n">
        <v>1</v>
      </c>
      <c r="J2437" s="33"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0" t="n">
        <v>1</v>
      </c>
      <c r="J2438" s="31"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2" t="n">
        <v>1.6</v>
      </c>
      <c r="J2439" s="33"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0" t="n">
        <v>1.6</v>
      </c>
      <c r="J2440" s="31"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2" t="n">
        <v>2</v>
      </c>
      <c r="J2441" s="33"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0" t="n">
        <v>1</v>
      </c>
      <c r="J2442" s="31"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2" t="n">
        <v>1</v>
      </c>
      <c r="J2443" s="33"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0" t="n">
        <v>1.6</v>
      </c>
      <c r="J2444" s="31"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2" t="n">
        <v>1.6</v>
      </c>
      <c r="J2445" s="33"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0" t="n">
        <v>2</v>
      </c>
      <c r="J2446" s="31"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2" t="n">
        <v>1</v>
      </c>
      <c r="J2447" s="33"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0" t="n">
        <v>1</v>
      </c>
      <c r="J2448" s="31"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2" t="n">
        <v>1.6</v>
      </c>
      <c r="J2449" s="33"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0" t="n">
        <v>1.6</v>
      </c>
      <c r="J2450" s="31"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2" t="n">
        <v>2</v>
      </c>
      <c r="J2451" s="33"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0" t="n">
        <v>1</v>
      </c>
      <c r="J2452" s="31"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2" t="n">
        <v>1</v>
      </c>
      <c r="J2453" s="33"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0" t="n">
        <v>1.6</v>
      </c>
      <c r="J2454" s="31"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2" t="n">
        <v>0.22</v>
      </c>
      <c r="J2455" s="33"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0" t="n">
        <v>0.22</v>
      </c>
      <c r="J2456" s="31"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2" t="n">
        <v>0.65</v>
      </c>
      <c r="J2457" s="33"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0" t="n">
        <v>3.25</v>
      </c>
      <c r="J2458" s="31"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2" t="n">
        <v>3.25</v>
      </c>
      <c r="J2459" s="33"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0" t="n">
        <v>7.6</v>
      </c>
      <c r="J2460" s="31"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2" t="n">
        <v>3.25</v>
      </c>
      <c r="J2461" s="33"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0" t="n">
        <v>3.25</v>
      </c>
      <c r="J2462" s="31"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2" t="n">
        <v>7.6</v>
      </c>
      <c r="J2463" s="33"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0" t="n">
        <v>3.25</v>
      </c>
      <c r="J2464" s="31"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2" t="n">
        <v>3.25</v>
      </c>
      <c r="J2465" s="33"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0" t="n">
        <v>7.6</v>
      </c>
      <c r="J2466" s="31"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2" t="n">
        <v>3.25</v>
      </c>
      <c r="J2467" s="33"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0" t="n">
        <v>3.25</v>
      </c>
      <c r="J2468" s="31"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2" t="n">
        <v>7.6</v>
      </c>
      <c r="J2469" s="33"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0" t="n">
        <v>1.6</v>
      </c>
      <c r="J2470" s="31"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2" t="n">
        <v>2</v>
      </c>
      <c r="J2471" s="33"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0" t="n">
        <v>1</v>
      </c>
      <c r="J2472" s="31"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2" t="n">
        <v>1</v>
      </c>
      <c r="J2473" s="33"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0" t="n">
        <v>1.6</v>
      </c>
      <c r="J2474" s="31"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2" t="n">
        <v>1.6</v>
      </c>
      <c r="J2475" s="33"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0" t="n">
        <v>2</v>
      </c>
      <c r="J2476" s="31"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2" t="n">
        <v>1</v>
      </c>
      <c r="J2477" s="33"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0" t="n">
        <v>1</v>
      </c>
      <c r="J2478" s="31"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2" t="n">
        <v>1.6</v>
      </c>
      <c r="J2479" s="33"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0" t="n">
        <v>1.6</v>
      </c>
      <c r="J2480" s="31"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2" t="n">
        <v>2</v>
      </c>
      <c r="J2481" s="33"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0" t="n">
        <v>1</v>
      </c>
      <c r="J2482" s="31"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2" t="n">
        <v>1</v>
      </c>
      <c r="J2483" s="33"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0" t="n">
        <v>1.6</v>
      </c>
      <c r="J2484" s="31"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2" t="n">
        <v>1.6</v>
      </c>
      <c r="J2485" s="33"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0" t="n">
        <v>2</v>
      </c>
      <c r="J2486" s="31"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2" t="n">
        <v>1</v>
      </c>
      <c r="J2487" s="33"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0" t="n">
        <v>1</v>
      </c>
      <c r="J2488" s="31"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2" t="n">
        <v>1.6</v>
      </c>
      <c r="J2489" s="33"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0" t="n">
        <v>1.6</v>
      </c>
      <c r="J2490" s="31"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2" t="n">
        <v>2</v>
      </c>
      <c r="J2491" s="33"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0" t="n">
        <v>1</v>
      </c>
      <c r="J2492" s="31"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2" t="n">
        <v>1.6</v>
      </c>
      <c r="J2493" s="33"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0" t="n">
        <v>2</v>
      </c>
      <c r="J2494" s="31"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2" t="n">
        <v>1</v>
      </c>
      <c r="J2495" s="33"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0" t="n">
        <v>1.6</v>
      </c>
      <c r="J2496" s="31"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2" t="n">
        <v>2</v>
      </c>
      <c r="J2497" s="33"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0" t="n">
        <v>1</v>
      </c>
      <c r="J2498" s="31"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2" t="n">
        <v>1.6</v>
      </c>
      <c r="J2499" s="33"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0" t="n">
        <v>2</v>
      </c>
      <c r="J2500" s="31"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2" t="n">
        <v>1</v>
      </c>
      <c r="J2501" s="33"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0" t="n">
        <v>0.2</v>
      </c>
      <c r="J2502" s="31"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2" t="n">
        <v>0.2</v>
      </c>
      <c r="J2503" s="33"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0" t="n">
        <v>0.25</v>
      </c>
      <c r="J2504" s="31"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2" t="n">
        <v>0.25</v>
      </c>
      <c r="J2505" s="33"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0" t="n">
        <v>0.25</v>
      </c>
      <c r="J2506" s="31"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2" t="n">
        <v>0.25</v>
      </c>
      <c r="J2507" s="33"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0" t="n">
        <v>1.2</v>
      </c>
      <c r="J2508" s="31"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2" t="n">
        <v>1</v>
      </c>
      <c r="J2509" s="33"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0" t="n">
        <v>1</v>
      </c>
      <c r="J2510" s="31"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2" t="n">
        <v>5</v>
      </c>
      <c r="J2511" s="33"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0" t="n">
        <v>4</v>
      </c>
      <c r="J2512" s="31"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2" t="n">
        <v>1.2</v>
      </c>
      <c r="J2513" s="33"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0" t="n">
        <v>1</v>
      </c>
      <c r="J2514" s="31"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2" t="n">
        <v>1</v>
      </c>
      <c r="J2515" s="33"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0" t="n">
        <v>5</v>
      </c>
      <c r="J2516" s="31"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2" t="n">
        <v>4</v>
      </c>
      <c r="J2517" s="33"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0" t="n">
        <v>1.2</v>
      </c>
      <c r="J2518" s="31"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2" t="n">
        <v>1</v>
      </c>
      <c r="J2519" s="33"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0" t="n">
        <v>1</v>
      </c>
      <c r="J2520" s="31"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2" t="n">
        <v>5</v>
      </c>
      <c r="J2521" s="33"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0" t="n">
        <v>4</v>
      </c>
      <c r="J2522" s="31"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2" t="n">
        <v>1.2</v>
      </c>
      <c r="J2523" s="33"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0" t="n">
        <v>1</v>
      </c>
      <c r="J2524" s="31"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2" t="n">
        <v>1</v>
      </c>
      <c r="J2525" s="33"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0" t="n">
        <v>5</v>
      </c>
      <c r="J2526" s="31"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2" t="n">
        <v>4</v>
      </c>
      <c r="J2527" s="33"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0" t="n">
        <v>1.2</v>
      </c>
      <c r="J2528" s="31"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2" t="n">
        <v>1</v>
      </c>
      <c r="J2529" s="33"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0" t="n">
        <v>1</v>
      </c>
      <c r="J2530" s="31"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2" t="n">
        <v>5</v>
      </c>
      <c r="J2531" s="33"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0" t="n">
        <v>4</v>
      </c>
      <c r="J2532" s="31"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2" t="n">
        <v>1.2</v>
      </c>
      <c r="J2533" s="33"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0" t="n">
        <v>1</v>
      </c>
      <c r="J2534" s="31"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2" t="n">
        <v>1</v>
      </c>
      <c r="J2535" s="33"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0" t="n">
        <v>5</v>
      </c>
      <c r="J2536" s="31"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2" t="n">
        <v>4</v>
      </c>
      <c r="J2537" s="33"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0" t="n">
        <v>2</v>
      </c>
      <c r="J2538" s="31"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2" t="n">
        <v>1.5</v>
      </c>
      <c r="J2539" s="33"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0" t="n">
        <v>2.5</v>
      </c>
      <c r="J2540" s="31"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2" t="n">
        <v>1.95</v>
      </c>
      <c r="J2541" s="33"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0" t="n">
        <v>1.4</v>
      </c>
      <c r="J2542" s="31"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2" t="n">
        <v>0.75</v>
      </c>
      <c r="J2543" s="33"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0" t="n">
        <v>3.18</v>
      </c>
      <c r="J2544" s="31"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2" t="n">
        <v>1.2</v>
      </c>
      <c r="J2545" s="33"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0" t="n">
        <v>1</v>
      </c>
      <c r="J2546" s="31"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2" t="n">
        <v>1</v>
      </c>
      <c r="J2547" s="33"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0" t="n">
        <v>5</v>
      </c>
      <c r="J2548" s="31"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2" t="n">
        <v>4</v>
      </c>
      <c r="J2549" s="33"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0" t="n">
        <v>3</v>
      </c>
      <c r="J2550" s="31"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2" t="n">
        <v>3</v>
      </c>
      <c r="J2551" s="33"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0" t="n">
        <v>1</v>
      </c>
      <c r="J2552" s="31"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2" t="n">
        <v>7</v>
      </c>
      <c r="J2553" s="33"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0" t="n">
        <v>3.1</v>
      </c>
      <c r="J2554" s="31"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2" t="n">
        <v>1.1</v>
      </c>
      <c r="J2555" s="33"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0" t="n">
        <v>0.55</v>
      </c>
      <c r="J2556" s="31"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2" t="n">
        <v>0.27</v>
      </c>
      <c r="J2557" s="33"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0" t="n">
        <v>3.1</v>
      </c>
      <c r="J2558" s="31"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2" t="n">
        <v>1.1</v>
      </c>
      <c r="J2559" s="33"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0" t="n">
        <v>0.55</v>
      </c>
      <c r="J2560" s="31"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2" t="n">
        <v>0.27</v>
      </c>
      <c r="J2561" s="33"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0" t="n">
        <v>3.9</v>
      </c>
      <c r="J2562" s="31"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2" t="n">
        <v>1.1</v>
      </c>
      <c r="J2563" s="33"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0" t="n">
        <v>1.4</v>
      </c>
      <c r="J2564" s="31"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2" t="n">
        <v>0.55</v>
      </c>
      <c r="J2565" s="33"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0" t="n">
        <v>3.9</v>
      </c>
      <c r="J2566" s="31"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2" t="n">
        <v>1.1</v>
      </c>
      <c r="J2567" s="33"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0" t="n">
        <v>1.4</v>
      </c>
      <c r="J2568" s="31"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2" t="n">
        <v>0.55</v>
      </c>
      <c r="J2569" s="33"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0" t="n">
        <v>3.9</v>
      </c>
      <c r="J2570" s="31"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2" t="n">
        <v>1.1</v>
      </c>
      <c r="J2571" s="33"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0" t="n">
        <v>1.4</v>
      </c>
      <c r="J2572" s="31"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2" t="n">
        <v>0.55</v>
      </c>
      <c r="J2573" s="33"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0" t="n">
        <v>0.618</v>
      </c>
      <c r="J2574" s="31"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2" t="n">
        <v>0.988</v>
      </c>
      <c r="J2575" s="33"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0" t="n">
        <v>3.9</v>
      </c>
      <c r="J2576" s="31"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2" t="n">
        <v>1.1</v>
      </c>
      <c r="J2577" s="33"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0" t="n">
        <v>1.4</v>
      </c>
      <c r="J2578" s="31"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2" t="n">
        <v>0.55</v>
      </c>
      <c r="J2579" s="33"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0" t="n">
        <v>0.618</v>
      </c>
      <c r="J2580" s="31"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2" t="n">
        <v>0.988</v>
      </c>
      <c r="J2581" s="33"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0" t="n">
        <v>1.5</v>
      </c>
      <c r="J2582" s="31"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2" t="n">
        <v>0.2</v>
      </c>
      <c r="J2583" s="33"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0" t="n">
        <v>0.2</v>
      </c>
      <c r="J2584" s="31"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2" t="n">
        <v>2.68</v>
      </c>
      <c r="J2585" s="33"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0" t="n">
        <v>1.35</v>
      </c>
      <c r="J2586" s="31"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2" t="n">
        <v>2.16</v>
      </c>
      <c r="J2587" s="33"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0" t="n">
        <v>1.08</v>
      </c>
      <c r="J2588" s="31"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2" t="n">
        <v>1.75</v>
      </c>
      <c r="J2589" s="33"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0" t="n">
        <v>2.25</v>
      </c>
      <c r="J2590" s="31"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2" t="n">
        <v>1.5</v>
      </c>
      <c r="J2591" s="33"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0" t="n">
        <v>0.1</v>
      </c>
      <c r="J2592" s="31"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2" t="n">
        <v>0.09</v>
      </c>
      <c r="J2593" s="33"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0" t="n">
        <v>0.45</v>
      </c>
      <c r="J2594" s="31"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2" t="n">
        <v>0.25</v>
      </c>
      <c r="J2595" s="33"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0" t="n">
        <v>0.2</v>
      </c>
      <c r="J2596" s="31"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2" t="n">
        <v>0.2</v>
      </c>
      <c r="J2597" s="33"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0" t="n">
        <v>0.25</v>
      </c>
      <c r="J2598" s="31"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2" t="n">
        <v>0.25</v>
      </c>
      <c r="J2599" s="33"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0" t="n">
        <v>0.2</v>
      </c>
      <c r="J2600" s="31"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2" t="n">
        <v>0.2</v>
      </c>
      <c r="J2601" s="33"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0" t="n">
        <v>0.2</v>
      </c>
      <c r="J2602" s="31"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2" t="n">
        <v>0.2</v>
      </c>
      <c r="J2603" s="33"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0" t="n">
        <v>0.2</v>
      </c>
      <c r="J2604" s="31"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2" t="n">
        <v>0.2</v>
      </c>
      <c r="J2605" s="33"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0" t="n">
        <v>0.2</v>
      </c>
      <c r="J2606" s="31"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2" t="n">
        <v>0.2</v>
      </c>
      <c r="J2607" s="33"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0" t="n">
        <v>0.2</v>
      </c>
      <c r="J2608" s="31"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2" t="n">
        <v>0.2</v>
      </c>
      <c r="J2609" s="33"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0" t="n">
        <v>0.2</v>
      </c>
      <c r="J2610" s="31"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2" t="n">
        <v>0.2</v>
      </c>
      <c r="J2611" s="33"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0" t="n">
        <v>0.2</v>
      </c>
      <c r="J2612" s="31"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2" t="n">
        <v>0.2</v>
      </c>
      <c r="J2613" s="33"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0" t="n">
        <v>0.2</v>
      </c>
      <c r="J2614" s="31"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2" t="n">
        <v>0.2</v>
      </c>
      <c r="J2615" s="33"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0" t="n">
        <v>0.2</v>
      </c>
      <c r="J2616" s="31"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2" t="n">
        <v>0.2</v>
      </c>
      <c r="J2617" s="33"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0" t="n">
        <v>0.67</v>
      </c>
      <c r="J2618" s="31"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2" t="n">
        <v>0.75</v>
      </c>
      <c r="J2619" s="33"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0" t="n">
        <v>0.92</v>
      </c>
      <c r="J2620" s="31"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2" t="n">
        <v>0.5</v>
      </c>
      <c r="J2621" s="33"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0" t="n">
        <v>1.2</v>
      </c>
      <c r="J2622" s="31"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2" t="n">
        <v>1</v>
      </c>
      <c r="J2623" s="33"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0" t="n">
        <v>1</v>
      </c>
      <c r="J2624" s="31"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2" t="n">
        <v>0.54</v>
      </c>
      <c r="J2625" s="33"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0" t="n">
        <v>0.7</v>
      </c>
      <c r="J2626" s="31"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2" t="n">
        <v>0.52</v>
      </c>
      <c r="J2627" s="33"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0" t="n">
        <v>0.36</v>
      </c>
      <c r="J2628" s="31"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2" t="n">
        <v>0.5</v>
      </c>
      <c r="J2629" s="33"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0" t="n">
        <v>1</v>
      </c>
      <c r="J2630" s="31"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2" t="n">
        <v>0.25</v>
      </c>
      <c r="J2631" s="33"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0" t="n">
        <v>0.25</v>
      </c>
      <c r="J2632" s="31"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2" t="n">
        <v>0.25</v>
      </c>
      <c r="J2633" s="33"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0" t="n">
        <v>0.25</v>
      </c>
      <c r="J2634" s="31"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2" t="n">
        <v>0.25</v>
      </c>
      <c r="J2635" s="33"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0" t="n">
        <v>0.25</v>
      </c>
      <c r="J2636" s="31"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2" t="n">
        <v>0.25</v>
      </c>
      <c r="J2637" s="33"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0" t="n">
        <v>0.25</v>
      </c>
      <c r="J2638" s="31"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2" t="n">
        <v>0.25</v>
      </c>
      <c r="J2639" s="33"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0" t="n">
        <v>0.25</v>
      </c>
      <c r="J2640" s="31"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2" t="n">
        <v>0.25</v>
      </c>
      <c r="J2641" s="33"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0" t="n">
        <v>0.5</v>
      </c>
      <c r="J2642" s="31"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2" t="n">
        <v>0.25</v>
      </c>
      <c r="J2643" s="33"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0" t="n">
        <v>0.5</v>
      </c>
      <c r="J2644" s="31"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2" t="n">
        <v>0.25</v>
      </c>
      <c r="J2645" s="33"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0" t="n">
        <v>0.5</v>
      </c>
      <c r="J2646" s="31"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2" t="n">
        <v>0.25</v>
      </c>
      <c r="J2647" s="33"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0" t="n">
        <v>0.5</v>
      </c>
      <c r="J2648" s="31"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2" t="n">
        <v>0.1</v>
      </c>
      <c r="J2649" s="33"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0" t="n">
        <v>0.1</v>
      </c>
      <c r="J2650" s="31"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2" t="n">
        <v>0.08</v>
      </c>
      <c r="J2651" s="33"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0" t="n">
        <v>0.08</v>
      </c>
      <c r="J2652" s="31"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2" t="n">
        <v>0.06</v>
      </c>
      <c r="J2653" s="33"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0" t="n">
        <v>0.06</v>
      </c>
      <c r="J2654" s="31"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2" t="n">
        <v>0.04</v>
      </c>
      <c r="J2655" s="33"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0" t="n">
        <v>0.04</v>
      </c>
      <c r="J2656" s="31"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2" t="n">
        <v>0.2</v>
      </c>
      <c r="J2657" s="33"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0" t="n">
        <v>0.4</v>
      </c>
      <c r="J2658" s="31"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2" t="n">
        <v>0.2</v>
      </c>
      <c r="J2659" s="33"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0" t="n">
        <v>0.4</v>
      </c>
      <c r="J2660" s="31"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2" t="n">
        <v>0.2</v>
      </c>
      <c r="J2661" s="33"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0" t="n">
        <v>0.4</v>
      </c>
      <c r="J2662" s="31"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2" t="n">
        <v>0.2</v>
      </c>
      <c r="J2663" s="33"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0" t="n">
        <v>0.4</v>
      </c>
      <c r="J2664" s="31"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2" t="n">
        <v>1.2</v>
      </c>
      <c r="J2665" s="33"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0" t="n">
        <v>1</v>
      </c>
      <c r="J2666" s="31"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2" t="n">
        <v>1</v>
      </c>
      <c r="J2667" s="33"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0" t="n">
        <v>5</v>
      </c>
      <c r="J2668" s="31"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2" t="n">
        <v>4</v>
      </c>
      <c r="J2669" s="33"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0" t="n">
        <v>1.75</v>
      </c>
      <c r="J2670" s="31"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2" t="n">
        <v>1.25</v>
      </c>
      <c r="J2671" s="33"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0" t="n">
        <v>1</v>
      </c>
      <c r="J2672" s="31"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2" t="n">
        <v>5</v>
      </c>
      <c r="J2673" s="33"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0" t="n">
        <v>4</v>
      </c>
      <c r="J2674" s="31"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2" t="n">
        <v>1.6</v>
      </c>
      <c r="J2675" s="33"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0" t="n">
        <v>1.6</v>
      </c>
      <c r="J2676" s="31"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2" t="n">
        <v>25</v>
      </c>
      <c r="J2677" s="33"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0" t="n">
        <v>25</v>
      </c>
      <c r="J2678" s="31"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2" t="n">
        <v>25</v>
      </c>
      <c r="J2679" s="33"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0" t="n">
        <v>25</v>
      </c>
      <c r="J2680" s="31"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2" t="n">
        <v>1.2</v>
      </c>
      <c r="J2681" s="33"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0" t="n">
        <v>1</v>
      </c>
      <c r="J2682" s="31"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2" t="n">
        <v>1</v>
      </c>
      <c r="J2683" s="33"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0" t="n">
        <v>5</v>
      </c>
      <c r="J2684" s="31"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2" t="n">
        <v>1.2</v>
      </c>
      <c r="J2685" s="33"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0" t="n">
        <v>1</v>
      </c>
      <c r="J2686" s="31"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2" t="n">
        <v>1</v>
      </c>
      <c r="J2687" s="33"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0" t="n">
        <v>2</v>
      </c>
      <c r="J2688" s="31"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2" t="n">
        <v>2</v>
      </c>
      <c r="J2689" s="33"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0" t="n">
        <v>1.3</v>
      </c>
      <c r="J2690" s="31"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2" t="n">
        <v>15.5</v>
      </c>
      <c r="J2691" s="33"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0" t="n">
        <v>15.5</v>
      </c>
      <c r="J2692" s="31"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2" t="n">
        <v>1.13</v>
      </c>
      <c r="J2693" s="33"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0" t="n">
        <v>1.13</v>
      </c>
      <c r="J2694" s="31"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2" t="n">
        <v>2.53</v>
      </c>
      <c r="J2695" s="33"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0" t="n">
        <v>2.53</v>
      </c>
      <c r="J2696" s="31"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2" t="n">
        <v>1.3</v>
      </c>
      <c r="J2697" s="33"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0" t="n">
        <v>15.5</v>
      </c>
      <c r="J2698" s="31"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2" t="n">
        <v>15.5</v>
      </c>
      <c r="J2699" s="33"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0" t="n">
        <v>1.13</v>
      </c>
      <c r="J2700" s="31"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2" t="n">
        <v>1.13</v>
      </c>
      <c r="J2701" s="33"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0" t="n">
        <v>2.53</v>
      </c>
      <c r="J2702" s="31"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2" t="n">
        <v>2.53</v>
      </c>
      <c r="J2703" s="33"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0" t="n">
        <v>1.3</v>
      </c>
      <c r="J2704" s="31"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2" t="n">
        <v>15.5</v>
      </c>
      <c r="J2705" s="33"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0" t="n">
        <v>15.5</v>
      </c>
      <c r="J2706" s="31"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2" t="n">
        <v>1.13</v>
      </c>
      <c r="J2707" s="33"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0" t="n">
        <v>1.13</v>
      </c>
      <c r="J2708" s="31"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2" t="n">
        <v>2.53</v>
      </c>
      <c r="J2709" s="33"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0" t="n">
        <v>2.53</v>
      </c>
      <c r="J2710" s="31"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2" t="n">
        <v>0.15</v>
      </c>
      <c r="J2711" s="33"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0" t="n">
        <v>0.15</v>
      </c>
      <c r="J2712" s="31"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2" t="n">
        <v>0.12</v>
      </c>
      <c r="J2713" s="33"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0" t="n">
        <v>0.12</v>
      </c>
      <c r="J2714" s="31"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2" t="n">
        <v>0.12</v>
      </c>
      <c r="J2715" s="33"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0" t="n">
        <v>0.12</v>
      </c>
      <c r="J2716" s="31"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2" t="n">
        <v>3.13</v>
      </c>
      <c r="J2717" s="33"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0" t="n">
        <v>6.26</v>
      </c>
      <c r="J2718" s="31"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2" t="n">
        <v>2.5</v>
      </c>
      <c r="J2719" s="33"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0" t="n">
        <v>5</v>
      </c>
      <c r="J2720" s="31"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2" t="n">
        <v>2.5</v>
      </c>
      <c r="J2721" s="33"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0" t="n">
        <v>5</v>
      </c>
      <c r="J2722" s="31"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2" t="n">
        <v>0.4</v>
      </c>
      <c r="J2723" s="33"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0" t="n">
        <v>1.2</v>
      </c>
      <c r="J2724" s="31"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2" t="n">
        <v>0.8</v>
      </c>
      <c r="J2725" s="33"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0" t="n">
        <v>2.4</v>
      </c>
      <c r="J2726" s="31"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2" t="n">
        <v>0.4</v>
      </c>
      <c r="J2727" s="33"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0" t="n">
        <v>1.2</v>
      </c>
      <c r="J2728" s="31"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2" t="n">
        <v>0.8</v>
      </c>
      <c r="J2729" s="33"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0" t="n">
        <v>2.4</v>
      </c>
      <c r="J2730" s="31"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2" t="n">
        <v>0.4</v>
      </c>
      <c r="J2731" s="33"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0" t="n">
        <v>1.2</v>
      </c>
      <c r="J2732" s="31"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2" t="n">
        <v>0.8</v>
      </c>
      <c r="J2733" s="33"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0" t="n">
        <v>2.4</v>
      </c>
      <c r="J2734" s="31"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2" t="n">
        <v>0.5</v>
      </c>
      <c r="J2735" s="33"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0" t="n">
        <v>1.48</v>
      </c>
      <c r="J2736" s="31"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2" t="n">
        <v>1</v>
      </c>
      <c r="J2737" s="33"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0" t="n">
        <v>3</v>
      </c>
      <c r="J2738" s="31"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2" t="n">
        <v>0.5</v>
      </c>
      <c r="J2739" s="33"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0" t="n">
        <v>0.5</v>
      </c>
      <c r="J2740" s="31"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2" t="n">
        <v>0.28</v>
      </c>
      <c r="J2741" s="33"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0" t="n">
        <v>0.84</v>
      </c>
      <c r="J2742" s="31"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2" t="n">
        <v>0.62</v>
      </c>
      <c r="J2743" s="33"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0" t="n">
        <v>1.68</v>
      </c>
      <c r="J2744" s="31"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2" t="n">
        <v>0.5</v>
      </c>
      <c r="J2745" s="33"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0" t="n">
        <v>0.5</v>
      </c>
      <c r="J2746" s="31"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2" t="n">
        <v>0.28</v>
      </c>
      <c r="J2747" s="33"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0" t="n">
        <v>0.84</v>
      </c>
      <c r="J2748" s="31"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2" t="n">
        <v>0.62</v>
      </c>
      <c r="J2749" s="33"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0" t="n">
        <v>1.68</v>
      </c>
      <c r="J2750" s="31"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2" t="n">
        <v>2.34</v>
      </c>
      <c r="J2751" s="33"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0" t="n">
        <v>9.34</v>
      </c>
      <c r="J2752" s="31"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2" t="n">
        <v>9.34</v>
      </c>
      <c r="J2753" s="33"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0" t="n">
        <v>0.12</v>
      </c>
      <c r="J2754" s="31"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2" t="n">
        <v>0.12</v>
      </c>
      <c r="J2755" s="33"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0" t="n">
        <v>1</v>
      </c>
      <c r="J2756" s="31"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2" t="n">
        <v>1</v>
      </c>
      <c r="J2757" s="33"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0" t="n">
        <v>0.5</v>
      </c>
      <c r="J2758" s="31"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2" t="n">
        <v>0.5</v>
      </c>
      <c r="J2759" s="33"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0" t="n">
        <v>0.14</v>
      </c>
      <c r="J2760" s="31"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2" t="n">
        <v>0.55</v>
      </c>
      <c r="J2761" s="33"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0" t="n">
        <v>1.64</v>
      </c>
      <c r="J2762" s="31"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2" t="n">
        <v>0.14</v>
      </c>
      <c r="J2763" s="33"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0" t="n">
        <v>0.55</v>
      </c>
      <c r="J2764" s="31"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2" t="n">
        <v>1.64</v>
      </c>
      <c r="J2765" s="33"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0" t="n">
        <v>0.14</v>
      </c>
      <c r="J2766" s="31"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2" t="n">
        <v>0.55</v>
      </c>
      <c r="J2767" s="33"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0" t="n">
        <v>1.64</v>
      </c>
      <c r="J2768" s="31"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2" t="n">
        <v>0.14</v>
      </c>
      <c r="J2769" s="33"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0" t="n">
        <v>0.55</v>
      </c>
      <c r="J2770" s="31"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2" t="n">
        <v>1.64</v>
      </c>
      <c r="J2771" s="33"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0" t="n">
        <v>0.07000000000000001</v>
      </c>
      <c r="J2772" s="31"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2" t="n">
        <v>0.28</v>
      </c>
      <c r="J2773" s="33"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0" t="n">
        <v>0.82</v>
      </c>
      <c r="J2774" s="31"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2" t="n">
        <v>0.07000000000000001</v>
      </c>
      <c r="J2775" s="33"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0" t="n">
        <v>0.28</v>
      </c>
      <c r="J2776" s="31"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2" t="n">
        <v>0.82</v>
      </c>
      <c r="J2777" s="33"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0" t="n">
        <v>0.1</v>
      </c>
      <c r="J2778" s="31"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2" t="n">
        <v>0.3</v>
      </c>
      <c r="J2779" s="33"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0" t="n">
        <v>1</v>
      </c>
      <c r="J2780" s="31"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2" t="n">
        <v>0.1</v>
      </c>
      <c r="J2781" s="33"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0" t="n">
        <v>0.3</v>
      </c>
      <c r="J2782" s="31"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2" t="n">
        <v>1</v>
      </c>
      <c r="J2783" s="33"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0" t="n">
        <v>0.04</v>
      </c>
      <c r="J2784" s="31"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2" t="n">
        <v>0.06</v>
      </c>
      <c r="J2785" s="33"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0" t="n">
        <v>0.4</v>
      </c>
      <c r="J2786" s="31"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2" t="n">
        <v>0.1</v>
      </c>
      <c r="J2787" s="33"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0" t="n">
        <v>0.3</v>
      </c>
      <c r="J2788" s="31"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2" t="n">
        <v>1</v>
      </c>
      <c r="J2789" s="33"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0" t="n">
        <v>1</v>
      </c>
      <c r="J2790" s="31"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2" t="n">
        <v>1</v>
      </c>
      <c r="J2791" s="33"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0" t="n">
        <v>0.12</v>
      </c>
      <c r="J2792" s="31"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2" t="n">
        <v>0.38</v>
      </c>
      <c r="J2793" s="33"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0" t="n">
        <v>0.38</v>
      </c>
      <c r="J2794" s="31"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2" t="n">
        <v>0.38</v>
      </c>
      <c r="J2795" s="33"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0" t="n">
        <v>0.15</v>
      </c>
      <c r="J2796" s="31"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2" t="n">
        <v>1.3</v>
      </c>
      <c r="J2797" s="33"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0" t="n">
        <v>3.75</v>
      </c>
      <c r="J2798" s="31"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2" t="n">
        <v>1.1</v>
      </c>
      <c r="J2799" s="33"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0" t="n">
        <v>1.3</v>
      </c>
      <c r="J2800" s="31"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2" t="n">
        <v>3.75</v>
      </c>
      <c r="J2801" s="33"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0" t="n">
        <v>1.1</v>
      </c>
      <c r="J2802" s="31"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2" t="n">
        <v>0.07000000000000001</v>
      </c>
      <c r="J2803" s="33"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0" t="n">
        <v>0.04</v>
      </c>
      <c r="J2804" s="31"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2" t="n">
        <v>0.8100000000000001</v>
      </c>
      <c r="J2805" s="33"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0" t="n">
        <v>1.08</v>
      </c>
      <c r="J2806" s="31"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2" t="n">
        <v>0.27</v>
      </c>
      <c r="J2807" s="33"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0" t="n">
        <v>0.6</v>
      </c>
      <c r="J2808" s="31"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2" t="n">
        <v>2.6</v>
      </c>
      <c r="J2809" s="33"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0" t="n">
        <v>0.08500000000000001</v>
      </c>
      <c r="J2810" s="31"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2" t="n">
        <v>0.056</v>
      </c>
      <c r="J2811" s="33"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0" t="n">
        <v>0.025</v>
      </c>
      <c r="J2812" s="31"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2" t="n">
        <v>0.005</v>
      </c>
      <c r="J2813" s="33"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0" t="n">
        <v>0.005</v>
      </c>
      <c r="J2814" s="31"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2" t="n">
        <v>0.0037</v>
      </c>
      <c r="J2815" s="33"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0" t="n">
        <v>0.15</v>
      </c>
      <c r="J2816" s="31"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2" t="n">
        <v>0.15</v>
      </c>
      <c r="J2817" s="33"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0" t="n">
        <v>0.25</v>
      </c>
      <c r="J2818" s="31"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2" t="n">
        <v>0.25</v>
      </c>
      <c r="J2819" s="33"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0" t="n">
        <v>1</v>
      </c>
      <c r="J2820" s="31"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2" t="n">
        <v>0.081</v>
      </c>
      <c r="J2821" s="33"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0" t="n">
        <v>0.101</v>
      </c>
      <c r="J2822" s="31"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2" t="n">
        <v>0.033</v>
      </c>
      <c r="J2823" s="33"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0" t="n">
        <v>0.008999999999999999</v>
      </c>
      <c r="J2824" s="31"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2" t="n">
        <v>0.006</v>
      </c>
      <c r="J2825" s="33"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0" t="n">
        <v>0.0027</v>
      </c>
      <c r="J2826" s="31"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2" t="n">
        <v>0.0005</v>
      </c>
      <c r="J2827" s="33"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0" t="n">
        <v>0.0005</v>
      </c>
      <c r="J2828" s="31"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2" t="n">
        <v>0.0004</v>
      </c>
      <c r="J2829" s="33"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0" t="n">
        <v>0.0235</v>
      </c>
      <c r="J2830" s="31"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2" t="n">
        <v>0.0235</v>
      </c>
      <c r="J2831" s="33"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0" t="n">
        <v>0.0078</v>
      </c>
      <c r="J2832" s="31"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2" t="n">
        <v>0.008</v>
      </c>
      <c r="J2833" s="33"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0" t="n">
        <v>0.008</v>
      </c>
      <c r="J2834" s="31"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2" t="n">
        <v>1.52</v>
      </c>
      <c r="J2835" s="33"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0" t="n">
        <v>1.82</v>
      </c>
      <c r="J2836" s="31"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2" t="n">
        <v>1.52</v>
      </c>
      <c r="J2837" s="33"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0" t="n">
        <v>0.3</v>
      </c>
      <c r="J2838" s="31"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2" t="n">
        <v>1.52</v>
      </c>
      <c r="J2839" s="33"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0" t="n">
        <v>1.82</v>
      </c>
      <c r="J2840" s="31"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2" t="n">
        <v>1.52</v>
      </c>
      <c r="J2841" s="33"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0" t="n">
        <v>0.3</v>
      </c>
      <c r="J2842" s="31"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2" t="n">
        <v>2.5</v>
      </c>
      <c r="J2843" s="33"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0" t="n">
        <v>2</v>
      </c>
      <c r="J2844" s="31"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2" t="n">
        <v>2.5</v>
      </c>
      <c r="J2845" s="33"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0" t="n">
        <v>2</v>
      </c>
      <c r="J2846" s="31"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2" t="n">
        <v>2.5</v>
      </c>
      <c r="J2847" s="33"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0" t="n">
        <v>2</v>
      </c>
      <c r="J2848" s="31"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2" t="n">
        <v>2.5</v>
      </c>
      <c r="J2849" s="33"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0" t="n">
        <v>2</v>
      </c>
      <c r="J2850" s="31"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2" t="n">
        <v>2.5</v>
      </c>
      <c r="J2851" s="33"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0" t="n">
        <v>2</v>
      </c>
      <c r="J2852" s="31"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2" t="n">
        <v>2.5</v>
      </c>
      <c r="J2853" s="33"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0" t="n">
        <v>2</v>
      </c>
      <c r="J2854" s="31"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2" t="n">
        <v>2.65</v>
      </c>
      <c r="J2855" s="33"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0" t="n">
        <v>0.145</v>
      </c>
      <c r="J2856" s="31"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2" t="n">
        <v>2.79</v>
      </c>
      <c r="J2857" s="33"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0" t="n">
        <v>0.49</v>
      </c>
      <c r="J2858" s="31"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2" t="n">
        <v>0.39</v>
      </c>
      <c r="J2859" s="33"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0" t="n">
        <v>2.5</v>
      </c>
      <c r="J2860" s="31"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2" t="n">
        <v>2.5</v>
      </c>
      <c r="J2861" s="33"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0" t="n">
        <v>0.49</v>
      </c>
      <c r="J2862" s="31"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2" t="n">
        <v>0.39</v>
      </c>
      <c r="J2863" s="33"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0" t="n">
        <v>2.5</v>
      </c>
      <c r="J2864" s="31"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2" t="n">
        <v>2.5</v>
      </c>
      <c r="J2865" s="33"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0" t="n">
        <v>0.49</v>
      </c>
      <c r="J2866" s="31"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2" t="n">
        <v>0.39</v>
      </c>
      <c r="J2867" s="33"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0" t="n">
        <v>2.5</v>
      </c>
      <c r="J2868" s="31"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2" t="n">
        <v>2.5</v>
      </c>
      <c r="J2869" s="33"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0" t="n">
        <v>0.49</v>
      </c>
      <c r="J2870" s="31"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2" t="n">
        <v>0.39</v>
      </c>
      <c r="J2871" s="33"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0" t="n">
        <v>2.5</v>
      </c>
      <c r="J2872" s="31"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2" t="n">
        <v>2.5</v>
      </c>
      <c r="J2873" s="33"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0" t="n">
        <v>0.49</v>
      </c>
      <c r="J2874" s="31"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2" t="n">
        <v>0.39</v>
      </c>
      <c r="J2875" s="33"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0" t="n">
        <v>2.5</v>
      </c>
      <c r="J2876" s="31"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2" t="n">
        <v>2.5</v>
      </c>
      <c r="J2877" s="33"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0" t="n">
        <v>1</v>
      </c>
      <c r="J2878" s="31"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2" t="n">
        <v>1</v>
      </c>
      <c r="J2879" s="33"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0" t="n">
        <v>2</v>
      </c>
      <c r="J2880" s="31"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2" t="n">
        <v>1.6</v>
      </c>
      <c r="J2881" s="33"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0" t="n">
        <v>1.6</v>
      </c>
      <c r="J2882" s="31"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2" t="n">
        <v>3.23</v>
      </c>
      <c r="J2883" s="33"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0" t="n">
        <v>3.23</v>
      </c>
      <c r="J2884" s="31"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2" t="n">
        <v>0.54</v>
      </c>
      <c r="J2885" s="33"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0" t="n">
        <v>1.6</v>
      </c>
      <c r="J2886" s="31"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2" t="n">
        <v>1.6</v>
      </c>
      <c r="J2887" s="33"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0" t="n">
        <v>3.23</v>
      </c>
      <c r="J2888" s="31"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2" t="n">
        <v>3.23</v>
      </c>
      <c r="J2889" s="33"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0" t="n">
        <v>0.54</v>
      </c>
      <c r="J2890" s="31"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2" t="n">
        <v>0.5</v>
      </c>
      <c r="J2891" s="33"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0" t="n">
        <v>1</v>
      </c>
      <c r="J2892" s="31"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2" t="n">
        <v>1.5</v>
      </c>
      <c r="J2893" s="33"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0" t="n">
        <v>2</v>
      </c>
      <c r="J2894" s="31"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2" t="n">
        <v>2</v>
      </c>
      <c r="J2895" s="33"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0" t="n">
        <v>0.25</v>
      </c>
      <c r="J2896" s="31"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2" t="n">
        <v>1</v>
      </c>
      <c r="J2897" s="33"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0" t="n">
        <v>1</v>
      </c>
      <c r="J2898" s="31"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2" t="n">
        <v>0.25</v>
      </c>
      <c r="J2899" s="33"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0" t="n">
        <v>1</v>
      </c>
      <c r="J2900" s="31"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2" t="n">
        <v>2</v>
      </c>
      <c r="J2901" s="33"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0" t="n">
        <v>0.5</v>
      </c>
      <c r="J2902" s="31"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2" t="n">
        <v>0.5</v>
      </c>
      <c r="J2903" s="33"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0" t="n">
        <v>0.5</v>
      </c>
      <c r="J2904" s="31"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2" t="n">
        <v>0.5</v>
      </c>
      <c r="J2905" s="33"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0" t="n">
        <v>0.5</v>
      </c>
      <c r="J2906" s="31"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2" t="n">
        <v>0.5</v>
      </c>
      <c r="J2907" s="33"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0" t="n">
        <v>0.4</v>
      </c>
      <c r="J2908" s="31"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2" t="n">
        <v>0.4</v>
      </c>
      <c r="J2909" s="33"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0" t="n">
        <v>0.125</v>
      </c>
      <c r="J2910" s="31"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2" t="n">
        <v>0.75</v>
      </c>
      <c r="J2911" s="33"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0" t="n">
        <v>0.5</v>
      </c>
      <c r="J2912" s="31"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2" t="n">
        <v>0.0045</v>
      </c>
      <c r="J2913" s="33"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0" t="n">
        <v>0.0032</v>
      </c>
      <c r="J2914" s="31"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2" t="n">
        <v>0.0014</v>
      </c>
      <c r="J2915" s="33"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0" t="n">
        <v>0.0003</v>
      </c>
      <c r="J2916" s="31"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2" t="n">
        <v>0.0003</v>
      </c>
      <c r="J2917" s="33"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0" t="n">
        <v>0.0002</v>
      </c>
      <c r="J2918" s="31"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2" t="n">
        <v>0.125</v>
      </c>
      <c r="J2919" s="33"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0" t="n">
        <v>0.75</v>
      </c>
      <c r="J2920" s="31"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2" t="n">
        <v>0.5</v>
      </c>
      <c r="J2921" s="33"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0" t="n">
        <v>0.0045</v>
      </c>
      <c r="J2922" s="31"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2" t="n">
        <v>0.0032</v>
      </c>
      <c r="J2923" s="33"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0" t="n">
        <v>0.0014</v>
      </c>
      <c r="J2924" s="31"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2" t="n">
        <v>0.0003</v>
      </c>
      <c r="J2925" s="33"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0" t="n">
        <v>0.0003</v>
      </c>
      <c r="J2926" s="31"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2" t="n">
        <v>0.0002</v>
      </c>
      <c r="J2927" s="33"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0" t="n">
        <v>0.06</v>
      </c>
      <c r="J2928" s="31"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2" t="n">
        <v>0.06</v>
      </c>
      <c r="J2929" s="33"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0" t="n">
        <v>0.12</v>
      </c>
      <c r="J2930" s="31"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2" t="n">
        <v>0.08</v>
      </c>
      <c r="J2931" s="33"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0" t="n">
        <v>0.08</v>
      </c>
      <c r="J2932" s="31"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2" t="n">
        <v>0.15</v>
      </c>
      <c r="J2933" s="33"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0" t="n">
        <v>0.19</v>
      </c>
      <c r="J2934" s="31"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2" t="n">
        <v>0.37</v>
      </c>
      <c r="J2935" s="33"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0" t="n">
        <v>0.08</v>
      </c>
      <c r="J2936" s="31"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2" t="n">
        <v>0.23</v>
      </c>
      <c r="J2937" s="33"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0" t="n">
        <v>0.45</v>
      </c>
      <c r="J2938" s="31"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2" t="n">
        <v>0.11</v>
      </c>
      <c r="J2939" s="33"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0" t="n">
        <v>0.125</v>
      </c>
      <c r="J2940" s="31"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2" t="n">
        <v>0.75</v>
      </c>
      <c r="J2941" s="33"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0" t="n">
        <v>0.5</v>
      </c>
      <c r="J2942" s="31"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2" t="n">
        <v>0.125</v>
      </c>
      <c r="J2943" s="33"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0" t="n">
        <v>0.75</v>
      </c>
      <c r="J2944" s="31"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2" t="n">
        <v>0.5</v>
      </c>
      <c r="J2945" s="33"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0" t="n">
        <v>31.104</v>
      </c>
      <c r="J2946" s="31"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2" t="n">
        <v>31.104</v>
      </c>
      <c r="J2947" s="33"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0" t="n">
        <v>10.368</v>
      </c>
      <c r="J2948" s="31"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2" t="n">
        <v>31.104</v>
      </c>
      <c r="J2949" s="33"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0" t="n">
        <v>31.104</v>
      </c>
      <c r="J2950" s="31"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2" t="n">
        <v>10.37</v>
      </c>
      <c r="J2951" s="33"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0" t="n">
        <v>31.104</v>
      </c>
      <c r="J2952" s="31"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2" t="n">
        <v>31.104</v>
      </c>
      <c r="J2953" s="33"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0" t="n">
        <v>10.37</v>
      </c>
      <c r="J2954" s="31"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2" t="n">
        <v>31.104</v>
      </c>
      <c r="J2955" s="33"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0" t="n">
        <v>31.104</v>
      </c>
      <c r="J2956" s="31"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2" t="n">
        <v>10.37</v>
      </c>
      <c r="J2957" s="33"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0" t="n">
        <v>1.3</v>
      </c>
      <c r="J2958" s="31"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2" t="n">
        <v>15.5</v>
      </c>
      <c r="J2959" s="33"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0" t="n">
        <v>15.5</v>
      </c>
      <c r="J2960" s="31"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2" t="n">
        <v>1.3</v>
      </c>
      <c r="J2961" s="33"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0" t="n">
        <v>15.5</v>
      </c>
      <c r="J2962" s="31"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2" t="n">
        <v>15.5</v>
      </c>
      <c r="J2963" s="33"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0" t="n">
        <v>0.3</v>
      </c>
      <c r="J2964" s="31"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2" t="n">
        <v>1.56</v>
      </c>
      <c r="J2965" s="33"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0" t="n">
        <v>0.01</v>
      </c>
      <c r="J2966" s="31"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2" t="n">
        <v>0.15</v>
      </c>
      <c r="J2967" s="33"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0" t="n">
        <v>2.34</v>
      </c>
      <c r="J2968" s="31"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2" t="n">
        <v>9.34</v>
      </c>
      <c r="J2969" s="33"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0" t="n">
        <v>9.34</v>
      </c>
      <c r="J2970" s="31"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2" t="n">
        <v>0.14</v>
      </c>
      <c r="J2971" s="33"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0" t="n">
        <v>0.55</v>
      </c>
      <c r="J2972" s="31"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2" t="n">
        <v>1.64</v>
      </c>
      <c r="J2973" s="33"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0" t="n">
        <v>0.07000000000000001</v>
      </c>
      <c r="J2974" s="31"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2" t="n">
        <v>0.28</v>
      </c>
      <c r="J2975" s="33"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0" t="n">
        <v>0.82</v>
      </c>
      <c r="J2976" s="31"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2" t="n">
        <v>0.1</v>
      </c>
      <c r="J2977" s="33"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0" t="n">
        <v>0.3</v>
      </c>
      <c r="J2978" s="31"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2" t="n">
        <v>1</v>
      </c>
      <c r="J2979" s="33"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0" t="n">
        <v>0.04</v>
      </c>
      <c r="J2980" s="31"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2" t="n">
        <v>0.06</v>
      </c>
      <c r="J2981" s="33"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0" t="n">
        <v>0.4</v>
      </c>
      <c r="J2982" s="31"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2" t="n">
        <v>0.1</v>
      </c>
      <c r="J2983" s="33"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0" t="n">
        <v>0.3</v>
      </c>
      <c r="J2984" s="31"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2" t="n">
        <v>1</v>
      </c>
      <c r="J2985" s="33"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0" t="n">
        <v>0.5</v>
      </c>
      <c r="J2986" s="31"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2" t="n">
        <v>0.5</v>
      </c>
      <c r="J2987" s="33"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0" t="n">
        <v>0.28</v>
      </c>
      <c r="J2988" s="31"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2" t="n">
        <v>0.84</v>
      </c>
      <c r="J2989" s="33"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0" t="n">
        <v>0.62</v>
      </c>
      <c r="J2990" s="31"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2" t="n">
        <v>1.68</v>
      </c>
      <c r="J2991" s="33"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0" t="n">
        <v>28</v>
      </c>
      <c r="J2992" s="31"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2" t="n">
        <v>23</v>
      </c>
      <c r="J2993" s="33"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0" t="n">
        <v>28</v>
      </c>
      <c r="J2994" s="31"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2" t="n">
        <v>23</v>
      </c>
      <c r="J2995" s="33"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0" t="n">
        <v>28</v>
      </c>
      <c r="J2996" s="31"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2" t="n">
        <v>23</v>
      </c>
      <c r="J2997" s="33"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0" t="n">
        <v>28</v>
      </c>
      <c r="J2998" s="31"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2" t="n">
        <v>23</v>
      </c>
      <c r="J2999" s="33"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0" t="n">
        <v>28</v>
      </c>
      <c r="J3000" s="31"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2" t="n">
        <v>23</v>
      </c>
      <c r="J3001" s="33"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0" t="n">
        <v>28</v>
      </c>
      <c r="J3002" s="31"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2" t="n">
        <v>23</v>
      </c>
      <c r="J3003" s="33"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0" t="n">
        <v>28</v>
      </c>
      <c r="J3004" s="31"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2" t="n">
        <v>23</v>
      </c>
      <c r="J3005" s="33"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0" t="n">
        <v>1.6</v>
      </c>
      <c r="J3006" s="31"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2" t="n">
        <v>2</v>
      </c>
      <c r="J3007" s="33"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0" t="n">
        <v>1</v>
      </c>
      <c r="J3008" s="31"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2" t="n">
        <v>1</v>
      </c>
      <c r="J3009" s="33"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0" t="n">
        <v>1.6</v>
      </c>
      <c r="J3010" s="31"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2" t="n">
        <v>0.5</v>
      </c>
      <c r="J3011" s="33"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0" t="n">
        <v>0.5</v>
      </c>
      <c r="J3012" s="31"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2" t="n">
        <v>28</v>
      </c>
      <c r="J3013" s="33"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0" t="n">
        <v>23</v>
      </c>
      <c r="J3014" s="31"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2" t="n">
        <v>31.1</v>
      </c>
      <c r="J3015" s="33"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0" t="n">
        <v>31.1</v>
      </c>
      <c r="J3016" s="31"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2" t="n">
        <v>10.37</v>
      </c>
      <c r="J3017" s="33"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0" t="n">
        <v>1</v>
      </c>
      <c r="J3018" s="31"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2" t="n">
        <v>2</v>
      </c>
      <c r="J3019" s="33"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0" t="n">
        <v>0.5</v>
      </c>
      <c r="J3020" s="31"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2" t="n">
        <v>0.5</v>
      </c>
      <c r="J3021" s="33"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0" t="n">
        <v>0.5</v>
      </c>
      <c r="J3022" s="31"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2" t="n">
        <v>0.5</v>
      </c>
      <c r="J3023" s="33"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0" t="n">
        <v>0.54</v>
      </c>
      <c r="J3024" s="31"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2" t="n">
        <v>0.54</v>
      </c>
      <c r="J3025" s="33" t="n">
        <v>679</v>
      </c>
    </row>
  </sheetData>
  <autoFilter ref="A1:J3025"/>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4" t="n">
        <v>2.62</v>
      </c>
      <c r="G2" s="34"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5" t="n">
        <v>3.1</v>
      </c>
      <c r="G3" s="35"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4" t="n">
        <v>91.15000000000001</v>
      </c>
      <c r="G4" s="34"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5" t="n">
        <v>7.4</v>
      </c>
      <c r="G5" s="35"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4" t="n">
        <v>2.73</v>
      </c>
      <c r="G6" s="34"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5" t="n">
        <v>2.73</v>
      </c>
      <c r="G7" s="35"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4" t="n">
        <v>1.82</v>
      </c>
      <c r="G8" s="34"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5" t="n">
        <v>10.79</v>
      </c>
      <c r="G9" s="35"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4" t="n">
        <v>16.12</v>
      </c>
      <c r="G10" s="34"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5" t="n">
        <v>16.12</v>
      </c>
      <c r="G11" s="35"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4" t="n">
        <v>13.52</v>
      </c>
      <c r="G12" s="34"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5" t="n">
        <v>18.85</v>
      </c>
      <c r="G13" s="35"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4" t="n">
        <v>17.94</v>
      </c>
      <c r="G14" s="34"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5" t="n">
        <v>26.91</v>
      </c>
      <c r="G15" s="35"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4" t="n">
        <v>40.43</v>
      </c>
      <c r="G16" s="34"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5" t="n">
        <v>80.73</v>
      </c>
      <c r="G17" s="35"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4" t="n">
        <v>2.73</v>
      </c>
      <c r="G18" s="34"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5" t="n">
        <v>5.46</v>
      </c>
      <c r="G19" s="35"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4" t="n">
        <v>8.06</v>
      </c>
      <c r="G20" s="34"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5" t="n">
        <v>31.46</v>
      </c>
      <c r="G21" s="35"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4" t="n">
        <v>34.06</v>
      </c>
      <c r="G22" s="34"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5" t="n">
        <v>47.58</v>
      </c>
      <c r="G23" s="35"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4" t="n">
        <v>19.76</v>
      </c>
      <c r="G24" s="34"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5" t="n">
        <v>33.15</v>
      </c>
      <c r="G25" s="35"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4" t="n">
        <v>46.67</v>
      </c>
      <c r="G26" s="34"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5" t="n">
        <v>1.82</v>
      </c>
      <c r="G27" s="35"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4" t="n">
        <v>2.73</v>
      </c>
      <c r="G28" s="34"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5" t="n">
        <v>3.64</v>
      </c>
      <c r="G29" s="35"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4" t="n">
        <v>19.76</v>
      </c>
      <c r="G30" s="34"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5" t="n">
        <v>33.15</v>
      </c>
      <c r="G31" s="35"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4" t="n">
        <v>47.58</v>
      </c>
      <c r="G32" s="34"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5" t="n">
        <v>13.52</v>
      </c>
      <c r="G33" s="35"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4" t="n">
        <v>13.52</v>
      </c>
      <c r="G34" s="34"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5" t="n">
        <v>13.52</v>
      </c>
      <c r="G35" s="35"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4" t="n">
        <v>13.52</v>
      </c>
      <c r="G36" s="34"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5" t="n">
        <v>1.82</v>
      </c>
      <c r="G37" s="35"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4" t="n">
        <v>2.73</v>
      </c>
      <c r="G38" s="34"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5" t="n">
        <v>5.46</v>
      </c>
      <c r="G39" s="35"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4" t="n">
        <v>8.06</v>
      </c>
      <c r="G40" s="34"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5" t="n">
        <v>26.91</v>
      </c>
      <c r="G41" s="35"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4" t="n">
        <v>13.52</v>
      </c>
      <c r="G42" s="34"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5" t="n">
        <v>35.88</v>
      </c>
      <c r="G43" s="35"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4" t="n">
        <v>35.88</v>
      </c>
      <c r="G44" s="34"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5" t="n">
        <v>17.94</v>
      </c>
      <c r="G45" s="35"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4" t="n">
        <v>17.94</v>
      </c>
      <c r="G46" s="34"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5" t="n">
        <v>26.9</v>
      </c>
      <c r="G47" s="35"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4" t="n">
        <v>13.52</v>
      </c>
      <c r="G48" s="34"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5" t="n">
        <v>26.91</v>
      </c>
      <c r="G49" s="35"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4" t="n">
        <v>13.52</v>
      </c>
      <c r="G50" s="34"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5" t="n">
        <v>26.91</v>
      </c>
      <c r="G51" s="35"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4" t="n">
        <v>13.52</v>
      </c>
      <c r="G52" s="34"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5" t="n">
        <v>26.91</v>
      </c>
      <c r="G53" s="35"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4" t="n">
        <v>13.52</v>
      </c>
      <c r="G54" s="34"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5" t="n">
        <v>26.91</v>
      </c>
      <c r="G55" s="35"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4" t="n">
        <v>13.52</v>
      </c>
      <c r="G56" s="34"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5" t="n">
        <v>26.91</v>
      </c>
      <c r="G57" s="35"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4" t="n">
        <v>13.52</v>
      </c>
      <c r="G58" s="34"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5" t="n">
        <v>26.91</v>
      </c>
      <c r="G59" s="35"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4" t="n">
        <v>13.52</v>
      </c>
      <c r="G60" s="34"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5" t="n">
        <v>26.91</v>
      </c>
      <c r="G61" s="35"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4" t="n">
        <v>13.52</v>
      </c>
      <c r="G62" s="34"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5" t="n">
        <v>26.91</v>
      </c>
      <c r="G63" s="35"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4" t="n">
        <v>13.52</v>
      </c>
      <c r="G64" s="34"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5" t="n">
        <v>26.91</v>
      </c>
      <c r="G65" s="35"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4" t="n">
        <v>13.52</v>
      </c>
      <c r="G66" s="34"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5" t="n">
        <v>26.91</v>
      </c>
      <c r="G67" s="35"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4" t="n">
        <v>13.52</v>
      </c>
      <c r="G68" s="34"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5" t="n">
        <v>26.91</v>
      </c>
      <c r="G69" s="35"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4" t="n">
        <v>13.52</v>
      </c>
      <c r="G70" s="34"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5" t="n">
        <v>26.91</v>
      </c>
      <c r="G71" s="35"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4" t="n">
        <v>13.52</v>
      </c>
      <c r="G72" s="34"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5" t="n">
        <v>26.91</v>
      </c>
      <c r="G73" s="35"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4" t="n">
        <v>13.52</v>
      </c>
      <c r="G74" s="34"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5" t="n">
        <v>26.91</v>
      </c>
      <c r="G75" s="35"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4" t="n">
        <v>13.52</v>
      </c>
      <c r="G76" s="34"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5" t="n">
        <v>26.91</v>
      </c>
      <c r="G77" s="35"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4" t="n">
        <v>13.52</v>
      </c>
      <c r="G78" s="34"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5" t="n">
        <v>26.91</v>
      </c>
      <c r="G79" s="35"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4" t="n">
        <v>13.52</v>
      </c>
      <c r="G80" s="34"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5" t="n">
        <v>6.45</v>
      </c>
      <c r="G81" s="35"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4" t="n">
        <v>10.35</v>
      </c>
      <c r="G82" s="34"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5" t="n">
        <v>5.2</v>
      </c>
      <c r="G83" s="35"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4" t="n">
        <v>14.3</v>
      </c>
      <c r="G84" s="34"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5" t="n">
        <v>14.3</v>
      </c>
      <c r="G85" s="35"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4" t="n">
        <v>13.52</v>
      </c>
      <c r="G86" s="34"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5" t="n">
        <v>13.52</v>
      </c>
      <c r="G87" s="35"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4" t="n">
        <v>13.52</v>
      </c>
      <c r="G88" s="34"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5" t="n">
        <v>13.52</v>
      </c>
      <c r="G89" s="35"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4" t="n">
        <v>13.52</v>
      </c>
      <c r="G90" s="34"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5" t="n">
        <v>8.970000000000001</v>
      </c>
      <c r="G91" s="35"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4" t="n">
        <v>14.3</v>
      </c>
      <c r="G92" s="34"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5" t="n">
        <v>14.3</v>
      </c>
      <c r="G93" s="35"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4" t="n">
        <v>114.4</v>
      </c>
      <c r="G94" s="34"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5" t="n">
        <v>14.3</v>
      </c>
      <c r="G95" s="35"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4" t="n">
        <v>114.4</v>
      </c>
      <c r="G96" s="34"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5" t="n">
        <v>14.3</v>
      </c>
      <c r="G97" s="35"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4" t="n">
        <v>114.4</v>
      </c>
      <c r="G98" s="34"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5" t="n">
        <v>13.52</v>
      </c>
      <c r="G99" s="35"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4" t="n">
        <v>114.4</v>
      </c>
      <c r="G100" s="34"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5" t="n">
        <v>14.3</v>
      </c>
      <c r="G101" s="35"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4" t="n">
        <v>22.1</v>
      </c>
      <c r="G102" s="34"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5" t="n">
        <v>52</v>
      </c>
      <c r="G103" s="35"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4" t="n">
        <v>26</v>
      </c>
      <c r="G104" s="34"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5" t="n">
        <v>27.62</v>
      </c>
      <c r="G105" s="35"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4" t="n">
        <v>78</v>
      </c>
      <c r="G106" s="34"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5" t="n">
        <v>52</v>
      </c>
      <c r="G107" s="35"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4" t="n">
        <v>27.62</v>
      </c>
      <c r="G108" s="34"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5" t="n">
        <v>39</v>
      </c>
      <c r="G109" s="35"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4" t="n">
        <v>36.3</v>
      </c>
      <c r="G110" s="34"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5" t="n">
        <v>30.54</v>
      </c>
      <c r="G111" s="35"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4" t="n">
        <v>26.91</v>
      </c>
      <c r="G112" s="34"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5" t="n">
        <v>1.95</v>
      </c>
      <c r="G113" s="35"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4" t="n">
        <v>13.52</v>
      </c>
      <c r="G114" s="34"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5" t="n">
        <v>33.15</v>
      </c>
      <c r="G115" s="35"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4" t="n">
        <v>13.39</v>
      </c>
      <c r="G116" s="34"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5" t="n">
        <v>6.76</v>
      </c>
      <c r="G117" s="35"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4" t="n">
        <v>13</v>
      </c>
      <c r="G118" s="34"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5" t="n">
        <v>13</v>
      </c>
      <c r="G119" s="35"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4" t="n">
        <v>13</v>
      </c>
      <c r="G120" s="34"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5" t="n">
        <v>13</v>
      </c>
      <c r="G121" s="35"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4" t="n">
        <v>13</v>
      </c>
      <c r="G122" s="34"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5" t="n">
        <v>13</v>
      </c>
      <c r="G123" s="35"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4" t="n">
        <v>13</v>
      </c>
      <c r="G124" s="34"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5" t="n">
        <v>13</v>
      </c>
      <c r="G125" s="35"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4" t="n">
        <v>14.3</v>
      </c>
      <c r="G126" s="34"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5" t="n">
        <v>14.3</v>
      </c>
      <c r="G127" s="35"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4" t="n">
        <v>131.82</v>
      </c>
      <c r="G128" s="34"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5" t="n">
        <v>420.03</v>
      </c>
      <c r="G129" s="35"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4" t="n">
        <v>14.3</v>
      </c>
      <c r="G130" s="34"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5" t="n">
        <v>401.89</v>
      </c>
      <c r="G131" s="35"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4" t="n">
        <v>30.16</v>
      </c>
      <c r="G132" s="34"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5" t="n">
        <v>9.49</v>
      </c>
      <c r="G133" s="35"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4" t="n">
        <v>22.1</v>
      </c>
      <c r="G134" s="34"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5" t="n">
        <v>52</v>
      </c>
      <c r="G135" s="35"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4" t="n">
        <v>26</v>
      </c>
      <c r="G136" s="34"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5" t="n">
        <v>27.62</v>
      </c>
      <c r="G137" s="35"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4" t="n">
        <v>78</v>
      </c>
      <c r="G138" s="34"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5" t="n">
        <v>52</v>
      </c>
      <c r="G139" s="35"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4" t="n">
        <v>22.1</v>
      </c>
      <c r="G140" s="34"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5" t="n">
        <v>78</v>
      </c>
      <c r="G141" s="35"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4" t="n">
        <v>49.7</v>
      </c>
      <c r="G142" s="34"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5" t="n">
        <v>22.1</v>
      </c>
      <c r="G143" s="35"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4" t="n">
        <v>78</v>
      </c>
      <c r="G144" s="34"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5" t="n">
        <v>49.7</v>
      </c>
      <c r="G145" s="35"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4" t="n">
        <v>22.1</v>
      </c>
      <c r="G146" s="34"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5" t="n">
        <v>39</v>
      </c>
      <c r="G147" s="35"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4" t="n">
        <v>24.61</v>
      </c>
      <c r="G148" s="34"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5" t="n">
        <v>27.62</v>
      </c>
      <c r="G149" s="35"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4" t="n">
        <v>39</v>
      </c>
      <c r="G150" s="34"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5" t="n">
        <v>16.12</v>
      </c>
      <c r="G151" s="35"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4" t="n">
        <v>11.7</v>
      </c>
      <c r="G152" s="34"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5" t="n">
        <v>134.55</v>
      </c>
      <c r="G153" s="35"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4" t="n">
        <v>27.63</v>
      </c>
      <c r="G154" s="34"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5" t="n">
        <v>78</v>
      </c>
      <c r="G155" s="35"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4" t="n">
        <v>52</v>
      </c>
      <c r="G156" s="34"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5" t="n">
        <v>80.73</v>
      </c>
      <c r="G157" s="35"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4" t="n">
        <v>22.1</v>
      </c>
      <c r="G158" s="34"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5" t="n">
        <v>52</v>
      </c>
      <c r="G159" s="35"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4" t="n">
        <v>26</v>
      </c>
      <c r="G160" s="34"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5" t="n">
        <v>5.2</v>
      </c>
      <c r="G161" s="35"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4" t="n">
        <v>6.5</v>
      </c>
      <c r="G162" s="34"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5" t="n">
        <v>6.5</v>
      </c>
      <c r="G163" s="35"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4" t="n">
        <v>7.15</v>
      </c>
      <c r="G164" s="34"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5" t="n">
        <v>5.2</v>
      </c>
      <c r="G165" s="35"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4" t="n">
        <v>12.63</v>
      </c>
      <c r="G166" s="34"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5" t="n">
        <v>78</v>
      </c>
      <c r="G167" s="35"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4" t="n">
        <v>52</v>
      </c>
      <c r="G168" s="34"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5" t="n">
        <v>11.05</v>
      </c>
      <c r="G169" s="35"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4" t="n">
        <v>39</v>
      </c>
      <c r="G170" s="34"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5" t="n">
        <v>26</v>
      </c>
      <c r="G171" s="35"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4" t="n">
        <v>26</v>
      </c>
      <c r="G172" s="34"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5" t="n">
        <v>26</v>
      </c>
      <c r="G173" s="35"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4" t="n">
        <v>26</v>
      </c>
      <c r="G174" s="34"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5" t="n">
        <v>26</v>
      </c>
      <c r="G175" s="35"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4" t="n">
        <v>130</v>
      </c>
      <c r="G176" s="34"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5" t="n">
        <v>2.73</v>
      </c>
      <c r="G177" s="35"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4" t="n">
        <v>1.61</v>
      </c>
      <c r="G178" s="34"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5" t="n">
        <v>89.7</v>
      </c>
      <c r="G179" s="35"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4" t="n">
        <v>269.1</v>
      </c>
      <c r="G180" s="34"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5" t="n">
        <v>4.42</v>
      </c>
      <c r="G181" s="35"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4" t="n">
        <v>13.52</v>
      </c>
      <c r="G182" s="34"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5" t="n">
        <v>17.94</v>
      </c>
      <c r="G183" s="35"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4" t="n">
        <v>71.76000000000001</v>
      </c>
      <c r="G184" s="34"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5" t="n">
        <v>17.94</v>
      </c>
      <c r="G185" s="35"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4" t="n">
        <v>6.24</v>
      </c>
      <c r="G186" s="34"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5" t="n">
        <v>6.2</v>
      </c>
      <c r="G187" s="35"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4" t="n">
        <v>3.64</v>
      </c>
      <c r="G188" s="34"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5" t="n">
        <v>3.64</v>
      </c>
      <c r="G189" s="35"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4" t="n">
        <v>1.82</v>
      </c>
      <c r="G190" s="34"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5" t="n">
        <v>1.82</v>
      </c>
      <c r="G191" s="35"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4" t="n">
        <v>21.58</v>
      </c>
      <c r="G192" s="34"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5" t="n">
        <v>13.52</v>
      </c>
      <c r="G193" s="35"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4" t="n">
        <v>26</v>
      </c>
      <c r="G194" s="34"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5" t="n">
        <v>26.91</v>
      </c>
      <c r="G195" s="35"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4" t="n">
        <v>26.91</v>
      </c>
      <c r="G196" s="34"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5" t="n">
        <v>26</v>
      </c>
      <c r="G197" s="35"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4" t="n">
        <v>26.91</v>
      </c>
      <c r="G198" s="34"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5" t="n">
        <v>26</v>
      </c>
      <c r="G199" s="35"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4" t="n">
        <v>26.91</v>
      </c>
      <c r="G200" s="34"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5" t="n">
        <v>26</v>
      </c>
      <c r="G201" s="35"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4" t="n">
        <v>13.52</v>
      </c>
      <c r="G202" s="34"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5" t="n">
        <v>26</v>
      </c>
      <c r="G203" s="35"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4" t="n">
        <v>26.91</v>
      </c>
      <c r="G204" s="34"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5" t="n">
        <v>26</v>
      </c>
      <c r="G205" s="35"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4" t="n">
        <v>26.91</v>
      </c>
      <c r="G206" s="34"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5" t="n">
        <v>26.91</v>
      </c>
      <c r="G207" s="35"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4" t="n">
        <v>26</v>
      </c>
      <c r="G208" s="34"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5" t="n">
        <v>26.91</v>
      </c>
      <c r="G209" s="35"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4" t="n">
        <v>26</v>
      </c>
      <c r="G210" s="34"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5" t="n">
        <v>26.91</v>
      </c>
      <c r="G211" s="35"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4" t="n">
        <v>26</v>
      </c>
      <c r="G212" s="34"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5" t="n">
        <v>13.52</v>
      </c>
      <c r="G213" s="35"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4" t="n">
        <v>26</v>
      </c>
      <c r="G214" s="34"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5" t="n">
        <v>26.91</v>
      </c>
      <c r="G215" s="35"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4" t="n">
        <v>26</v>
      </c>
      <c r="G216" s="34"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5" t="n">
        <v>156</v>
      </c>
      <c r="G217" s="35"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4" t="n">
        <v>26.91</v>
      </c>
      <c r="G218" s="34"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5" t="n">
        <v>26</v>
      </c>
      <c r="G219" s="35"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4" t="n">
        <v>156</v>
      </c>
      <c r="G220" s="34"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5" t="n">
        <v>26.91</v>
      </c>
      <c r="G221" s="35"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4" t="n">
        <v>13.39</v>
      </c>
      <c r="G222" s="34"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5" t="n">
        <v>11.7</v>
      </c>
      <c r="G223" s="35"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4" t="n">
        <v>35.49</v>
      </c>
      <c r="G224" s="34"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5" t="n">
        <v>5.33</v>
      </c>
      <c r="G225" s="35"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4" t="n">
        <v>6.24</v>
      </c>
      <c r="G226" s="34"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5" t="n">
        <v>6.24</v>
      </c>
      <c r="G227" s="35"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4" t="n">
        <v>121.16</v>
      </c>
      <c r="G228" s="34"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5" t="n">
        <v>121.16</v>
      </c>
      <c r="G229" s="35"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4" t="n">
        <v>26.91</v>
      </c>
      <c r="G230" s="34"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5" t="n">
        <v>40.3</v>
      </c>
      <c r="G231" s="35"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4" t="n">
        <v>53.82</v>
      </c>
      <c r="G232" s="34"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5" t="n">
        <v>1.82</v>
      </c>
      <c r="G233" s="35"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4" t="n">
        <v>2.34</v>
      </c>
      <c r="G234" s="34"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5" t="n">
        <v>40.3</v>
      </c>
      <c r="G235" s="35"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4" t="n">
        <v>53.82</v>
      </c>
      <c r="G236" s="34"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5" t="n">
        <v>26.91</v>
      </c>
      <c r="G237" s="35"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4" t="n">
        <v>13</v>
      </c>
      <c r="G238" s="34"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5" t="n">
        <v>13</v>
      </c>
      <c r="G239" s="35"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4" t="n">
        <v>79.95</v>
      </c>
      <c r="G240" s="34"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5" t="n">
        <v>13</v>
      </c>
      <c r="G241" s="35"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4" t="n">
        <v>13</v>
      </c>
      <c r="G242" s="34"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5" t="n">
        <v>13</v>
      </c>
      <c r="G243" s="35"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4" t="n">
        <v>13</v>
      </c>
      <c r="G244" s="34"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5" t="n">
        <v>3</v>
      </c>
      <c r="G245" s="35"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4" t="n">
        <v>3.77</v>
      </c>
      <c r="G246" s="34"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5" t="n">
        <v>17.77</v>
      </c>
      <c r="G247" s="35"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4" t="n">
        <v>5.9</v>
      </c>
      <c r="G248" s="34"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5" t="n">
        <v>25.17</v>
      </c>
      <c r="G249" s="35"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4" t="n">
        <v>8.69</v>
      </c>
      <c r="G250" s="34"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5" t="n">
        <v>29.61</v>
      </c>
      <c r="G251" s="35"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4" t="n">
        <v>12.84</v>
      </c>
      <c r="G252" s="34"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5" t="n">
        <v>32.57</v>
      </c>
      <c r="G253" s="35"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4" t="n">
        <v>15.48</v>
      </c>
      <c r="G254" s="34"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5" t="n">
        <v>32.57</v>
      </c>
      <c r="G255" s="35"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4" t="n">
        <v>2.34</v>
      </c>
      <c r="G256" s="34"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5" t="n">
        <v>2.34</v>
      </c>
      <c r="G257" s="35"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4" t="n">
        <v>100.67</v>
      </c>
      <c r="G258" s="34"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5" t="n">
        <v>100.67</v>
      </c>
      <c r="G259" s="35"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4" t="n">
        <v>100.67</v>
      </c>
      <c r="G260" s="34"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5" t="n">
        <v>23530</v>
      </c>
      <c r="G261" s="35"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4" t="n">
        <v>1177</v>
      </c>
      <c r="G262" s="34"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5" t="n">
        <v>19200</v>
      </c>
      <c r="G263" s="35"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4" t="n">
        <v>2.73</v>
      </c>
      <c r="G264" s="34"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5" t="n">
        <v>2.73</v>
      </c>
      <c r="G265" s="35"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4" t="n">
        <v>2.73</v>
      </c>
      <c r="G266" s="34"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5" t="n">
        <v>2.73</v>
      </c>
      <c r="G267" s="35"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4" t="n">
        <v>2.73</v>
      </c>
      <c r="G268" s="34"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5" t="n">
        <v>22.36</v>
      </c>
      <c r="G269" s="35"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4" t="n">
        <v>2.73</v>
      </c>
      <c r="G270" s="34"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5" t="n">
        <v>16.38</v>
      </c>
      <c r="G271" s="35"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4" t="n">
        <v>2.73</v>
      </c>
      <c r="G272" s="34"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5" t="n">
        <v>22.36</v>
      </c>
      <c r="G273" s="35"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4" t="n">
        <v>2.73</v>
      </c>
      <c r="G274" s="34"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5" t="n">
        <v>22.36</v>
      </c>
      <c r="G275" s="35"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4" t="n">
        <v>13.52</v>
      </c>
      <c r="G276" s="34"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5" t="n">
        <v>4.55</v>
      </c>
      <c r="G277" s="35"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4" t="n">
        <v>7.15</v>
      </c>
      <c r="G278" s="34"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5" t="n">
        <v>2.73</v>
      </c>
      <c r="G279" s="35"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4" t="n">
        <v>18.85</v>
      </c>
      <c r="G280" s="34"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5" t="n">
        <v>2.73</v>
      </c>
      <c r="G281" s="35"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4" t="n">
        <v>18.85</v>
      </c>
      <c r="G282" s="34"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5" t="n">
        <v>134.55</v>
      </c>
      <c r="G283" s="35"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4" t="n">
        <v>13.52</v>
      </c>
      <c r="G284" s="34"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5" t="n">
        <v>13.52</v>
      </c>
      <c r="G285" s="35"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4" t="n">
        <v>13.52</v>
      </c>
      <c r="G286" s="34"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5" t="n">
        <v>13.52</v>
      </c>
      <c r="G287" s="35"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4" t="n">
        <v>1.82</v>
      </c>
      <c r="G288" s="34"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5" t="n">
        <v>4.55</v>
      </c>
      <c r="G289" s="35"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4" t="n">
        <v>4.55</v>
      </c>
      <c r="G290" s="34"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5" t="n">
        <v>4.55</v>
      </c>
      <c r="G291" s="35"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4" t="n">
        <v>4.55</v>
      </c>
      <c r="G292" s="34"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5" t="n">
        <v>33.8</v>
      </c>
      <c r="G293" s="35"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4" t="n">
        <v>5.46</v>
      </c>
      <c r="G294" s="34"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5" t="n">
        <v>18.85</v>
      </c>
      <c r="G295" s="35"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4" t="n">
        <v>5.46</v>
      </c>
      <c r="G296" s="34"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5" t="n">
        <v>18.85</v>
      </c>
      <c r="G297" s="35"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4" t="n">
        <v>8.06</v>
      </c>
      <c r="G298" s="34"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5" t="n">
        <v>20.67</v>
      </c>
      <c r="G299" s="35"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4" t="n">
        <v>16.38</v>
      </c>
      <c r="G300" s="34"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5" t="n">
        <v>16.38</v>
      </c>
      <c r="G301" s="35"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4" t="n">
        <v>22.36</v>
      </c>
      <c r="G302" s="34"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5" t="n">
        <v>16.38</v>
      </c>
      <c r="G303" s="35"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4" t="n">
        <v>16.38</v>
      </c>
      <c r="G304" s="34"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5" t="n">
        <v>22.36</v>
      </c>
      <c r="G305" s="35"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4" t="n">
        <v>16.38</v>
      </c>
      <c r="G306" s="34"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5" t="n">
        <v>16.38</v>
      </c>
      <c r="G307" s="35"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4" t="n">
        <v>22.36</v>
      </c>
      <c r="G308" s="34"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5" t="n">
        <v>16.38</v>
      </c>
      <c r="G309" s="35"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4" t="n">
        <v>16.38</v>
      </c>
      <c r="G310" s="34"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5" t="n">
        <v>22.36</v>
      </c>
      <c r="G311" s="35"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4" t="n">
        <v>16.38</v>
      </c>
      <c r="G312" s="34"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5" t="n">
        <v>16.38</v>
      </c>
      <c r="G313" s="35"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4" t="n">
        <v>22.36</v>
      </c>
      <c r="G314" s="34"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5" t="n">
        <v>16.38</v>
      </c>
      <c r="G315" s="35"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4" t="n">
        <v>16.38</v>
      </c>
      <c r="G316" s="34"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5" t="n">
        <v>22.36</v>
      </c>
      <c r="G317" s="35"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4" t="n">
        <v>2.73</v>
      </c>
      <c r="G318" s="34"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5" t="n">
        <v>8.970000000000001</v>
      </c>
      <c r="G319" s="35"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4" t="n">
        <v>2.73</v>
      </c>
      <c r="G320" s="34"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5" t="n">
        <v>8.970000000000001</v>
      </c>
      <c r="G321" s="35"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4" t="n">
        <v>2.73</v>
      </c>
      <c r="G322" s="34"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5" t="n">
        <v>22.36</v>
      </c>
      <c r="G323" s="35"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4" t="n">
        <v>2.73</v>
      </c>
      <c r="G324" s="34"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5" t="n">
        <v>22.36</v>
      </c>
      <c r="G325" s="35"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4" t="n">
        <v>2.73</v>
      </c>
      <c r="G326" s="34"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5" t="n">
        <v>22.36</v>
      </c>
      <c r="G327" s="35"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4" t="n">
        <v>2.73</v>
      </c>
      <c r="G328" s="34"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5" t="n">
        <v>22.36</v>
      </c>
      <c r="G329" s="35"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4" t="n">
        <v>2.73</v>
      </c>
      <c r="G330" s="34"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5" t="n">
        <v>2.73</v>
      </c>
      <c r="G331" s="35"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4" t="n">
        <v>2.73</v>
      </c>
      <c r="G332" s="34"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5" t="n">
        <v>13.52</v>
      </c>
      <c r="G333" s="35"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4" t="n">
        <v>2.73</v>
      </c>
      <c r="G334" s="34"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5" t="n">
        <v>2.73</v>
      </c>
      <c r="G335" s="35"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4" t="n">
        <v>13.52</v>
      </c>
      <c r="G336" s="34"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5" t="n">
        <v>13.52</v>
      </c>
      <c r="G337" s="35"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4" t="n">
        <v>2.73</v>
      </c>
      <c r="G338" s="34"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5" t="n">
        <v>45.76</v>
      </c>
      <c r="G339" s="35"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4" t="n">
        <v>4.42</v>
      </c>
      <c r="G340" s="34"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5" t="n">
        <v>56.55</v>
      </c>
      <c r="G341" s="35"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4" t="n">
        <v>15.21</v>
      </c>
      <c r="G342" s="34"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5" t="n">
        <v>13.52</v>
      </c>
      <c r="G343" s="35"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4" t="n">
        <v>13.52</v>
      </c>
      <c r="G344" s="34"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5" t="n">
        <v>37.7</v>
      </c>
      <c r="G345" s="35"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4" t="n">
        <v>37.7</v>
      </c>
      <c r="G346" s="34"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5" t="n">
        <v>2.73</v>
      </c>
      <c r="G347" s="35"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4" t="n">
        <v>8.06</v>
      </c>
      <c r="G348" s="34"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5" t="n">
        <v>2.73</v>
      </c>
      <c r="G349" s="35"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4" t="n">
        <v>8.06</v>
      </c>
      <c r="G350" s="34"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5" t="n">
        <v>2.73</v>
      </c>
      <c r="G351" s="35"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4" t="n">
        <v>8.06</v>
      </c>
      <c r="G352" s="34"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5" t="n">
        <v>2.73</v>
      </c>
      <c r="G353" s="35"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4" t="n">
        <v>8.06</v>
      </c>
      <c r="G354" s="34"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5" t="n">
        <v>2.73</v>
      </c>
      <c r="G355" s="35"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4" t="n">
        <v>8.06</v>
      </c>
      <c r="G356" s="34"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5" t="n">
        <v>13.52</v>
      </c>
      <c r="G357" s="35"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4" t="n">
        <v>8.06</v>
      </c>
      <c r="G358" s="34"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5" t="n">
        <v>2.73</v>
      </c>
      <c r="G359" s="35"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4" t="n">
        <v>8.06</v>
      </c>
      <c r="G360" s="34"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5" t="n">
        <v>13.52</v>
      </c>
      <c r="G361" s="35"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4" t="n">
        <v>8.06</v>
      </c>
      <c r="G362" s="34"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5" t="n">
        <v>2.73</v>
      </c>
      <c r="G363" s="35"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4" t="n">
        <v>8.06</v>
      </c>
      <c r="G364" s="34"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5" t="n">
        <v>13.52</v>
      </c>
      <c r="G365" s="35"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4" t="n">
        <v>8.06</v>
      </c>
      <c r="G366" s="34"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5" t="n">
        <v>2.73</v>
      </c>
      <c r="G367" s="35"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4" t="n">
        <v>8.06</v>
      </c>
      <c r="G368" s="34"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5" t="n">
        <v>13.52</v>
      </c>
      <c r="G369" s="35"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4" t="n">
        <v>8.06</v>
      </c>
      <c r="G370" s="34"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5" t="n">
        <v>2.73</v>
      </c>
      <c r="G371" s="35"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4" t="n">
        <v>8.06</v>
      </c>
      <c r="G372" s="34"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5" t="n">
        <v>33.15</v>
      </c>
      <c r="G373" s="35"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4" t="n">
        <v>8.06</v>
      </c>
      <c r="G374" s="34"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5" t="n">
        <v>2.73</v>
      </c>
      <c r="G375" s="35"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4" t="n">
        <v>8.06</v>
      </c>
      <c r="G376" s="34"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5" t="n">
        <v>33.15</v>
      </c>
      <c r="G377" s="35"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4" t="n">
        <v>8.06</v>
      </c>
      <c r="G378" s="34"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5" t="n">
        <v>2.73</v>
      </c>
      <c r="G379" s="35"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4" t="n">
        <v>8.06</v>
      </c>
      <c r="G380" s="34"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5" t="n">
        <v>33.15</v>
      </c>
      <c r="G381" s="35"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4" t="n">
        <v>8.06</v>
      </c>
      <c r="G382" s="34"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5" t="n">
        <v>2.73</v>
      </c>
      <c r="G383" s="35"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4" t="n">
        <v>8.06</v>
      </c>
      <c r="G384" s="34"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5" t="n">
        <v>33.15</v>
      </c>
      <c r="G385" s="35"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4" t="n">
        <v>8.06</v>
      </c>
      <c r="G386" s="34"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5" t="n">
        <v>2.73</v>
      </c>
      <c r="G387" s="35"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4" t="n">
        <v>8.06</v>
      </c>
      <c r="G388" s="34"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5" t="n">
        <v>2.73</v>
      </c>
      <c r="G389" s="35"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4" t="n">
        <v>8.06</v>
      </c>
      <c r="G390" s="34"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5" t="n">
        <v>2.73</v>
      </c>
      <c r="G391" s="35"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4" t="n">
        <v>8.06</v>
      </c>
      <c r="G392" s="34"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5" t="n">
        <v>2.73</v>
      </c>
      <c r="G393" s="35"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4" t="n">
        <v>8.06</v>
      </c>
      <c r="G394" s="34"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5" t="n">
        <v>8.970000000000001</v>
      </c>
      <c r="G395" s="35"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4" t="n">
        <v>6.24</v>
      </c>
      <c r="G396" s="34"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5" t="n">
        <v>134.55</v>
      </c>
      <c r="G397" s="35"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4" t="n">
        <v>8.06</v>
      </c>
      <c r="G398" s="34"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5" t="n">
        <v>2.73</v>
      </c>
      <c r="G399" s="35"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4" t="n">
        <v>8.06</v>
      </c>
      <c r="G400" s="34"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5" t="n">
        <v>8.06</v>
      </c>
      <c r="G401" s="35"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4" t="n">
        <v>2.73</v>
      </c>
      <c r="G402" s="34"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5" t="n">
        <v>8.06</v>
      </c>
      <c r="G403" s="35"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4" t="n">
        <v>11.7</v>
      </c>
      <c r="G404" s="34"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5" t="n">
        <v>33.15</v>
      </c>
      <c r="G405" s="35"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4" t="n">
        <v>8.970000000000001</v>
      </c>
      <c r="G406" s="34"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5" t="n">
        <v>9.1</v>
      </c>
      <c r="G407" s="35"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4" t="n">
        <v>5.33</v>
      </c>
      <c r="G408" s="34"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5" t="n">
        <v>67.34</v>
      </c>
      <c r="G409" s="35"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4" t="n">
        <v>6.24</v>
      </c>
      <c r="G410" s="34"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5" t="n">
        <v>26.91</v>
      </c>
      <c r="G411" s="35"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4" t="n">
        <v>16.12</v>
      </c>
      <c r="G412" s="34"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5" t="n">
        <v>104</v>
      </c>
      <c r="G413" s="35"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4" t="n">
        <v>67.34</v>
      </c>
      <c r="G414" s="34"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5" t="n">
        <v>6.24</v>
      </c>
      <c r="G415" s="35"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4" t="n">
        <v>26.91</v>
      </c>
      <c r="G416" s="34"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5" t="n">
        <v>16.12</v>
      </c>
      <c r="G417" s="35"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4" t="n">
        <v>104</v>
      </c>
      <c r="G418" s="34"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5" t="n">
        <v>53.82</v>
      </c>
      <c r="G419" s="35"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4" t="n">
        <v>6.24</v>
      </c>
      <c r="G420" s="34"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5" t="n">
        <v>26.91</v>
      </c>
      <c r="G421" s="35"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4" t="n">
        <v>13.52</v>
      </c>
      <c r="G422" s="34"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5" t="n">
        <v>53.82</v>
      </c>
      <c r="G423" s="35"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4" t="n">
        <v>6.24</v>
      </c>
      <c r="G424" s="34"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5" t="n">
        <v>26.91</v>
      </c>
      <c r="G425" s="35"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4" t="n">
        <v>13.52</v>
      </c>
      <c r="G426" s="34"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5" t="n">
        <v>13.52</v>
      </c>
      <c r="G427" s="35"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4" t="n">
        <v>15.29</v>
      </c>
      <c r="G428" s="34"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5" t="n">
        <v>45.14</v>
      </c>
      <c r="G429" s="35"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4" t="n">
        <v>5.33</v>
      </c>
      <c r="G430" s="34"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5" t="n">
        <v>5.33</v>
      </c>
      <c r="G431" s="35"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4" t="n">
        <v>80.73</v>
      </c>
      <c r="G432" s="34"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5" t="n">
        <v>80.73</v>
      </c>
      <c r="G433" s="35"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4" t="n">
        <v>25.74</v>
      </c>
      <c r="G434" s="34"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5" t="n">
        <v>260</v>
      </c>
      <c r="G435" s="35"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4" t="n">
        <v>171.6</v>
      </c>
      <c r="G436" s="34"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5" t="n">
        <v>25.74</v>
      </c>
      <c r="G437" s="35"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4" t="n">
        <v>260</v>
      </c>
      <c r="G438" s="34"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5" t="n">
        <v>171.6</v>
      </c>
      <c r="G439" s="35"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4" t="n">
        <v>13.39</v>
      </c>
      <c r="G440" s="34"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5" t="n">
        <v>26.91</v>
      </c>
      <c r="G441" s="35"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4" t="n">
        <v>39</v>
      </c>
      <c r="G442" s="34"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5" t="n">
        <v>16.25</v>
      </c>
      <c r="G443" s="35"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4" t="n">
        <v>78</v>
      </c>
      <c r="G444" s="34"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5" t="n">
        <v>32.5</v>
      </c>
      <c r="G445" s="35"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4" t="n">
        <v>39</v>
      </c>
      <c r="G446" s="34"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5" t="n">
        <v>16.25</v>
      </c>
      <c r="G447" s="35"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4" t="n">
        <v>78</v>
      </c>
      <c r="G448" s="34"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5" t="n">
        <v>65</v>
      </c>
      <c r="G449" s="35"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4" t="n">
        <v>78</v>
      </c>
      <c r="G450" s="34"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5" t="n">
        <v>117</v>
      </c>
      <c r="G451" s="35"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4" t="n">
        <v>39</v>
      </c>
      <c r="G452" s="34"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5" t="n">
        <v>15.3</v>
      </c>
      <c r="G453" s="35"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4" t="n">
        <v>65</v>
      </c>
      <c r="G454" s="34"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5" t="n">
        <v>65</v>
      </c>
      <c r="G455" s="35"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4" t="n">
        <v>65</v>
      </c>
      <c r="G456" s="34"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5" t="n">
        <v>32.5</v>
      </c>
      <c r="G457" s="35"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4" t="n">
        <v>32.5</v>
      </c>
      <c r="G458" s="34"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5" t="n">
        <v>32.5</v>
      </c>
      <c r="G459" s="35"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4" t="n">
        <v>25.38</v>
      </c>
      <c r="G460" s="34"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5" t="n">
        <v>16.9</v>
      </c>
      <c r="G461" s="35"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4" t="n">
        <v>25.38</v>
      </c>
      <c r="G462" s="34"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5" t="n">
        <v>16.9</v>
      </c>
      <c r="G463" s="35"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4" t="n">
        <v>21.58</v>
      </c>
      <c r="G464" s="34"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5" t="n">
        <v>43.16</v>
      </c>
      <c r="G465" s="35"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4" t="n">
        <v>21.58</v>
      </c>
      <c r="G466" s="34"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5" t="n">
        <v>21.58</v>
      </c>
      <c r="G467" s="35"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4" t="n">
        <v>43.16</v>
      </c>
      <c r="G468" s="34"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5" t="n">
        <v>21.58</v>
      </c>
      <c r="G469" s="35"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4" t="n">
        <v>25.35</v>
      </c>
      <c r="G470" s="34"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5" t="n">
        <v>13.39</v>
      </c>
      <c r="G471" s="35"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4" t="n">
        <v>26.91</v>
      </c>
      <c r="G472" s="34"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5" t="n">
        <v>19.76</v>
      </c>
      <c r="G473" s="35"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4" t="n">
        <v>26.91</v>
      </c>
      <c r="G474" s="34"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5" t="n">
        <v>19.76</v>
      </c>
      <c r="G475" s="35"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4" t="n">
        <v>26.91</v>
      </c>
      <c r="G476" s="34"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5" t="n">
        <v>19.76</v>
      </c>
      <c r="G477" s="35"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4" t="n">
        <v>26.91</v>
      </c>
      <c r="G478" s="34"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5" t="n">
        <v>19.76</v>
      </c>
      <c r="G479" s="35"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4" t="n">
        <v>26.91</v>
      </c>
      <c r="G480" s="34"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5" t="n">
        <v>19.76</v>
      </c>
      <c r="G481" s="35"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4" t="n">
        <v>26.91</v>
      </c>
      <c r="G482" s="34"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5" t="n">
        <v>19.76</v>
      </c>
      <c r="G483" s="35"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4" t="n">
        <v>26.91</v>
      </c>
      <c r="G484" s="34"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5" t="n">
        <v>19.76</v>
      </c>
      <c r="G485" s="35"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4" t="n">
        <v>26.91</v>
      </c>
      <c r="G486" s="34"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5" t="n">
        <v>19.76</v>
      </c>
      <c r="G487" s="35"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4" t="n">
        <v>26.91</v>
      </c>
      <c r="G488" s="34"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5" t="n">
        <v>19.76</v>
      </c>
      <c r="G489" s="35"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4" t="n">
        <v>26.91</v>
      </c>
      <c r="G490" s="34"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5" t="n">
        <v>19.76</v>
      </c>
      <c r="G491" s="35"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4" t="n">
        <v>26.91</v>
      </c>
      <c r="G492" s="34"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5" t="n">
        <v>19.76</v>
      </c>
      <c r="G493" s="35"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4" t="n">
        <v>26.91</v>
      </c>
      <c r="G494" s="34"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5" t="n">
        <v>19.76</v>
      </c>
      <c r="G495" s="35"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4" t="n">
        <v>26.91</v>
      </c>
      <c r="G496" s="34"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5" t="n">
        <v>19.76</v>
      </c>
      <c r="G497" s="35"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4" t="n">
        <v>26.91</v>
      </c>
      <c r="G498" s="34"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5" t="n">
        <v>19.76</v>
      </c>
      <c r="G499" s="35"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4" t="n">
        <v>26.91</v>
      </c>
      <c r="G500" s="34"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5" t="n">
        <v>19.76</v>
      </c>
      <c r="G501" s="35"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4" t="n">
        <v>26.91</v>
      </c>
      <c r="G502" s="34"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5" t="n">
        <v>19.76</v>
      </c>
      <c r="G503" s="35"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4" t="n">
        <v>26.91</v>
      </c>
      <c r="G504" s="34"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5" t="n">
        <v>19.76</v>
      </c>
      <c r="G505" s="35"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4" t="n">
        <v>26.91</v>
      </c>
      <c r="G506" s="34"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5" t="n">
        <v>19.76</v>
      </c>
      <c r="G507" s="35"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4" t="n">
        <v>26.91</v>
      </c>
      <c r="G508" s="34"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5" t="n">
        <v>19.76</v>
      </c>
      <c r="G509" s="35"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4" t="n">
        <v>26.91</v>
      </c>
      <c r="G510" s="34"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5" t="n">
        <v>19.76</v>
      </c>
      <c r="G511" s="35"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4" t="n">
        <v>26.91</v>
      </c>
      <c r="G512" s="34"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5" t="n">
        <v>19.76</v>
      </c>
      <c r="G513" s="35"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4" t="n">
        <v>26.91</v>
      </c>
      <c r="G514" s="34"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5" t="n">
        <v>19.76</v>
      </c>
      <c r="G515" s="35"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4" t="n">
        <v>65</v>
      </c>
      <c r="G516" s="34"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5" t="n">
        <v>3.9</v>
      </c>
      <c r="G517" s="35"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4" t="n">
        <v>1.95</v>
      </c>
      <c r="G518" s="34"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5" t="n">
        <v>40.43</v>
      </c>
      <c r="G519" s="35"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4" t="n">
        <v>26.91</v>
      </c>
      <c r="G520" s="34"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5" t="n">
        <v>40.43</v>
      </c>
      <c r="G521" s="35"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4" t="n">
        <v>111.54</v>
      </c>
      <c r="G522" s="34"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5" t="n">
        <v>215.28</v>
      </c>
      <c r="G523" s="35"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4" t="n">
        <v>28.6</v>
      </c>
      <c r="G524" s="34"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5" t="n">
        <v>19.76</v>
      </c>
      <c r="G525" s="35"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4" t="n">
        <v>51.1</v>
      </c>
      <c r="G526" s="34"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5" t="n">
        <v>68.25</v>
      </c>
      <c r="G527" s="35"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4" t="n">
        <v>19.76</v>
      </c>
      <c r="G528" s="34"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5" t="n">
        <v>51.1</v>
      </c>
      <c r="G529" s="35"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4" t="n">
        <v>68.25</v>
      </c>
      <c r="G530" s="34"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5" t="n">
        <v>80.73</v>
      </c>
      <c r="G531" s="35"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4" t="n">
        <v>80.73</v>
      </c>
      <c r="G532" s="34"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5" t="n">
        <v>20.8</v>
      </c>
      <c r="G533" s="35"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4" t="n">
        <v>20.8</v>
      </c>
      <c r="G534" s="34"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5" t="n">
        <v>20.8</v>
      </c>
      <c r="G535" s="35"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4" t="n">
        <v>26</v>
      </c>
      <c r="G536" s="34"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5" t="n">
        <v>26</v>
      </c>
      <c r="G537" s="35"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4" t="n">
        <v>26</v>
      </c>
      <c r="G538" s="34"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5" t="n">
        <v>53.82</v>
      </c>
      <c r="G539" s="35"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4" t="n">
        <v>53.82</v>
      </c>
      <c r="G540" s="34"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5" t="n">
        <v>53.82</v>
      </c>
      <c r="G541" s="35"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4" t="n">
        <v>53.82</v>
      </c>
      <c r="G542" s="34"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5" t="n">
        <v>26.91</v>
      </c>
      <c r="G543" s="35"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4" t="n">
        <v>26.91</v>
      </c>
      <c r="G544" s="34"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5" t="n">
        <v>26.91</v>
      </c>
      <c r="G545" s="35"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4" t="n">
        <v>6.76</v>
      </c>
      <c r="G546" s="34"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5" t="n">
        <v>71.5</v>
      </c>
      <c r="G547" s="35"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4" t="n">
        <v>53.82</v>
      </c>
      <c r="G548" s="34"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5" t="n">
        <v>53.82</v>
      </c>
      <c r="G549" s="35"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4" t="n">
        <v>130</v>
      </c>
      <c r="G550" s="34"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5" t="n">
        <v>53.82</v>
      </c>
      <c r="G551" s="35"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4" t="n">
        <v>130</v>
      </c>
      <c r="G552" s="34"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5" t="n">
        <v>53.82</v>
      </c>
      <c r="G553" s="35"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4" t="n">
        <v>40.43</v>
      </c>
      <c r="G554" s="34"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5" t="n">
        <v>26.91</v>
      </c>
      <c r="G555" s="35"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4" t="n">
        <v>451</v>
      </c>
      <c r="G556" s="34"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5" t="n">
        <v>1895.3</v>
      </c>
      <c r="G557" s="35"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4" t="n">
        <v>1895.3</v>
      </c>
      <c r="G558" s="34"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5" t="n">
        <v>602.25</v>
      </c>
      <c r="G559" s="35"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4" t="n">
        <v>473.83</v>
      </c>
      <c r="G560" s="34"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5" t="n">
        <v>328.15</v>
      </c>
      <c r="G561" s="35"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4" t="n">
        <v>8.970000000000001</v>
      </c>
      <c r="G562" s="34"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5" t="n">
        <v>53.82</v>
      </c>
      <c r="G563" s="35"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4" t="n">
        <v>18.2</v>
      </c>
      <c r="G564" s="34"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5" t="n">
        <v>53.82</v>
      </c>
      <c r="G565" s="35"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4" t="n">
        <v>0.9</v>
      </c>
      <c r="G566" s="34"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5" t="n">
        <v>35.88</v>
      </c>
      <c r="G567" s="35"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4" t="n">
        <v>35.88</v>
      </c>
      <c r="G568" s="34"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5" t="n">
        <v>9.1</v>
      </c>
      <c r="G569" s="35"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4" t="n">
        <v>35.88</v>
      </c>
      <c r="G570" s="34"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5" t="n">
        <v>9.1</v>
      </c>
      <c r="G571" s="35"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4" t="n">
        <v>35.88</v>
      </c>
      <c r="G572" s="34"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5" t="n">
        <v>35.88</v>
      </c>
      <c r="G573" s="35"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4" t="n">
        <v>35.88</v>
      </c>
      <c r="G574" s="34"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5" t="n">
        <v>35.88</v>
      </c>
      <c r="G575" s="35"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4" t="n">
        <v>35.88</v>
      </c>
      <c r="G576" s="34"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5" t="n">
        <v>35.88</v>
      </c>
      <c r="G577" s="35"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4" t="n">
        <v>4.42</v>
      </c>
      <c r="G578" s="34"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5" t="n">
        <v>8.970000000000001</v>
      </c>
      <c r="G579" s="35"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4" t="n">
        <v>0</v>
      </c>
      <c r="G580" s="34"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5" t="n">
        <v>4.42</v>
      </c>
      <c r="G581" s="35"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4" t="n">
        <v>4.42</v>
      </c>
      <c r="G582" s="34"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5" t="n">
        <v>4.42</v>
      </c>
      <c r="G583" s="35"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4" t="n">
        <v>4.42</v>
      </c>
      <c r="G584" s="34"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5" t="n">
        <v>4.42</v>
      </c>
      <c r="G585" s="35"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4" t="n">
        <v>4.42</v>
      </c>
      <c r="G586" s="34"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5" t="n">
        <v>4.42</v>
      </c>
      <c r="G587" s="35"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4" t="n">
        <v>4.42</v>
      </c>
      <c r="G588" s="34"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5" t="n">
        <v>4.42</v>
      </c>
      <c r="G589" s="35"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4" t="n">
        <v>25.47</v>
      </c>
      <c r="G590" s="34"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5" t="n">
        <v>25.47</v>
      </c>
      <c r="G591" s="35"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4" t="n">
        <v>4.42</v>
      </c>
      <c r="G592" s="34"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5" t="n">
        <v>40.43</v>
      </c>
      <c r="G593" s="35"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4" t="n">
        <v>40.43</v>
      </c>
      <c r="G594" s="34"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5" t="n">
        <v>9.1</v>
      </c>
      <c r="G595" s="35"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4" t="n">
        <v>40.43</v>
      </c>
      <c r="G596" s="34"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5" t="n">
        <v>9.1</v>
      </c>
      <c r="G597" s="35"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4" t="n">
        <v>40.43</v>
      </c>
      <c r="G598" s="34"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5" t="n">
        <v>40.43</v>
      </c>
      <c r="G599" s="35"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4" t="n">
        <v>40.43</v>
      </c>
      <c r="G600" s="34"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5" t="n">
        <v>35.88</v>
      </c>
      <c r="G601" s="35"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4" t="n">
        <v>40.43</v>
      </c>
      <c r="G602" s="34"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5" t="n">
        <v>40.43</v>
      </c>
      <c r="G603" s="35"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4" t="n">
        <v>40.43</v>
      </c>
      <c r="G604" s="34"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5" t="n">
        <v>40.43</v>
      </c>
      <c r="G605" s="35"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4" t="n">
        <v>26.91</v>
      </c>
      <c r="G606" s="34"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5" t="n">
        <v>26.91</v>
      </c>
      <c r="G607" s="35"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4" t="n">
        <v>7.8</v>
      </c>
      <c r="G608" s="34"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5" t="n">
        <v>7.8</v>
      </c>
      <c r="G609" s="35"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4" t="n">
        <v>33.8</v>
      </c>
      <c r="G610" s="34"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5" t="n">
        <v>8.970000000000001</v>
      </c>
      <c r="G611" s="35"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4" t="n">
        <v>33.8</v>
      </c>
      <c r="G612" s="34"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5" t="n">
        <v>33.8</v>
      </c>
      <c r="G613" s="35"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4" t="n">
        <v>33.8</v>
      </c>
      <c r="G614" s="34"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5" t="n">
        <v>8.970000000000001</v>
      </c>
      <c r="G615" s="35"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4" t="n">
        <v>33.8</v>
      </c>
      <c r="G616" s="34"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5" t="n">
        <v>33.8</v>
      </c>
      <c r="G617" s="35"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4" t="n">
        <v>33.8</v>
      </c>
      <c r="G618" s="34"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5" t="n">
        <v>9.1</v>
      </c>
      <c r="G619" s="35"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4" t="n">
        <v>33.8</v>
      </c>
      <c r="G620" s="34"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5" t="n">
        <v>33.8</v>
      </c>
      <c r="G621" s="35"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4" t="n">
        <v>33.8</v>
      </c>
      <c r="G622" s="34"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5" t="n">
        <v>8.970000000000001</v>
      </c>
      <c r="G623" s="35"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4" t="n">
        <v>33.8</v>
      </c>
      <c r="G624" s="34"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5" t="n">
        <v>33.8</v>
      </c>
      <c r="G625" s="35"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4" t="n">
        <v>35.88</v>
      </c>
      <c r="G626" s="34"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5" t="n">
        <v>35.88</v>
      </c>
      <c r="G627" s="35"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4" t="n">
        <v>33.8</v>
      </c>
      <c r="G628" s="34"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5" t="n">
        <v>8.06</v>
      </c>
      <c r="G629" s="35"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4" t="n">
        <v>2.73</v>
      </c>
      <c r="G630" s="34"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5" t="n">
        <v>8.06</v>
      </c>
      <c r="G631" s="35"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4" t="n">
        <v>2.73</v>
      </c>
      <c r="G632" s="34"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5" t="n">
        <v>4.03</v>
      </c>
      <c r="G633" s="35"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4" t="n">
        <v>2.73</v>
      </c>
      <c r="G634" s="34"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5" t="n">
        <v>1.56</v>
      </c>
      <c r="G635" s="35"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4" t="n">
        <v>4.03</v>
      </c>
      <c r="G636" s="34"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5" t="n">
        <v>2.73</v>
      </c>
      <c r="G637" s="35"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4" t="n">
        <v>1.56</v>
      </c>
      <c r="G638" s="34"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5" t="n">
        <v>4.03</v>
      </c>
      <c r="G639" s="35"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4" t="n">
        <v>2.73</v>
      </c>
      <c r="G640" s="34"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5" t="n">
        <v>1.56</v>
      </c>
      <c r="G641" s="35"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4" t="n">
        <v>4.03</v>
      </c>
      <c r="G642" s="34"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5" t="n">
        <v>1.56</v>
      </c>
      <c r="G643" s="35"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4" t="n">
        <v>5.2</v>
      </c>
      <c r="G644" s="34"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5" t="n">
        <v>1.56</v>
      </c>
      <c r="G645" s="35"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4" t="n">
        <v>4.03</v>
      </c>
      <c r="G646" s="34"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5" t="n">
        <v>1.56</v>
      </c>
      <c r="G647" s="35"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4" t="n">
        <v>5.2</v>
      </c>
      <c r="G648" s="34"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5" t="n">
        <v>1.56</v>
      </c>
      <c r="G649" s="35"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4" t="n">
        <v>26.91</v>
      </c>
      <c r="G650" s="34"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5" t="n">
        <v>19.76</v>
      </c>
      <c r="G651" s="35"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4" t="n">
        <v>26.91</v>
      </c>
      <c r="G652" s="34"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5" t="n">
        <v>19.76</v>
      </c>
      <c r="G653" s="35"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4" t="n">
        <v>26</v>
      </c>
      <c r="G654" s="34"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5" t="n">
        <v>26.91</v>
      </c>
      <c r="G655" s="35"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4" t="n">
        <v>19.76</v>
      </c>
      <c r="G656" s="34"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5" t="n">
        <v>19.76</v>
      </c>
      <c r="G657" s="35"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4" t="n">
        <v>19.76</v>
      </c>
      <c r="G658" s="34"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5" t="n">
        <v>5.46</v>
      </c>
      <c r="G659" s="35"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4" t="n">
        <v>26.91</v>
      </c>
      <c r="G660" s="34"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5" t="n">
        <v>26.91</v>
      </c>
      <c r="G661" s="35"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4" t="n">
        <v>6.37</v>
      </c>
      <c r="G662" s="34"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5" t="n">
        <v>6.37</v>
      </c>
      <c r="G663" s="35"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4" t="n">
        <v>6.37</v>
      </c>
      <c r="G664" s="34"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5" t="n">
        <v>3.64</v>
      </c>
      <c r="G665" s="35"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4" t="n">
        <v>3.64</v>
      </c>
      <c r="G666" s="34"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5" t="n">
        <v>3.64</v>
      </c>
      <c r="G667" s="35"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4" t="n">
        <v>3.64</v>
      </c>
      <c r="G668" s="34"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5" t="n">
        <v>3.64</v>
      </c>
      <c r="G669" s="35"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4" t="n">
        <v>3.64</v>
      </c>
      <c r="G670" s="34"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5" t="n">
        <v>3.64</v>
      </c>
      <c r="G671" s="35"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4" t="n">
        <v>3.64</v>
      </c>
      <c r="G672" s="34"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5" t="n">
        <v>3.64</v>
      </c>
      <c r="G673" s="35"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4" t="n">
        <v>3.64</v>
      </c>
      <c r="G674" s="34"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5" t="n">
        <v>3.64</v>
      </c>
      <c r="G675" s="35"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4" t="n">
        <v>3.64</v>
      </c>
      <c r="G676" s="34"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5" t="n">
        <v>3.64</v>
      </c>
      <c r="G677" s="35"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4" t="n">
        <v>4.55</v>
      </c>
      <c r="G678" s="34"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5" t="n">
        <v>2.73</v>
      </c>
      <c r="G679" s="35"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4" t="n">
        <v>1.43</v>
      </c>
      <c r="G680" s="34"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5" t="n">
        <v>52</v>
      </c>
      <c r="G681" s="35"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4" t="n">
        <v>130</v>
      </c>
      <c r="G682" s="34"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5" t="n">
        <v>52</v>
      </c>
      <c r="G683" s="35"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4" t="n">
        <v>130</v>
      </c>
      <c r="G684" s="34"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5" t="n">
        <v>52</v>
      </c>
      <c r="G685" s="35"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4" t="n">
        <v>130</v>
      </c>
      <c r="G686" s="34"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5" t="n">
        <v>52</v>
      </c>
      <c r="G687" s="35"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4" t="n">
        <v>130</v>
      </c>
      <c r="G688" s="34"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5" t="n">
        <v>52</v>
      </c>
      <c r="G689" s="35"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4" t="n">
        <v>130</v>
      </c>
      <c r="G690" s="34"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5" t="n">
        <v>20.25</v>
      </c>
      <c r="G691" s="35"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4" t="n">
        <v>10.05</v>
      </c>
      <c r="G692" s="34"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5" t="n">
        <v>2.6</v>
      </c>
      <c r="G693" s="35"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4" t="n">
        <v>2.6</v>
      </c>
      <c r="G694" s="34"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5" t="n">
        <v>2.6</v>
      </c>
      <c r="G695" s="35"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4" t="n">
        <v>100.1</v>
      </c>
      <c r="G696" s="34"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5" t="n">
        <v>1.04</v>
      </c>
      <c r="G697" s="35"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4" t="n">
        <v>4.68</v>
      </c>
      <c r="G698" s="34"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5" t="n">
        <v>4.68</v>
      </c>
      <c r="G699" s="35"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4" t="n">
        <v>20.36</v>
      </c>
      <c r="G700" s="34"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5" t="n">
        <v>20.36</v>
      </c>
      <c r="G701" s="35"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4" t="n">
        <v>20.36</v>
      </c>
      <c r="G702" s="34"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5" t="n">
        <v>7.8</v>
      </c>
      <c r="G703" s="35"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4" t="n">
        <v>20.36</v>
      </c>
      <c r="G704" s="34"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5" t="n">
        <v>20.36</v>
      </c>
      <c r="G705" s="35"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4" t="n">
        <v>7.8</v>
      </c>
      <c r="G706" s="34"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5" t="n">
        <v>20.36</v>
      </c>
      <c r="G707" s="35"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4" t="n">
        <v>20.36</v>
      </c>
      <c r="G708" s="34"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5" t="n">
        <v>7.8</v>
      </c>
      <c r="G709" s="35"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4" t="n">
        <v>20.36</v>
      </c>
      <c r="G710" s="34"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5" t="n">
        <v>20.36</v>
      </c>
      <c r="G711" s="35"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4" t="n">
        <v>21.84</v>
      </c>
      <c r="G712" s="34"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5" t="n">
        <v>4.42</v>
      </c>
      <c r="G713" s="35"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4" t="n">
        <v>4.42</v>
      </c>
      <c r="G714" s="34"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5" t="n">
        <v>195</v>
      </c>
      <c r="G715" s="35"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4" t="n">
        <v>52</v>
      </c>
      <c r="G716" s="34"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5" t="n">
        <v>195</v>
      </c>
      <c r="G717" s="35"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4" t="n">
        <v>52</v>
      </c>
      <c r="G718" s="34"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5" t="n">
        <v>143</v>
      </c>
      <c r="G719" s="35"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4" t="n">
        <v>39</v>
      </c>
      <c r="G720" s="34"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5" t="n">
        <v>65</v>
      </c>
      <c r="G721" s="35"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4" t="n">
        <v>13</v>
      </c>
      <c r="G722" s="34"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5" t="n">
        <v>20.8</v>
      </c>
      <c r="G723" s="35"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4" t="n">
        <v>52</v>
      </c>
      <c r="G724" s="34"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5" t="n">
        <v>20.8</v>
      </c>
      <c r="G725" s="35"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4" t="n">
        <v>52</v>
      </c>
      <c r="G726" s="34"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5" t="n">
        <v>20.8</v>
      </c>
      <c r="G727" s="35"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4" t="n">
        <v>52</v>
      </c>
      <c r="G728" s="34"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5" t="n">
        <v>26</v>
      </c>
      <c r="G729" s="35"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4" t="n">
        <v>20.8</v>
      </c>
      <c r="G730" s="34"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5" t="n">
        <v>52</v>
      </c>
      <c r="G731" s="35"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4" t="n">
        <v>33.8</v>
      </c>
      <c r="G732" s="34"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5" t="n">
        <v>8.970000000000001</v>
      </c>
      <c r="G733" s="35"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4" t="n">
        <v>33.8</v>
      </c>
      <c r="G734" s="34"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5" t="n">
        <v>33.8</v>
      </c>
      <c r="G735" s="35"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4" t="n">
        <v>33.8</v>
      </c>
      <c r="G736" s="34"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5" t="n">
        <v>8.970000000000001</v>
      </c>
      <c r="G737" s="35"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4" t="n">
        <v>33.8</v>
      </c>
      <c r="G738" s="34"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5" t="n">
        <v>33.8</v>
      </c>
      <c r="G739" s="35"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4" t="n">
        <v>33.8</v>
      </c>
      <c r="G740" s="34"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5" t="n">
        <v>8.970000000000001</v>
      </c>
      <c r="G741" s="35"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4" t="n">
        <v>33.8</v>
      </c>
      <c r="G742" s="34"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5" t="n">
        <v>33.8</v>
      </c>
      <c r="G743" s="35"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4" t="n">
        <v>33.8</v>
      </c>
      <c r="G744" s="34"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5" t="n">
        <v>9.1</v>
      </c>
      <c r="G745" s="35"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4" t="n">
        <v>33.8</v>
      </c>
      <c r="G746" s="34"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5" t="n">
        <v>33.8</v>
      </c>
      <c r="G747" s="35"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4" t="n">
        <v>19.76</v>
      </c>
      <c r="G748" s="34"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5" t="n">
        <v>19.76</v>
      </c>
      <c r="G749" s="35"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4" t="n">
        <v>130</v>
      </c>
      <c r="G750" s="34"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5" t="n">
        <v>4.23</v>
      </c>
      <c r="G751" s="35"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4" t="n">
        <v>180</v>
      </c>
      <c r="G752" s="34"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5" t="n">
        <v>10</v>
      </c>
      <c r="G753" s="35"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4" t="n">
        <v>180</v>
      </c>
      <c r="G754" s="34"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5" t="n">
        <v>10</v>
      </c>
      <c r="G755" s="35"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4" t="n">
        <v>3.64</v>
      </c>
      <c r="G756" s="34"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5" t="n">
        <v>40.1</v>
      </c>
      <c r="G757" s="35"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4" t="n">
        <v>33.56</v>
      </c>
      <c r="G758" s="34"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5" t="n">
        <v>11.65</v>
      </c>
      <c r="G759" s="35"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4" t="n">
        <v>30.35</v>
      </c>
      <c r="G760" s="34"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5" t="n">
        <v>30.35</v>
      </c>
      <c r="G761" s="35"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4" t="n">
        <v>4.68</v>
      </c>
      <c r="G762" s="34"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5" t="n">
        <v>20.36</v>
      </c>
      <c r="G763" s="35"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4" t="n">
        <v>4.68</v>
      </c>
      <c r="G764" s="34"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5" t="n">
        <v>20.36</v>
      </c>
      <c r="G765" s="35"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4" t="n">
        <v>170</v>
      </c>
      <c r="G766" s="34"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5" t="n">
        <v>170</v>
      </c>
      <c r="G767" s="35"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4" t="n">
        <v>170</v>
      </c>
      <c r="G768" s="34"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5" t="n">
        <v>170</v>
      </c>
      <c r="G769" s="35"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4" t="n">
        <v>170</v>
      </c>
      <c r="G770" s="34"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5" t="n">
        <v>170</v>
      </c>
      <c r="G771" s="35"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4" t="n">
        <v>170</v>
      </c>
      <c r="G772" s="34"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5" t="n">
        <v>170</v>
      </c>
      <c r="G773" s="35"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4" t="n">
        <v>170</v>
      </c>
      <c r="G774" s="34"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5" t="n">
        <v>170</v>
      </c>
      <c r="G775" s="35"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4" t="n">
        <v>170</v>
      </c>
      <c r="G776" s="34"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5" t="n">
        <v>170</v>
      </c>
      <c r="G777" s="35"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4" t="n">
        <v>170</v>
      </c>
      <c r="G778" s="34"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5" t="n">
        <v>170</v>
      </c>
      <c r="G779" s="35"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4" t="n">
        <v>170</v>
      </c>
      <c r="G780" s="34"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5" t="n">
        <v>170</v>
      </c>
      <c r="G781" s="35"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4" t="n">
        <v>170</v>
      </c>
      <c r="G782" s="34"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5" t="n">
        <v>170</v>
      </c>
      <c r="G783" s="35"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4" t="n">
        <v>170</v>
      </c>
      <c r="G784" s="34"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5" t="n">
        <v>170</v>
      </c>
      <c r="G785" s="35"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4" t="n">
        <v>3</v>
      </c>
      <c r="G786" s="34"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5" t="n">
        <v>3</v>
      </c>
      <c r="G787" s="35"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4" t="n">
        <v>3</v>
      </c>
      <c r="G788" s="34"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5" t="n">
        <v>3</v>
      </c>
      <c r="G789" s="35"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4" t="n">
        <v>3</v>
      </c>
      <c r="G790" s="34"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5" t="n">
        <v>33.56</v>
      </c>
      <c r="G791" s="35"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4" t="n">
        <v>1.82</v>
      </c>
      <c r="G792" s="34"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5" t="n">
        <v>4.42</v>
      </c>
      <c r="G793" s="35"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4" t="n">
        <v>13.52</v>
      </c>
      <c r="G794" s="34"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5" t="n">
        <v>26.91</v>
      </c>
      <c r="G795" s="35"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4" t="n">
        <v>19.76</v>
      </c>
      <c r="G796" s="34"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5" t="n">
        <v>26.91</v>
      </c>
      <c r="G797" s="35"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4" t="n">
        <v>0.91</v>
      </c>
      <c r="G798" s="34"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5" t="n">
        <v>7.8</v>
      </c>
      <c r="G799" s="35"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4" t="n">
        <v>1.82</v>
      </c>
      <c r="G800" s="34"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5" t="n">
        <v>7.8</v>
      </c>
      <c r="G801" s="35"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4" t="n">
        <v>13.52</v>
      </c>
      <c r="G802" s="34"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5" t="n">
        <v>26.91</v>
      </c>
      <c r="G803" s="35"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4" t="n">
        <v>13.52</v>
      </c>
      <c r="G804" s="34"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5" t="n">
        <v>26.91</v>
      </c>
      <c r="G805" s="35"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4" t="n">
        <v>13.52</v>
      </c>
      <c r="G806" s="34"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5" t="n">
        <v>26.91</v>
      </c>
      <c r="G807" s="35"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4" t="n">
        <v>26.94</v>
      </c>
      <c r="G808" s="34"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5" t="n">
        <v>8.109999999999999</v>
      </c>
      <c r="G809" s="35"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4" t="n">
        <v>130</v>
      </c>
      <c r="G810" s="34"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5" t="n">
        <v>53.82</v>
      </c>
      <c r="G811" s="35"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4" t="n">
        <v>8.109999999999999</v>
      </c>
      <c r="G812" s="34"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5" t="n">
        <v>130</v>
      </c>
      <c r="G813" s="35"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4" t="n">
        <v>53.82</v>
      </c>
      <c r="G814" s="34"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5" t="n">
        <v>130</v>
      </c>
      <c r="G815" s="35"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4" t="n">
        <v>250</v>
      </c>
      <c r="G816" s="34"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5" t="n">
        <v>130</v>
      </c>
      <c r="G817" s="35"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4" t="n">
        <v>280</v>
      </c>
      <c r="G818" s="34"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5" t="n">
        <v>130</v>
      </c>
      <c r="G819" s="35"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4" t="n">
        <v>250</v>
      </c>
      <c r="G820" s="34"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5" t="n">
        <v>180</v>
      </c>
      <c r="G821" s="35"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4" t="n">
        <v>10</v>
      </c>
      <c r="G822" s="34"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5" t="n">
        <v>1.82</v>
      </c>
      <c r="G823" s="35"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4" t="n">
        <v>1.82</v>
      </c>
      <c r="G824" s="34"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5" t="n">
        <v>1.82</v>
      </c>
      <c r="G825" s="35"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4" t="n">
        <v>20.67</v>
      </c>
      <c r="G826" s="34"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5" t="n">
        <v>80.73</v>
      </c>
      <c r="G827" s="35"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4" t="n">
        <v>269.1</v>
      </c>
      <c r="G828" s="34"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5" t="n">
        <v>67.34</v>
      </c>
      <c r="G829" s="35"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4" t="n">
        <v>161.46</v>
      </c>
      <c r="G830" s="34"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5" t="n">
        <v>269.1</v>
      </c>
      <c r="G831" s="35"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4" t="n">
        <v>167.75</v>
      </c>
      <c r="G832" s="34"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5" t="n">
        <v>269.1</v>
      </c>
      <c r="G833" s="35"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4" t="n">
        <v>13.52</v>
      </c>
      <c r="G834" s="34"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5" t="n">
        <v>161.46</v>
      </c>
      <c r="G835" s="35"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4" t="n">
        <v>167.7</v>
      </c>
      <c r="G836" s="34"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5" t="n">
        <v>269.1</v>
      </c>
      <c r="G837" s="35"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4" t="n">
        <v>161.46</v>
      </c>
      <c r="G838" s="34"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5" t="n">
        <v>167.7</v>
      </c>
      <c r="G839" s="35"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4" t="n">
        <v>269.1</v>
      </c>
      <c r="G840" s="34"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5" t="n">
        <v>161.46</v>
      </c>
      <c r="G841" s="35"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4" t="n">
        <v>60.58</v>
      </c>
      <c r="G842" s="34"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5" t="n">
        <v>60.58</v>
      </c>
      <c r="G843" s="35"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4" t="n">
        <v>60.58</v>
      </c>
      <c r="G844" s="34"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5" t="n">
        <v>26.91</v>
      </c>
      <c r="G845" s="35"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4" t="n">
        <v>13.52</v>
      </c>
      <c r="G846" s="34"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5" t="n">
        <v>13.52</v>
      </c>
      <c r="G847" s="35"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4" t="n">
        <v>67.28</v>
      </c>
      <c r="G848" s="34"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5" t="n">
        <v>67.28</v>
      </c>
      <c r="G849" s="35"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4" t="n">
        <v>15.37</v>
      </c>
      <c r="G850" s="34"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5" t="n">
        <v>15.37</v>
      </c>
      <c r="G851" s="35"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4" t="n">
        <v>12.22</v>
      </c>
      <c r="G852" s="34"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5" t="n">
        <v>0.46</v>
      </c>
      <c r="G853" s="35"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4" t="n">
        <v>3.01</v>
      </c>
      <c r="G854" s="34"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5" t="n">
        <v>35.88</v>
      </c>
      <c r="G855" s="35"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4" t="n">
        <v>17.94</v>
      </c>
      <c r="G856" s="34"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5" t="n">
        <v>8.970000000000001</v>
      </c>
      <c r="G857" s="35"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4" t="n">
        <v>35.88</v>
      </c>
      <c r="G858" s="34"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5" t="n">
        <v>17.94</v>
      </c>
      <c r="G859" s="35"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4" t="n">
        <v>8.970000000000001</v>
      </c>
      <c r="G860" s="34"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5" t="n">
        <v>35.88</v>
      </c>
      <c r="G861" s="35"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4" t="n">
        <v>8.970000000000001</v>
      </c>
      <c r="G862" s="34"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5" t="n">
        <v>-20</v>
      </c>
      <c r="G863" s="35"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4" t="n">
        <v>35.88</v>
      </c>
      <c r="G864" s="34"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5" t="n">
        <v>8.970000000000001</v>
      </c>
      <c r="G865" s="35"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4" t="n">
        <v>35.88</v>
      </c>
      <c r="G866" s="34"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5" t="n">
        <v>8.970000000000001</v>
      </c>
      <c r="G867" s="35"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4" t="n">
        <v>-20</v>
      </c>
      <c r="G868" s="34"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5" t="n">
        <v>35.88</v>
      </c>
      <c r="G869" s="35"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4" t="n">
        <v>8.970000000000001</v>
      </c>
      <c r="G870" s="34"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5" t="n">
        <v>35.88</v>
      </c>
      <c r="G871" s="35"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4" t="n">
        <v>8.970000000000001</v>
      </c>
      <c r="G872" s="34"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5" t="n">
        <v>-20</v>
      </c>
      <c r="G873" s="35"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4" t="n">
        <v>35.88</v>
      </c>
      <c r="G874" s="34"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5" t="n">
        <v>8.970000000000001</v>
      </c>
      <c r="G875" s="35"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4" t="n">
        <v>35.88</v>
      </c>
      <c r="G876" s="34"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5" t="n">
        <v>17.94</v>
      </c>
      <c r="G877" s="35"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4" t="n">
        <v>3.64</v>
      </c>
      <c r="G878" s="34"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5" t="n">
        <v>35.88</v>
      </c>
      <c r="G879" s="35"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4" t="n">
        <v>17.94</v>
      </c>
      <c r="G880" s="34"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5" t="n">
        <v>3.64</v>
      </c>
      <c r="G881" s="35"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4" t="n">
        <v>80.73</v>
      </c>
      <c r="G882" s="34"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5" t="n">
        <v>80.73</v>
      </c>
      <c r="G883" s="35"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4" t="n">
        <v>80.73</v>
      </c>
      <c r="G884" s="34"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5" t="n">
        <v>1.82</v>
      </c>
      <c r="G885" s="35"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4" t="n">
        <v>1.82</v>
      </c>
      <c r="G886" s="34"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5" t="n">
        <v>4.55</v>
      </c>
      <c r="G887" s="35"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4" t="n">
        <v>10.79</v>
      </c>
      <c r="G888" s="34"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5" t="n">
        <v>0.26</v>
      </c>
      <c r="G889" s="35"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4" t="n">
        <v>110.89</v>
      </c>
      <c r="G890" s="34"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5" t="n">
        <v>4.55</v>
      </c>
      <c r="G891" s="35"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4" t="n">
        <v>12.48</v>
      </c>
      <c r="G892" s="34"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5" t="n">
        <v>12.48</v>
      </c>
      <c r="G893" s="35"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4" t="n">
        <v>12.48</v>
      </c>
      <c r="G894" s="34"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5" t="n">
        <v>10</v>
      </c>
      <c r="G895" s="35"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4" t="n">
        <v>10</v>
      </c>
      <c r="G896" s="34"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5" t="n">
        <v>10</v>
      </c>
      <c r="G897" s="35"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4" t="n">
        <v>10</v>
      </c>
      <c r="G898" s="34"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5" t="n">
        <v>10</v>
      </c>
      <c r="G899" s="35"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4" t="n">
        <v>30</v>
      </c>
      <c r="G900" s="34"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5" t="n">
        <v>20</v>
      </c>
      <c r="G901" s="35"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4" t="n">
        <v>7.5</v>
      </c>
      <c r="G902" s="34"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5" t="n">
        <v>19.76</v>
      </c>
      <c r="G903" s="35"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4" t="n">
        <v>19.76</v>
      </c>
      <c r="G904" s="34"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5" t="n">
        <v>125.58</v>
      </c>
      <c r="G905" s="35"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4" t="n">
        <v>125.58</v>
      </c>
      <c r="G906" s="34"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5" t="n">
        <v>17.94</v>
      </c>
      <c r="G907" s="35"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4" t="n">
        <v>5.33</v>
      </c>
      <c r="G908" s="34"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5" t="n">
        <v>8.970000000000001</v>
      </c>
      <c r="G909" s="35"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4" t="n">
        <v>40.43</v>
      </c>
      <c r="G910" s="34"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5" t="n">
        <v>53.82</v>
      </c>
      <c r="G911" s="35"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4" t="n">
        <v>53.82</v>
      </c>
      <c r="G912" s="34"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5" t="n">
        <v>19.76</v>
      </c>
      <c r="G913" s="35"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4" t="n">
        <v>19.76</v>
      </c>
      <c r="G914" s="34"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5" t="n">
        <v>13.52</v>
      </c>
      <c r="G915" s="35"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4" t="n">
        <v>161.46</v>
      </c>
      <c r="G916" s="34"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5" t="n">
        <v>161.46</v>
      </c>
      <c r="G917" s="35"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4" t="n">
        <v>-7.38</v>
      </c>
      <c r="G918" s="34"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5" t="n">
        <v>134.55</v>
      </c>
      <c r="G919" s="35"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4" t="n">
        <v>161.46</v>
      </c>
      <c r="G920" s="34"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5" t="n">
        <v>134.55</v>
      </c>
      <c r="G921" s="35"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4" t="n">
        <v>156.13</v>
      </c>
      <c r="G922" s="34"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5" t="n">
        <v>134.55</v>
      </c>
      <c r="G923" s="35"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4" t="n">
        <v>134.55</v>
      </c>
      <c r="G924" s="34"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5" t="n">
        <v>201.89</v>
      </c>
      <c r="G925" s="35"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4" t="n">
        <v>201.89</v>
      </c>
      <c r="G926" s="34"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5" t="n">
        <v>-3.64</v>
      </c>
      <c r="G927" s="35"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4" t="n">
        <v>13.52</v>
      </c>
      <c r="G928" s="34"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5" t="n">
        <v>134.55</v>
      </c>
      <c r="G929" s="35"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4" t="n">
        <v>161.98</v>
      </c>
      <c r="G930" s="34"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5" t="n">
        <v>161.98</v>
      </c>
      <c r="G931" s="35"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4" t="n">
        <v>161.98</v>
      </c>
      <c r="G932" s="34"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5" t="n">
        <v>161.98</v>
      </c>
      <c r="G933" s="35"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4" t="n">
        <v>161.46</v>
      </c>
      <c r="G934" s="34"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5" t="n">
        <v>161.46</v>
      </c>
      <c r="G935" s="35"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4" t="n">
        <v>161.46</v>
      </c>
      <c r="G936" s="34"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5" t="n">
        <v>161.46</v>
      </c>
      <c r="G937" s="35"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4" t="n">
        <v>161.98</v>
      </c>
      <c r="G938" s="34"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5" t="n">
        <v>0</v>
      </c>
      <c r="G939" s="35"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4" t="n">
        <v>161.98</v>
      </c>
      <c r="G940" s="34"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5" t="n">
        <v>0</v>
      </c>
      <c r="G941" s="35"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4" t="n">
        <v>161.98</v>
      </c>
      <c r="G942" s="34"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5" t="n">
        <v>0</v>
      </c>
      <c r="G943" s="35"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4" t="n">
        <v>162.59</v>
      </c>
      <c r="G944" s="34"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5" t="n">
        <v>40.43</v>
      </c>
      <c r="G945" s="35"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4" t="n">
        <v>26.91</v>
      </c>
      <c r="G946" s="34"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5" t="n">
        <v>40.43</v>
      </c>
      <c r="G947" s="35"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4" t="n">
        <v>26.91</v>
      </c>
      <c r="G948" s="34"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5" t="n">
        <v>25.35</v>
      </c>
      <c r="G949" s="35"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4" t="n">
        <v>2.08</v>
      </c>
      <c r="G950" s="34"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5" t="n">
        <v>16.9</v>
      </c>
      <c r="G951" s="35"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4" t="n">
        <v>134.55</v>
      </c>
      <c r="G952" s="34"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5" t="n">
        <v>134.55</v>
      </c>
      <c r="G953" s="35"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4" t="n">
        <v>134.55</v>
      </c>
      <c r="G954" s="34"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5" t="n">
        <v>134.55</v>
      </c>
      <c r="G955" s="35"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4" t="n">
        <v>134.55</v>
      </c>
      <c r="G956" s="34"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5" t="n">
        <v>134.55</v>
      </c>
      <c r="G957" s="35"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4" t="n">
        <v>53.82</v>
      </c>
      <c r="G958" s="34"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5" t="n">
        <v>26.91</v>
      </c>
      <c r="G959" s="35"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4" t="n">
        <v>208.13</v>
      </c>
      <c r="G960" s="34"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5" t="n">
        <v>174.98</v>
      </c>
      <c r="G961" s="35"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4" t="n">
        <v>10.79</v>
      </c>
      <c r="G962" s="34"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5" t="n">
        <v>10.79</v>
      </c>
      <c r="G963" s="35"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4" t="n">
        <v>26.91</v>
      </c>
      <c r="G964" s="34"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5" t="n">
        <v>26.91</v>
      </c>
      <c r="G965" s="35"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4" t="n">
        <v>26.91</v>
      </c>
      <c r="G966" s="34"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5" t="n">
        <v>26.91</v>
      </c>
      <c r="G967" s="35"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4" t="n">
        <v>33.28</v>
      </c>
      <c r="G968" s="34"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5" t="n">
        <v>26.91</v>
      </c>
      <c r="G969" s="35"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4" t="n">
        <v>80.73</v>
      </c>
      <c r="G970" s="34"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5" t="n">
        <v>9.1</v>
      </c>
      <c r="G971" s="35"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4" t="n">
        <v>20.2</v>
      </c>
      <c r="G972" s="34"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5" t="n">
        <v>26.91</v>
      </c>
      <c r="G973" s="35"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4" t="n">
        <v>6.24</v>
      </c>
      <c r="G974" s="34"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5" t="n">
        <v>3.64</v>
      </c>
      <c r="G975" s="35"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4" t="n">
        <v>26.91</v>
      </c>
      <c r="G976" s="34"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5" t="n">
        <v>20.2</v>
      </c>
      <c r="G977" s="35"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4" t="n">
        <v>26.91</v>
      </c>
      <c r="G978" s="34"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5" t="n">
        <v>13.47</v>
      </c>
      <c r="G979" s="35"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4" t="n">
        <v>26.91</v>
      </c>
      <c r="G980" s="34"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5" t="n">
        <v>13.47</v>
      </c>
      <c r="G981" s="35"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4" t="n">
        <v>26.91</v>
      </c>
      <c r="G982" s="34"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5" t="n">
        <v>3.64</v>
      </c>
      <c r="G983" s="35"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4" t="n">
        <v>26.91</v>
      </c>
      <c r="G984" s="34"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5" t="n">
        <v>3.64</v>
      </c>
      <c r="G985" s="35"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4" t="n">
        <v>26.91</v>
      </c>
      <c r="G986" s="34"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5" t="n">
        <v>2.6</v>
      </c>
      <c r="G987" s="35"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4" t="n">
        <v>26.91</v>
      </c>
      <c r="G988" s="34"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5" t="n">
        <v>2.6</v>
      </c>
      <c r="G989" s="35"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4" t="n">
        <v>26.91</v>
      </c>
      <c r="G990" s="34"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5" t="n">
        <v>40.43</v>
      </c>
      <c r="G991" s="35"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4" t="n">
        <v>26.91</v>
      </c>
      <c r="G992" s="34"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5" t="n">
        <v>40.43</v>
      </c>
      <c r="G993" s="35"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4" t="n">
        <v>26.91</v>
      </c>
      <c r="G994" s="34"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5" t="n">
        <v>8.970000000000001</v>
      </c>
      <c r="G995" s="35"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4" t="n">
        <v>67.25</v>
      </c>
      <c r="G996" s="34"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5" t="n">
        <v>50</v>
      </c>
      <c r="G997" s="35"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4" t="n">
        <v>3.64</v>
      </c>
      <c r="G998" s="34"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5" t="n">
        <v>26.91</v>
      </c>
      <c r="G999" s="35"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4" t="n">
        <v>3.64</v>
      </c>
      <c r="G1000" s="34"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5" t="n">
        <v>26.91</v>
      </c>
      <c r="G1001" s="35"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4" t="n">
        <v>3.64</v>
      </c>
      <c r="G1002" s="34"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5" t="n">
        <v>26.91</v>
      </c>
      <c r="G1003" s="35"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4" t="n">
        <v>3.64</v>
      </c>
      <c r="G1004" s="34"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5" t="n">
        <v>26.91</v>
      </c>
      <c r="G1005" s="35"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4" t="n">
        <v>6.24</v>
      </c>
      <c r="G1006" s="34"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5" t="n">
        <v>40.43</v>
      </c>
      <c r="G1007" s="35"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4" t="n">
        <v>26.75</v>
      </c>
      <c r="G1008" s="34"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5" t="n">
        <v>26.91</v>
      </c>
      <c r="G1009" s="35"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4" t="n">
        <v>26.91</v>
      </c>
      <c r="G1010" s="34"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5" t="n">
        <v>26.91</v>
      </c>
      <c r="G1011" s="35"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4" t="n">
        <v>26.91</v>
      </c>
      <c r="G1012" s="34"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5" t="n">
        <v>5</v>
      </c>
      <c r="G1013" s="35"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4" t="n">
        <v>5</v>
      </c>
      <c r="G1014" s="34"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5" t="n">
        <v>5</v>
      </c>
      <c r="G1015" s="35"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4" t="n">
        <v>5</v>
      </c>
      <c r="G1016" s="34"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5" t="n">
        <v>26.91</v>
      </c>
      <c r="G1017" s="35"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4" t="n">
        <v>26.91</v>
      </c>
      <c r="G1018" s="34"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5" t="n">
        <v>26.91</v>
      </c>
      <c r="G1019" s="35"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4" t="n">
        <v>26.91</v>
      </c>
      <c r="G1020" s="34"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5" t="n">
        <v>3.12</v>
      </c>
      <c r="G1021" s="35"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4" t="n">
        <v>1</v>
      </c>
      <c r="G1022" s="34"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5" t="n">
        <v>26.91</v>
      </c>
      <c r="G1023" s="35"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4" t="n">
        <v>25.74</v>
      </c>
      <c r="G1024" s="34"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5" t="n">
        <v>26.91</v>
      </c>
      <c r="G1025" s="35"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4" t="n">
        <v>25.74</v>
      </c>
      <c r="G1026" s="34"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5" t="n">
        <v>49.92</v>
      </c>
      <c r="G1027" s="35"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4" t="n">
        <v>26.91</v>
      </c>
      <c r="G1028" s="34"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5" t="n">
        <v>490</v>
      </c>
      <c r="G1029" s="35"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4" t="n">
        <v>329</v>
      </c>
      <c r="G1030" s="34"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5" t="n">
        <v>490</v>
      </c>
      <c r="G1031" s="35"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4" t="n">
        <v>329</v>
      </c>
      <c r="G1032" s="34"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5" t="n">
        <v>25.35</v>
      </c>
      <c r="G1033" s="35"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4" t="n">
        <v>208.13</v>
      </c>
      <c r="G1034" s="34"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5" t="n">
        <v>25.35</v>
      </c>
      <c r="G1035" s="35"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4" t="n">
        <v>208.13</v>
      </c>
      <c r="G1036" s="34"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5" t="n">
        <v>53.82</v>
      </c>
      <c r="G1037" s="35"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4" t="n">
        <v>50.57</v>
      </c>
      <c r="G1038" s="34"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5" t="n">
        <v>31.98</v>
      </c>
      <c r="G1039" s="35"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4" t="n">
        <v>38.09</v>
      </c>
      <c r="G1040" s="34"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5" t="n">
        <v>53.82</v>
      </c>
      <c r="G1041" s="35"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4" t="n">
        <v>50.57</v>
      </c>
      <c r="G1042" s="34"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5" t="n">
        <v>31.98</v>
      </c>
      <c r="G1043" s="35"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4" t="n">
        <v>38.09</v>
      </c>
      <c r="G1044" s="34"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5" t="n">
        <v>53.82</v>
      </c>
      <c r="G1045" s="35"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4" t="n">
        <v>50.57</v>
      </c>
      <c r="G1046" s="34"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5" t="n">
        <v>31.98</v>
      </c>
      <c r="G1047" s="35"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4" t="n">
        <v>38.09</v>
      </c>
      <c r="G1048" s="34"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5" t="n">
        <v>13.52</v>
      </c>
      <c r="G1049" s="35"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4" t="n">
        <v>13.52</v>
      </c>
      <c r="G1050" s="34"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5" t="n">
        <v>13.52</v>
      </c>
      <c r="G1051" s="35"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4" t="n">
        <v>10.79</v>
      </c>
      <c r="G1052" s="34"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5" t="n">
        <v>5.33</v>
      </c>
      <c r="G1053" s="35"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4" t="n">
        <v>12.61</v>
      </c>
      <c r="G1054" s="34"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5" t="n">
        <v>5.33</v>
      </c>
      <c r="G1055" s="35"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4" t="n">
        <v>12.61</v>
      </c>
      <c r="G1056" s="34"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5" t="n">
        <v>39.52</v>
      </c>
      <c r="G1057" s="35"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4" t="n">
        <v>20.67</v>
      </c>
      <c r="G1058" s="34"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5" t="n">
        <v>6.76</v>
      </c>
      <c r="G1059" s="35"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4" t="n">
        <v>6.76</v>
      </c>
      <c r="G1060" s="34"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5" t="n">
        <v>7.15</v>
      </c>
      <c r="G1061" s="35"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4" t="n">
        <v>6.63</v>
      </c>
      <c r="G1062" s="34"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5" t="n">
        <v>3.25</v>
      </c>
      <c r="G1063" s="35"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4" t="n">
        <v>3.25</v>
      </c>
      <c r="G1064" s="34"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5" t="n">
        <v>3.25</v>
      </c>
      <c r="G1065" s="35"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4" t="n">
        <v>6.24</v>
      </c>
      <c r="G1066" s="34"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5" t="n">
        <v>6.24</v>
      </c>
      <c r="G1067" s="35"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4" t="n">
        <v>6.76</v>
      </c>
      <c r="G1068" s="34"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5" t="n">
        <v>10.79</v>
      </c>
      <c r="G1069" s="35"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4" t="n">
        <v>6.24</v>
      </c>
      <c r="G1070" s="34"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5" t="n">
        <v>13.39</v>
      </c>
      <c r="G1071" s="35"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4" t="n">
        <v>1.04</v>
      </c>
      <c r="G1072" s="34"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5" t="n">
        <v>13.52</v>
      </c>
      <c r="G1073" s="35"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4" t="n">
        <v>5.33</v>
      </c>
      <c r="G1074" s="34"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5" t="n">
        <v>8.06</v>
      </c>
      <c r="G1075" s="35"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4" t="n">
        <v>6.76</v>
      </c>
      <c r="G1076" s="34"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5" t="n">
        <v>5.33</v>
      </c>
      <c r="G1077" s="35"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4" t="n">
        <v>8.06</v>
      </c>
      <c r="G1078" s="34"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5" t="n">
        <v>6.76</v>
      </c>
      <c r="G1079" s="35"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4" t="n">
        <v>26.91</v>
      </c>
      <c r="G1080" s="34"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5" t="n">
        <v>1.82</v>
      </c>
      <c r="G1081" s="35"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4" t="n">
        <v>13</v>
      </c>
      <c r="G1082" s="34"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5" t="n">
        <v>2.47</v>
      </c>
      <c r="G1083" s="35"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4" t="n">
        <v>1.3</v>
      </c>
      <c r="G1084" s="34"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5" t="n">
        <v>5.07</v>
      </c>
      <c r="G1085" s="35"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4" t="n">
        <v>1.69</v>
      </c>
      <c r="G1086" s="34"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5" t="n">
        <v>1.43</v>
      </c>
      <c r="G1087" s="35"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4" t="n">
        <v>0.26</v>
      </c>
      <c r="G1088" s="34"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5" t="n">
        <v>0.13</v>
      </c>
      <c r="G1089" s="35"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4" t="n">
        <v>0.39</v>
      </c>
      <c r="G1090" s="34"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5" t="n">
        <v>0.26</v>
      </c>
      <c r="G1091" s="35"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4" t="n">
        <v>13.52</v>
      </c>
      <c r="G1092" s="34"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5" t="n">
        <v>16.12</v>
      </c>
      <c r="G1093" s="35"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4" t="n">
        <v>16.12</v>
      </c>
      <c r="G1094" s="34"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5" t="n">
        <v>26.91</v>
      </c>
      <c r="G1095" s="35"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4" t="n">
        <v>31.07</v>
      </c>
      <c r="G1096" s="34"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5" t="n">
        <v>31.07</v>
      </c>
      <c r="G1097" s="35"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4" t="n">
        <v>26.91</v>
      </c>
      <c r="G1098" s="34"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5" t="n">
        <v>31.07</v>
      </c>
      <c r="G1099" s="35"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4" t="n">
        <v>31.07</v>
      </c>
      <c r="G1100" s="34"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5" t="n">
        <v>26.91</v>
      </c>
      <c r="G1101" s="35"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4" t="n">
        <v>31.07</v>
      </c>
      <c r="G1102" s="34"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5" t="n">
        <v>31.07</v>
      </c>
      <c r="G1103" s="35"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4" t="n">
        <v>26.91</v>
      </c>
      <c r="G1104" s="34"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5" t="n">
        <v>31.07</v>
      </c>
      <c r="G1105" s="35"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4" t="n">
        <v>31.07</v>
      </c>
      <c r="G1106" s="34"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5" t="n">
        <v>26.91</v>
      </c>
      <c r="G1107" s="35"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4" t="n">
        <v>31.07</v>
      </c>
      <c r="G1108" s="34"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5" t="n">
        <v>31.07</v>
      </c>
      <c r="G1109" s="35"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4" t="n">
        <v>26.91</v>
      </c>
      <c r="G1110" s="34"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5" t="n">
        <v>31.07</v>
      </c>
      <c r="G1111" s="35"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4" t="n">
        <v>31.07</v>
      </c>
      <c r="G1112" s="34"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5" t="n">
        <v>7.8</v>
      </c>
      <c r="G1113" s="35"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4" t="n">
        <v>14.69</v>
      </c>
      <c r="G1114" s="34"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5" t="n">
        <v>5.33</v>
      </c>
      <c r="G1115" s="35"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4" t="n">
        <v>6.11</v>
      </c>
      <c r="G1116" s="34"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5" t="n">
        <v>6.11</v>
      </c>
      <c r="G1117" s="35"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4" t="n">
        <v>10.79</v>
      </c>
      <c r="G1118" s="34"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5" t="n">
        <v>5.33</v>
      </c>
      <c r="G1119" s="35"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4" t="n">
        <v>6.11</v>
      </c>
      <c r="G1120" s="34"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5" t="n">
        <v>6.11</v>
      </c>
      <c r="G1121" s="35"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4" t="n">
        <v>10.79</v>
      </c>
      <c r="G1122" s="34"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5" t="n">
        <v>5.33</v>
      </c>
      <c r="G1123" s="35"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4" t="n">
        <v>6.11</v>
      </c>
      <c r="G1124" s="34"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5" t="n">
        <v>6.11</v>
      </c>
      <c r="G1125" s="35"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4" t="n">
        <v>10.79</v>
      </c>
      <c r="G1126" s="34"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5" t="n">
        <v>5.33</v>
      </c>
      <c r="G1127" s="35"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4" t="n">
        <v>6.11</v>
      </c>
      <c r="G1128" s="34"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5" t="n">
        <v>6.11</v>
      </c>
      <c r="G1129" s="35"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4" t="n">
        <v>10.79</v>
      </c>
      <c r="G1130" s="34"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5" t="n">
        <v>5.33</v>
      </c>
      <c r="G1131" s="35"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4" t="n">
        <v>6.11</v>
      </c>
      <c r="G1132" s="34"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5" t="n">
        <v>6.11</v>
      </c>
      <c r="G1133" s="35"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4" t="n">
        <v>10.79</v>
      </c>
      <c r="G1134" s="34"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5" t="n">
        <v>83.98</v>
      </c>
      <c r="G1135" s="35"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4" t="n">
        <v>53.82</v>
      </c>
      <c r="G1136" s="34"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5" t="n">
        <v>83.98</v>
      </c>
      <c r="G1137" s="35"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4" t="n">
        <v>53.82</v>
      </c>
      <c r="G1138" s="34"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5" t="n">
        <v>13.52</v>
      </c>
      <c r="G1139" s="35"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4" t="n">
        <v>13.52</v>
      </c>
      <c r="G1140" s="34"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5" t="n">
        <v>104</v>
      </c>
      <c r="G1141" s="35"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4" t="n">
        <v>351</v>
      </c>
      <c r="G1142" s="34"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5" t="n">
        <v>52</v>
      </c>
      <c r="G1143" s="35"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4" t="n">
        <v>13</v>
      </c>
      <c r="G1144" s="34"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5" t="n">
        <v>13</v>
      </c>
      <c r="G1145" s="35"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4" t="n">
        <v>13.52</v>
      </c>
      <c r="G1146" s="34"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5" t="n">
        <v>5.33</v>
      </c>
      <c r="G1147" s="35"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4" t="n">
        <v>7.15</v>
      </c>
      <c r="G1148" s="34"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5" t="n">
        <v>0.26</v>
      </c>
      <c r="G1149" s="35"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4" t="n">
        <v>0.13</v>
      </c>
      <c r="G1150" s="34"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5" t="n">
        <v>0.13</v>
      </c>
      <c r="G1151" s="35"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4" t="n">
        <v>7.15</v>
      </c>
      <c r="G1152" s="34"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5" t="n">
        <v>0.26</v>
      </c>
      <c r="G1153" s="35"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4" t="n">
        <v>0.13</v>
      </c>
      <c r="G1154" s="34"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5" t="n">
        <v>0.13</v>
      </c>
      <c r="G1155" s="35"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4" t="n">
        <v>13.52</v>
      </c>
      <c r="G1156" s="34"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5" t="n">
        <v>13.52</v>
      </c>
      <c r="G1157" s="35"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4" t="n">
        <v>6.76</v>
      </c>
      <c r="G1158" s="34"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5" t="n">
        <v>18.59</v>
      </c>
      <c r="G1159" s="35"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4" t="n">
        <v>8.06</v>
      </c>
      <c r="G1160" s="34"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5" t="n">
        <v>18.59</v>
      </c>
      <c r="G1161" s="35"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4" t="n">
        <v>2.73</v>
      </c>
      <c r="G1162" s="34"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5" t="n">
        <v>2.73</v>
      </c>
      <c r="G1163" s="35"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4" t="n">
        <v>2.73</v>
      </c>
      <c r="G1164" s="34"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5" t="n">
        <v>2.73</v>
      </c>
      <c r="G1165" s="35"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4" t="n">
        <v>2.73</v>
      </c>
      <c r="G1166" s="34"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5" t="n">
        <v>2.73</v>
      </c>
      <c r="G1167" s="35"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4" t="n">
        <v>2.73</v>
      </c>
      <c r="G1168" s="34"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5" t="n">
        <v>2.73</v>
      </c>
      <c r="G1169" s="35"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4" t="n">
        <v>7.15</v>
      </c>
      <c r="G1170" s="34"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5" t="n">
        <v>0.91</v>
      </c>
      <c r="G1171" s="35"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4" t="n">
        <v>3.9</v>
      </c>
      <c r="G1172" s="34"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5" t="n">
        <v>7.15</v>
      </c>
      <c r="G1173" s="35"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4" t="n">
        <v>0.91</v>
      </c>
      <c r="G1174" s="34"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5" t="n">
        <v>3.9</v>
      </c>
      <c r="G1175" s="35"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4" t="n">
        <v>807.3</v>
      </c>
      <c r="G1176" s="34"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5" t="n">
        <v>807.3</v>
      </c>
      <c r="G1177" s="35"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4" t="n">
        <v>807.3</v>
      </c>
      <c r="G1178" s="34"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5" t="n">
        <v>807.3</v>
      </c>
      <c r="G1179" s="35"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4" t="n">
        <v>53.82</v>
      </c>
      <c r="G1180" s="34"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5" t="n">
        <v>53.82</v>
      </c>
      <c r="G1181" s="35"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4" t="n">
        <v>13</v>
      </c>
      <c r="G1182" s="34"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5" t="n">
        <v>2.6</v>
      </c>
      <c r="G1183" s="35"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4" t="n">
        <v>39.52</v>
      </c>
      <c r="G1184" s="34"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5" t="n">
        <v>6.76</v>
      </c>
      <c r="G1185" s="35"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4" t="n">
        <v>3.25</v>
      </c>
      <c r="G1186" s="34"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5" t="n">
        <v>6.24</v>
      </c>
      <c r="G1187" s="35"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4" t="n">
        <v>6.76</v>
      </c>
      <c r="G1188" s="34"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5" t="n">
        <v>6.24</v>
      </c>
      <c r="G1189" s="35"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4" t="n">
        <v>5.33</v>
      </c>
      <c r="G1190" s="34"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5" t="n">
        <v>12.61</v>
      </c>
      <c r="G1191" s="35"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4" t="n">
        <v>187.95</v>
      </c>
      <c r="G1192" s="34"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5" t="n">
        <v>187.95</v>
      </c>
      <c r="G1193" s="35"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4" t="n">
        <v>187.95</v>
      </c>
      <c r="G1194" s="34"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5" t="n">
        <v>187.95</v>
      </c>
      <c r="G1195" s="35"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4" t="n">
        <v>498.65</v>
      </c>
      <c r="G1196" s="34"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5" t="n">
        <v>310.7</v>
      </c>
      <c r="G1197" s="35"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4" t="n">
        <v>188</v>
      </c>
      <c r="G1198" s="34"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5" t="n">
        <v>188</v>
      </c>
      <c r="G1199" s="35"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4" t="n">
        <v>169.98</v>
      </c>
      <c r="G1200" s="34"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5" t="n">
        <v>6.71</v>
      </c>
      <c r="G1201" s="35"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4" t="n">
        <v>20.13</v>
      </c>
      <c r="G1202" s="34"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5" t="n">
        <v>44.67</v>
      </c>
      <c r="G1203" s="35"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4" t="n">
        <v>13.75</v>
      </c>
      <c r="G1204" s="34"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5" t="n">
        <v>21.48</v>
      </c>
      <c r="G1205" s="35"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4" t="n">
        <v>80.54000000000001</v>
      </c>
      <c r="G1206" s="34"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5" t="n">
        <v>53.69</v>
      </c>
      <c r="G1207" s="35"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4" t="n">
        <v>52</v>
      </c>
      <c r="G1208" s="34"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5" t="n">
        <v>20</v>
      </c>
      <c r="G1209" s="35"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4" t="n">
        <v>89.28</v>
      </c>
      <c r="G1210" s="34"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5" t="n">
        <v>187.95</v>
      </c>
      <c r="G1211" s="35"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4" t="n">
        <v>807.3</v>
      </c>
      <c r="G1212" s="34"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5" t="n">
        <v>104</v>
      </c>
      <c r="G1213" s="35"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4" t="n">
        <v>351</v>
      </c>
      <c r="G1214" s="34"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5" t="n">
        <v>52</v>
      </c>
      <c r="G1215" s="35"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4" t="n">
        <v>52</v>
      </c>
      <c r="G1216" s="34"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5" t="n">
        <v>20</v>
      </c>
      <c r="G1217" s="35"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4" t="n">
        <v>13.52</v>
      </c>
      <c r="G1218" s="34" t="n">
        <v>2</v>
      </c>
      <c r="H1218" s="5" t="n">
        <v>27.04</v>
      </c>
    </row>
  </sheetData>
  <autoFilter ref="A1:H1218"/>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59"/>
  <sheetViews>
    <sheetView showGridLines="1"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01: CARRIAGE OF MATERIALS (CUSTOM BUILDER &amp; MATRIX)</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01: Mechanical &amp; manual transport costing. Mechanical transport items apply only 15% CPOH (Water, GST, and Cess are OFF per CPWD DAR convention unless contractually required). Manual carriage is governed by lead-distance labour matrices.</t>
        </is>
      </c>
    </row>
    <row r="4"/>
    <row r="5" ht="22" customHeight="1">
      <c r="A5" s="16" t="inlineStr">
        <is>
          <t>Custom Item Code:</t>
        </is>
      </c>
      <c r="B5" s="42" t="inlineStr">
        <is>
          <t>C-01.01</t>
        </is>
      </c>
      <c r="C5" s="16" t="inlineStr">
        <is>
          <t>Batch Output Basis:</t>
        </is>
      </c>
      <c r="D5" s="43" t="n">
        <v>24</v>
      </c>
      <c r="E5" s="16" t="inlineStr">
        <is>
          <t>Output Unit:</t>
        </is>
      </c>
      <c r="F5" s="42" t="inlineStr">
        <is>
          <t>cum</t>
        </is>
      </c>
      <c r="G5" s="16" t="inlineStr">
        <is>
          <t>Trade Sub-Head:</t>
        </is>
      </c>
      <c r="H5" s="44" t="inlineStr">
        <is>
          <t>01 Carriage of Materials</t>
        </is>
      </c>
    </row>
    <row r="6" ht="36" customHeight="1">
      <c r="A6" s="16" t="inlineStr">
        <is>
          <t>Item Nomenclature / Full Description:</t>
        </is>
      </c>
      <c r="B6" s="45" t="inlineStr">
        <is>
          <t>Disposal of moorum / building rubbish / malba / waste material by mechanical transport including loading, transporting, unloading for lead upto 10 km (3 trips of 8 cum capacity)</t>
        </is>
      </c>
    </row>
    <row r="7" ht="22" customHeight="1">
      <c r="A7" s="46" t="inlineStr">
        <is>
          <t>AUDIT STATUS:</t>
        </is>
      </c>
      <c r="B7" s="47">
        <f>IF(AND(D7="OK", F7="OK"), "[PASS] ALL CHECKS OK", "[ALERT] CHECKS FAILED")</f>
        <v/>
      </c>
      <c r="C7" s="48" t="inlineStr">
        <is>
          <t>Output Qty Check:</t>
        </is>
      </c>
      <c r="D7" s="49">
        <f>IF(D5&gt;0, "OK", "ERR: Qty&lt;=0")</f>
        <v/>
      </c>
      <c r="E7" s="48" t="inlineStr">
        <is>
          <t>Trip Cost Check:</t>
        </is>
      </c>
      <c r="F7" s="49">
        <f>IF(G22&gt;0, "OK", "ERR: Trip Cost&lt;=0")</f>
        <v/>
      </c>
      <c r="G7" s="48" t="inlineStr">
        <is>
          <t>CPOH Applied:</t>
        </is>
      </c>
      <c r="H7" s="49">
        <f>IF(C27="YES", "CPOH 15% ACTIVE", "CPOH OFF")</f>
        <v/>
      </c>
    </row>
    <row r="8" ht="24" customHeight="1">
      <c r="A8" s="50" t="inlineStr">
        <is>
          <t>1. MECHANICAL TRANSPORT TRIP BUILDER (Vehicle Hire + Fuel + Loading/Unloading Labour)</t>
        </is>
      </c>
    </row>
    <row r="9" ht="24" customHeight="1">
      <c r="A9" s="1" t="inlineStr">
        <is>
          <t>Line</t>
        </is>
      </c>
      <c r="B9" s="1" t="inlineStr">
        <is>
          <t>Code / Source</t>
        </is>
      </c>
      <c r="C9" s="1" t="inlineStr">
        <is>
          <t>Resource / Fuel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0084</t>
        </is>
      </c>
      <c r="C10" s="51">
        <f>IF(B10="","", IFERROR(INDEX(Rates_Master!$C:$C, MATCH(B10, Rates_Master!$A:$A, 0)), "Custom Transport Line"))</f>
        <v/>
      </c>
      <c r="D10" s="52">
        <f>IF(B10="","", IFERROR(INDEX(Rates_Master!$D:$D, MATCH(B10, Rates_Master!$A:$A, 0)), ""))</f>
        <v/>
      </c>
      <c r="E10" s="53" t="n">
        <v>1</v>
      </c>
      <c r="F10" s="54">
        <f>IF(B10="","", IFERROR(INDEX(Rates_Master!$E:$E, MATCH(B10, Rates_Master!$A:$A, 0)), 0))</f>
        <v/>
      </c>
      <c r="G10" s="33">
        <f>IF(OR(B10="", E10=""), 0, ROUND(E10 * F10, 2))</f>
        <v/>
      </c>
      <c r="H10" s="55" t="inlineStr">
        <is>
          <t>Hire charges of Diesel Truck - 9 tonne excluding diesel &amp; mobile oil</t>
        </is>
      </c>
    </row>
    <row r="11" ht="20" customHeight="1">
      <c r="A11" s="18" t="n">
        <v>2</v>
      </c>
      <c r="B11" s="42" t="inlineStr">
        <is>
          <t>0114</t>
        </is>
      </c>
      <c r="C11" s="51">
        <f>IF(B11="","", IFERROR(INDEX(Rates_Master!$C:$C, MATCH(B11, Rates_Master!$A:$A, 0)), "Custom Transport Line"))</f>
        <v/>
      </c>
      <c r="D11" s="52">
        <f>IF(B11="","", IFERROR(INDEX(Rates_Master!$D:$D, MATCH(B11, Rates_Master!$A:$A, 0)), ""))</f>
        <v/>
      </c>
      <c r="E11" s="53" t="n">
        <v>6</v>
      </c>
      <c r="F11" s="54">
        <f>IF(B11="","", IFERROR(INDEX(Rates_Master!$E:$E, MATCH(B11, Rates_Master!$A:$A, 0)), 0))</f>
        <v/>
      </c>
      <c r="G11" s="33">
        <f>IF(OR(B11="", E11=""), 0, ROUND(E11 * F11, 2))</f>
        <v/>
      </c>
      <c r="H11" s="55" t="inlineStr">
        <is>
          <t>Beldar (loading &amp; unloading labour)</t>
        </is>
      </c>
    </row>
    <row r="12" ht="20" customHeight="1">
      <c r="A12" s="18" t="n">
        <v>3</v>
      </c>
      <c r="B12" s="42" t="inlineStr">
        <is>
          <t>1235</t>
        </is>
      </c>
      <c r="C12" s="51">
        <f>IF(B12="","", IFERROR(INDEX(Rates_Master!$C:$C, MATCH(B12, Rates_Master!$A:$A, 0)), "Custom Transport Line"))</f>
        <v/>
      </c>
      <c r="D12" s="52">
        <f>IF(B12="","", IFERROR(INDEX(Rates_Master!$D:$D, MATCH(B12, Rates_Master!$A:$A, 0)), ""))</f>
        <v/>
      </c>
      <c r="E12" s="53" t="n">
        <v>12.88</v>
      </c>
      <c r="F12" s="54">
        <f>IF(B12="","", IFERROR(INDEX(Rates_Master!$E:$E, MATCH(B12, Rates_Master!$A:$A, 0)), 0))</f>
        <v/>
      </c>
      <c r="G12" s="33">
        <f>IF(OR(B12="", E12=""), 0, ROUND(E12 * F12, 2))</f>
        <v/>
      </c>
      <c r="H12" s="55" t="inlineStr">
        <is>
          <t>Diesel oil for mechanical transport trip</t>
        </is>
      </c>
    </row>
    <row r="13" ht="20" customHeight="1">
      <c r="A13" s="18" t="n">
        <v>4</v>
      </c>
      <c r="B13" s="42" t="inlineStr">
        <is>
          <t>5001</t>
        </is>
      </c>
      <c r="C13" s="51">
        <f>IF(B13="","", IFERROR(INDEX(Rates_Master!$C:$C, MATCH(B13, Rates_Master!$A:$A, 0)), "Custom Transport Line"))</f>
        <v/>
      </c>
      <c r="D13" s="52">
        <f>IF(B13="","", IFERROR(INDEX(Rates_Master!$D:$D, MATCH(B13, Rates_Master!$A:$A, 0)), ""))</f>
        <v/>
      </c>
      <c r="E13" s="53" t="n">
        <v>0.46</v>
      </c>
      <c r="F13" s="54">
        <f>IF(B13="","", IFERROR(INDEX(Rates_Master!$E:$E, MATCH(B13, Rates_Master!$A:$A, 0)), 0))</f>
        <v/>
      </c>
      <c r="G13" s="33">
        <f>IF(OR(B13="", E13=""), 0, ROUND(E13 * F13, 2))</f>
        <v/>
      </c>
      <c r="H13" s="55" t="inlineStr">
        <is>
          <t>Mobil oil</t>
        </is>
      </c>
    </row>
    <row r="14" ht="20" customHeight="1">
      <c r="A14" s="18" t="n">
        <v>5</v>
      </c>
      <c r="B14" s="42" t="inlineStr"/>
      <c r="C14" s="51">
        <f>IF(B14="","", IFERROR(INDEX(Rates_Master!$C:$C, MATCH(B14, Rates_Master!$A:$A, 0)), "Custom Transport Line"))</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Transport Line"))</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Transport Line"))</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Transport Line"))</f>
        <v/>
      </c>
      <c r="D17" s="52">
        <f>IF(B17="","", IFERROR(INDEX(Rates_Master!$D:$D, MATCH(B17, Rates_Master!$A:$A, 0)), ""))</f>
        <v/>
      </c>
      <c r="E17" s="53" t="n"/>
      <c r="F17" s="54">
        <f>IF(B17="","", IFERROR(INDEX(Rates_Master!$E:$E, MATCH(B17, Rates_Master!$A:$A, 0)), 0))</f>
        <v/>
      </c>
      <c r="G17" s="33">
        <f>IF(OR(B17="", E17=""), 0, ROUND(E17 * F17, 2))</f>
        <v/>
      </c>
      <c r="H17" s="55" t="inlineStr"/>
    </row>
    <row r="18" ht="22" customHeight="1">
      <c r="A18" s="56" t="inlineStr">
        <is>
          <t>Direct Trip Operating Cost (W) (₹):</t>
        </is>
      </c>
      <c r="B18" s="57" t="n"/>
      <c r="C18" s="57" t="n"/>
      <c r="D18" s="57" t="n"/>
      <c r="E18" s="57" t="n"/>
      <c r="F18" s="57" t="n"/>
      <c r="G18" s="58">
        <f>SUM(G10:G17)</f>
        <v/>
      </c>
      <c r="H18" s="57" t="n"/>
    </row>
    <row r="19"/>
    <row r="20" ht="24" customHeight="1">
      <c r="A20" s="50" t="inlineStr">
        <is>
          <t>2. STATUTORY MARKUPS (CPWD CARRIAGE CONVENTION: 15% CPOH ONLY; WATER/GST/CESS OFF)</t>
        </is>
      </c>
    </row>
    <row r="21" ht="24" customHeight="1">
      <c r="A21" s="1" t="inlineStr">
        <is>
          <t>Line</t>
        </is>
      </c>
      <c r="B21" s="1" t="inlineStr">
        <is>
          <t>Code / Source</t>
        </is>
      </c>
      <c r="C21" s="1" t="inlineStr">
        <is>
          <t>Apply? (YES/NO)</t>
        </is>
      </c>
      <c r="D21" s="1" t="inlineStr">
        <is>
          <t>Basis Applied</t>
        </is>
      </c>
      <c r="E21" s="1" t="inlineStr">
        <is>
          <t>Base Amount (₹)</t>
        </is>
      </c>
      <c r="F21" s="1" t="inlineStr">
        <is>
          <t>Factor / %</t>
        </is>
      </c>
      <c r="G21" s="1" t="inlineStr">
        <is>
          <t>Amount (₹)</t>
        </is>
      </c>
      <c r="H21" s="1" t="inlineStr">
        <is>
          <t>CPWD Statutory Rule &amp; Guidance Note</t>
        </is>
      </c>
    </row>
    <row r="22" ht="24" customHeight="1">
      <c r="A22" s="2" t="inlineStr">
        <is>
          <t>W</t>
        </is>
      </c>
      <c r="B22" s="59" t="inlineStr">
        <is>
          <t>Direct Trip Operating Cost (Vehicle + Labour + Fuel)</t>
        </is>
      </c>
      <c r="C22" s="60" t="inlineStr">
        <is>
          <t>—</t>
        </is>
      </c>
      <c r="D22" s="60" t="inlineStr">
        <is>
          <t>Direct Sum</t>
        </is>
      </c>
      <c r="E22" s="61" t="inlineStr">
        <is>
          <t>—</t>
        </is>
      </c>
      <c r="F22" s="61" t="inlineStr">
        <is>
          <t>—</t>
        </is>
      </c>
      <c r="G22" s="5">
        <f>G18</f>
        <v/>
      </c>
      <c r="H22" s="23" t="inlineStr">
        <is>
          <t>Total direct operating trip cost before overheads</t>
        </is>
      </c>
    </row>
    <row r="23" ht="24" customHeight="1">
      <c r="A23" s="49" t="inlineStr">
        <is>
          <t>X1</t>
        </is>
      </c>
      <c r="B23" s="19" t="inlineStr">
        <is>
          <t>Add Water Charges (1% on W)</t>
        </is>
      </c>
      <c r="C23" s="42" t="inlineStr">
        <is>
          <t>NO</t>
        </is>
      </c>
      <c r="D23" s="18" t="inlineStr">
        <is>
          <t>On "W"</t>
        </is>
      </c>
      <c r="E23" s="62">
        <f>G22</f>
        <v/>
      </c>
      <c r="F23" s="63">
        <f>Factor_Water</f>
        <v/>
      </c>
      <c r="G23" s="64">
        <f>IF(C23="YES", ROUND(E23 * F23, 2), 0)</f>
        <v/>
      </c>
      <c r="H23" s="23" t="inlineStr">
        <is>
          <t>CPWD RULE: Omitted (NO) in Carriage items because no water is consumed in transport.</t>
        </is>
      </c>
    </row>
    <row r="24" ht="24" customHeight="1">
      <c r="A24" s="2" t="inlineStr">
        <is>
          <t>X</t>
        </is>
      </c>
      <c r="B24" s="59" t="inlineStr">
        <is>
          <t>Subtotal "X" (W + Water Charges)</t>
        </is>
      </c>
      <c r="C24" s="60" t="inlineStr">
        <is>
          <t>—</t>
        </is>
      </c>
      <c r="D24" s="60" t="inlineStr">
        <is>
          <t>W + Water</t>
        </is>
      </c>
      <c r="E24" s="61" t="inlineStr">
        <is>
          <t>—</t>
        </is>
      </c>
      <c r="F24" s="61" t="inlineStr">
        <is>
          <t>—</t>
        </is>
      </c>
      <c r="G24" s="5">
        <f>G22 + G23</f>
        <v/>
      </c>
      <c r="H24" s="23" t="inlineStr">
        <is>
          <t>Base for GST (if applicable)</t>
        </is>
      </c>
    </row>
    <row r="25" ht="24" customHeight="1">
      <c r="A25" s="49" t="inlineStr">
        <is>
          <t>Y1</t>
        </is>
      </c>
      <c r="B25" s="19" t="inlineStr">
        <is>
          <t>Add GST on Transport</t>
        </is>
      </c>
      <c r="C25" s="42" t="inlineStr">
        <is>
          <t>NO</t>
        </is>
      </c>
      <c r="D25" s="18" t="inlineStr">
        <is>
          <t>On "X"</t>
        </is>
      </c>
      <c r="E25" s="62">
        <f>G24</f>
        <v/>
      </c>
      <c r="F25" s="63">
        <f>Factor_GST</f>
        <v/>
      </c>
      <c r="G25" s="64">
        <f>IF(C25="YES", ROUND(E25 * F25, 2), 0)</f>
        <v/>
      </c>
      <c r="H25" s="23" t="inlineStr">
        <is>
          <t>CPWD RULE: Omitted (NO) in DAR Carriage items; tax on vehicle freight is handled separately.</t>
        </is>
      </c>
    </row>
    <row r="26" ht="24" customHeight="1">
      <c r="A26" s="2" t="inlineStr">
        <is>
          <t>Y</t>
        </is>
      </c>
      <c r="B26" s="59" t="inlineStr">
        <is>
          <t>Subtotal "Y" (X + GST)</t>
        </is>
      </c>
      <c r="C26" s="60" t="inlineStr">
        <is>
          <t>—</t>
        </is>
      </c>
      <c r="D26" s="60" t="inlineStr">
        <is>
          <t>X + GST</t>
        </is>
      </c>
      <c r="E26" s="61" t="inlineStr">
        <is>
          <t>—</t>
        </is>
      </c>
      <c r="F26" s="61" t="inlineStr">
        <is>
          <t>—</t>
        </is>
      </c>
      <c r="G26" s="5">
        <f>G24 + G25</f>
        <v/>
      </c>
      <c r="H26" s="23" t="inlineStr">
        <is>
          <t>Base for Contractor Profit &amp; Overheads</t>
        </is>
      </c>
    </row>
    <row r="27" ht="24" customHeight="1">
      <c r="A27" s="49" t="inlineStr">
        <is>
          <t>Z1</t>
        </is>
      </c>
      <c r="B27" s="19" t="inlineStr">
        <is>
          <t>Add Contractor Profit &amp; Overheads (15% CPOH)</t>
        </is>
      </c>
      <c r="C27" s="42" t="inlineStr">
        <is>
          <t>YES</t>
        </is>
      </c>
      <c r="D27" s="18" t="inlineStr">
        <is>
          <t>On "Y"</t>
        </is>
      </c>
      <c r="E27" s="62">
        <f>G26</f>
        <v/>
      </c>
      <c r="F27" s="63">
        <f>Factor_CPOH</f>
        <v/>
      </c>
      <c r="G27" s="64">
        <f>IF(C27="YES", ROUND(E27 * F27, 2), 0)</f>
        <v/>
      </c>
      <c r="H27" s="23" t="inlineStr">
        <is>
          <t>CPWD RULE: 15% CPOH is added on Carriage direct cost per DAR 2019 item 1.1.</t>
        </is>
      </c>
    </row>
    <row r="28" ht="24" customHeight="1">
      <c r="A28" s="2" t="inlineStr">
        <is>
          <t>Z</t>
        </is>
      </c>
      <c r="B28" s="59" t="inlineStr">
        <is>
          <t>Subtotal "Z" (Y + CPOH)</t>
        </is>
      </c>
      <c r="C28" s="60" t="inlineStr">
        <is>
          <t>—</t>
        </is>
      </c>
      <c r="D28" s="60" t="inlineStr">
        <is>
          <t>Y + CPOH</t>
        </is>
      </c>
      <c r="E28" s="61" t="inlineStr">
        <is>
          <t>—</t>
        </is>
      </c>
      <c r="F28" s="61" t="inlineStr">
        <is>
          <t>—</t>
        </is>
      </c>
      <c r="G28" s="5">
        <f>G26 + G27</f>
        <v/>
      </c>
      <c r="H28" s="23" t="inlineStr">
        <is>
          <t>Base for Labour Cess</t>
        </is>
      </c>
    </row>
    <row r="29" ht="24" customHeight="1">
      <c r="A29" s="49" t="inlineStr">
        <is>
          <t>Z2</t>
        </is>
      </c>
      <c r="B29" s="19" t="inlineStr">
        <is>
          <t>Add Labour Welfare Cess (1% BOCW Cess)</t>
        </is>
      </c>
      <c r="C29" s="42" t="inlineStr">
        <is>
          <t>NO</t>
        </is>
      </c>
      <c r="D29" s="18" t="inlineStr">
        <is>
          <t>On "Z"</t>
        </is>
      </c>
      <c r="E29" s="62">
        <f>G28</f>
        <v/>
      </c>
      <c r="F29" s="63">
        <f>Factor_Cess</f>
        <v/>
      </c>
      <c r="G29" s="64">
        <f>IF(C29="YES", ROUND(E29 * F29, 2), 0)</f>
        <v/>
      </c>
      <c r="H29" s="23" t="inlineStr">
        <is>
          <t>CPWD RULE: Omitted (NO) in standard Carriage items. Toggle YES if contract requires cess on haulage.</t>
        </is>
      </c>
    </row>
    <row r="30" ht="24" customHeight="1">
      <c r="A30" s="29" t="inlineStr">
        <is>
          <t>Cost</t>
        </is>
      </c>
      <c r="B30" s="65">
        <f>"Total Carriage Cost for " &amp; TEXT(D5, "0.00") &amp; " " &amp; F5 &amp; ":"</f>
        <v/>
      </c>
      <c r="C30" s="66" t="inlineStr">
        <is>
          <t>—</t>
        </is>
      </c>
      <c r="D30" s="66" t="inlineStr">
        <is>
          <t>Z + Cess</t>
        </is>
      </c>
      <c r="E30" s="67" t="inlineStr">
        <is>
          <t>—</t>
        </is>
      </c>
      <c r="F30" s="67" t="inlineStr">
        <is>
          <t>—</t>
        </is>
      </c>
      <c r="G30" s="68">
        <f>G28 + G29</f>
        <v/>
      </c>
      <c r="H30" s="23" t="inlineStr">
        <is>
          <t>Total evaluated carriage cost for batch specified in Row 5</t>
        </is>
      </c>
    </row>
    <row r="31" ht="24" customHeight="1">
      <c r="A31" s="2" t="inlineStr">
        <is>
          <t>Rate</t>
        </is>
      </c>
      <c r="B31" s="59">
        <f>"Analyzed Carriage Rate per 1.00 " &amp; F5 &amp; ":"</f>
        <v/>
      </c>
      <c r="C31" s="60" t="inlineStr">
        <is>
          <t>—</t>
        </is>
      </c>
      <c r="D31" s="60" t="inlineStr">
        <is>
          <t>Cost / Batch Qty</t>
        </is>
      </c>
      <c r="E31" s="61" t="inlineStr">
        <is>
          <t>—</t>
        </is>
      </c>
      <c r="F31" s="61" t="inlineStr">
        <is>
          <t>—</t>
        </is>
      </c>
      <c r="G31" s="5">
        <f>ROUND(G30 / D5, 2)</f>
        <v/>
      </c>
      <c r="H31" s="23" t="inlineStr">
        <is>
          <t>Derived carriage rate per cubic metre (or unit)</t>
        </is>
      </c>
    </row>
    <row r="32" ht="30" customHeight="1">
      <c r="A32" s="69" t="inlineStr">
        <is>
          <t>SAY</t>
        </is>
      </c>
      <c r="B32" s="70">
        <f>"OFFICIAL SAY RATE (₹ per " &amp; F5 &amp; "):"</f>
        <v/>
      </c>
      <c r="C32" s="71" t="inlineStr">
        <is>
          <t>—</t>
        </is>
      </c>
      <c r="D32" s="71" t="inlineStr">
        <is>
          <t>Final Say</t>
        </is>
      </c>
      <c r="E32" s="72" t="inlineStr">
        <is>
          <t>—</t>
        </is>
      </c>
      <c r="F32" s="72" t="inlineStr">
        <is>
          <t>—</t>
        </is>
      </c>
      <c r="G32" s="73">
        <f>ROUND(G31, 2)</f>
        <v/>
      </c>
      <c r="H32" s="23" t="inlineStr">
        <is>
          <t>OFFICIAL CPWD ROUNDED RATE FOR TENDER SCHEDULES &amp; CARRIAGE SPECIFICATIONS</t>
        </is>
      </c>
    </row>
    <row r="33"/>
    <row r="34"/>
    <row r="35" ht="24" customHeight="1">
      <c r="A35" s="50" t="inlineStr">
        <is>
          <t>3. MANUAL LABOUR LEAD REFERENCE MATRIX (CPWD DAR 2019 Item 1.2 Standards)</t>
        </is>
      </c>
    </row>
    <row r="36" ht="24" customHeight="1">
      <c r="A36" s="1" t="inlineStr">
        <is>
          <t>Lead Distance</t>
        </is>
      </c>
      <c r="B36" s="1" t="inlineStr">
        <is>
          <t>Beldars / Day</t>
        </is>
      </c>
      <c r="C36" s="1" t="inlineStr">
        <is>
          <t>Coolies / Day</t>
        </is>
      </c>
      <c r="D36" s="1" t="inlineStr">
        <is>
          <t>Labour Cost (₹)</t>
        </is>
      </c>
      <c r="E36" s="1" t="inlineStr">
        <is>
          <t>Add 15% CPOH (₹)</t>
        </is>
      </c>
      <c r="F36" s="1" t="inlineStr">
        <is>
          <t>Total Rate / Day</t>
        </is>
      </c>
      <c r="G36" s="1" t="inlineStr">
        <is>
          <t>Lead Range Basis</t>
        </is>
      </c>
      <c r="H36" s="1" t="inlineStr">
        <is>
          <t>CPWD DAR Norms &amp; Labour Build-up</t>
        </is>
      </c>
    </row>
    <row r="37" ht="20" customHeight="1">
      <c r="A37" s="74" t="inlineStr">
        <is>
          <t>1st 50 Metres (Base)</t>
        </is>
      </c>
      <c r="B37" s="35" t="n">
        <v>7.67</v>
      </c>
      <c r="C37" s="35" t="n">
        <v>0</v>
      </c>
      <c r="D37" s="75">
        <f>ROUND(B37*558, 2)</f>
        <v/>
      </c>
      <c r="E37" s="75">
        <f>ROUND(D37*0.15, 2)</f>
        <v/>
      </c>
      <c r="F37" s="9">
        <f>D37+E37</f>
        <v/>
      </c>
      <c r="G37" s="8" t="inlineStr">
        <is>
          <t>Lead upto 50 m</t>
        </is>
      </c>
      <c r="H37" s="76" t="inlineStr">
        <is>
          <t>CPWD Norm: 7.67 Beldars @ ₹558/day works 8 hours carrying standard load</t>
        </is>
      </c>
    </row>
    <row r="38" ht="20" customHeight="1">
      <c r="A38" s="77" t="inlineStr">
        <is>
          <t>Addl. 50 m (upto 100 m)</t>
        </is>
      </c>
      <c r="B38" s="34" t="n">
        <v>0</v>
      </c>
      <c r="C38" s="34" t="n">
        <v>1.67</v>
      </c>
      <c r="D38" s="78">
        <f>ROUND(C38*558, 2)</f>
        <v/>
      </c>
      <c r="E38" s="78">
        <f>ROUND(D38*0.15, 2)</f>
        <v/>
      </c>
      <c r="F38" s="5">
        <f>D38+E38</f>
        <v/>
      </c>
      <c r="G38" s="4" t="inlineStr">
        <is>
          <t>Lead 50 m to 100 m</t>
        </is>
      </c>
      <c r="H38" s="79" t="inlineStr">
        <is>
          <t>1.67 Coolies added per additional 50 m lead increment</t>
        </is>
      </c>
    </row>
    <row r="39" ht="20" customHeight="1">
      <c r="A39" s="74" t="inlineStr">
        <is>
          <t>Addl. 50 m (upto 150 m)</t>
        </is>
      </c>
      <c r="B39" s="35" t="n">
        <v>0</v>
      </c>
      <c r="C39" s="35" t="n">
        <v>1.67</v>
      </c>
      <c r="D39" s="75">
        <f>ROUND(C39*558, 2)</f>
        <v/>
      </c>
      <c r="E39" s="75">
        <f>ROUND(D39*0.15, 2)</f>
        <v/>
      </c>
      <c r="F39" s="9">
        <f>D39+E39</f>
        <v/>
      </c>
      <c r="G39" s="8" t="inlineStr">
        <is>
          <t>Lead 100 m to 150 m</t>
        </is>
      </c>
      <c r="H39" s="76" t="inlineStr">
        <is>
          <t>1.67 Coolies added per additional 50 m lead increment</t>
        </is>
      </c>
    </row>
    <row r="40" ht="20" customHeight="1">
      <c r="A40" s="77" t="inlineStr">
        <is>
          <t>Addl. 50 m (upto 200 m)</t>
        </is>
      </c>
      <c r="B40" s="34" t="n">
        <v>0</v>
      </c>
      <c r="C40" s="34" t="n">
        <v>1.67</v>
      </c>
      <c r="D40" s="78">
        <f>ROUND(C40*558, 2)</f>
        <v/>
      </c>
      <c r="E40" s="78">
        <f>ROUND(D40*0.15, 2)</f>
        <v/>
      </c>
      <c r="F40" s="5">
        <f>D40+E40</f>
        <v/>
      </c>
      <c r="G40" s="4" t="inlineStr">
        <is>
          <t>Lead 150 m to 200 m</t>
        </is>
      </c>
      <c r="H40" s="79" t="inlineStr">
        <is>
          <t>1.67 Coolies added per additional 50 m lead increment</t>
        </is>
      </c>
    </row>
    <row r="41" ht="20" customHeight="1">
      <c r="A41" s="74" t="inlineStr">
        <is>
          <t>Addl. 50 m (upto 250 m)</t>
        </is>
      </c>
      <c r="B41" s="35" t="n">
        <v>0</v>
      </c>
      <c r="C41" s="35" t="n">
        <v>1.67</v>
      </c>
      <c r="D41" s="75">
        <f>ROUND(C41*558, 2)</f>
        <v/>
      </c>
      <c r="E41" s="75">
        <f>ROUND(D41*0.15, 2)</f>
        <v/>
      </c>
      <c r="F41" s="9">
        <f>D41+E41</f>
        <v/>
      </c>
      <c r="G41" s="8" t="inlineStr">
        <is>
          <t>Lead 200 m to 250 m</t>
        </is>
      </c>
      <c r="H41" s="76" t="inlineStr">
        <is>
          <t>1.67 Coolies added per additional 50 m lead increment</t>
        </is>
      </c>
    </row>
    <row r="42" ht="20" customHeight="1">
      <c r="A42" s="77" t="inlineStr">
        <is>
          <t>Addl. 50 m (upto 300 m)</t>
        </is>
      </c>
      <c r="B42" s="34" t="n">
        <v>0</v>
      </c>
      <c r="C42" s="34" t="n">
        <v>1.67</v>
      </c>
      <c r="D42" s="78">
        <f>ROUND(C42*558, 2)</f>
        <v/>
      </c>
      <c r="E42" s="78">
        <f>ROUND(D42*0.15, 2)</f>
        <v/>
      </c>
      <c r="F42" s="5">
        <f>D42+E42</f>
        <v/>
      </c>
      <c r="G42" s="4" t="inlineStr">
        <is>
          <t>Lead 250 m to 300 m</t>
        </is>
      </c>
      <c r="H42" s="79" t="inlineStr">
        <is>
          <t>1.67 Coolies added per additional 50 m lead increment</t>
        </is>
      </c>
    </row>
    <row r="43" ht="20" customHeight="1">
      <c r="A43" s="74" t="inlineStr">
        <is>
          <t>Addl. 50 m (upto 350 m)</t>
        </is>
      </c>
      <c r="B43" s="35" t="n">
        <v>0</v>
      </c>
      <c r="C43" s="35" t="n">
        <v>1.67</v>
      </c>
      <c r="D43" s="75">
        <f>ROUND(C43*558, 2)</f>
        <v/>
      </c>
      <c r="E43" s="75">
        <f>ROUND(D43*0.15, 2)</f>
        <v/>
      </c>
      <c r="F43" s="9">
        <f>D43+E43</f>
        <v/>
      </c>
      <c r="G43" s="8" t="inlineStr">
        <is>
          <t>Lead 300 m to 350 m</t>
        </is>
      </c>
      <c r="H43" s="76" t="inlineStr">
        <is>
          <t>1.67 Coolies added per additional 50 m lead increment</t>
        </is>
      </c>
    </row>
    <row r="44" ht="20" customHeight="1">
      <c r="A44" s="77" t="inlineStr">
        <is>
          <t>Addl. 50 m (upto 400 m)</t>
        </is>
      </c>
      <c r="B44" s="34" t="n">
        <v>0</v>
      </c>
      <c r="C44" s="34" t="n">
        <v>1.67</v>
      </c>
      <c r="D44" s="78">
        <f>ROUND(C44*558, 2)</f>
        <v/>
      </c>
      <c r="E44" s="78">
        <f>ROUND(D44*0.15, 2)</f>
        <v/>
      </c>
      <c r="F44" s="5">
        <f>D44+E44</f>
        <v/>
      </c>
      <c r="G44" s="4" t="inlineStr">
        <is>
          <t>Lead 350 m to 400 m</t>
        </is>
      </c>
      <c r="H44" s="79" t="inlineStr">
        <is>
          <t>1.67 Coolies added per additional 50 m lead increment</t>
        </is>
      </c>
    </row>
    <row r="45" ht="20" customHeight="1">
      <c r="A45" s="74" t="inlineStr">
        <is>
          <t>Addl. 50 m (upto 450 m)</t>
        </is>
      </c>
      <c r="B45" s="35" t="n">
        <v>0</v>
      </c>
      <c r="C45" s="35" t="n">
        <v>1.67</v>
      </c>
      <c r="D45" s="75">
        <f>ROUND(C45*558, 2)</f>
        <v/>
      </c>
      <c r="E45" s="75">
        <f>ROUND(D45*0.15, 2)</f>
        <v/>
      </c>
      <c r="F45" s="9">
        <f>D45+E45</f>
        <v/>
      </c>
      <c r="G45" s="8" t="inlineStr">
        <is>
          <t>Lead 400 m to 450 m</t>
        </is>
      </c>
      <c r="H45" s="76" t="inlineStr">
        <is>
          <t>1.67 Coolies added per additional 50 m lead increment</t>
        </is>
      </c>
    </row>
    <row r="46" ht="20" customHeight="1">
      <c r="A46" s="77" t="inlineStr">
        <is>
          <t>Addl. 50 m (upto 500 m)</t>
        </is>
      </c>
      <c r="B46" s="34" t="n">
        <v>0</v>
      </c>
      <c r="C46" s="34" t="n">
        <v>1.67</v>
      </c>
      <c r="D46" s="78">
        <f>ROUND(C46*558, 2)</f>
        <v/>
      </c>
      <c r="E46" s="78">
        <f>ROUND(D46*0.15, 2)</f>
        <v/>
      </c>
      <c r="F46" s="5">
        <f>D46+E46</f>
        <v/>
      </c>
      <c r="G46" s="4" t="inlineStr">
        <is>
          <t>Lead 450 m to 500 m</t>
        </is>
      </c>
      <c r="H46" s="79" t="inlineStr">
        <is>
          <t>1.67 Coolies added per additional 50 m lead increment</t>
        </is>
      </c>
    </row>
    <row r="47"/>
    <row r="48"/>
    <row r="49" ht="24" customHeight="1">
      <c r="A49" s="50" t="inlineStr">
        <is>
          <t>4. RUNNING CUSTOM NON-DSR ITEMS LIBRARY FOR CARRIAGE</t>
        </is>
      </c>
    </row>
    <row r="50" ht="20" customHeight="1">
      <c r="A50" s="80" t="inlineStr">
        <is>
          <t>Log all completed custom carriage rate analyses below.</t>
        </is>
      </c>
    </row>
    <row r="51" ht="24" customHeight="1">
      <c r="A51" s="1" t="inlineStr">
        <is>
          <t>Item Code</t>
        </is>
      </c>
      <c r="B51" s="1" t="inlineStr">
        <is>
          <t>Item Nomenclature / Specification</t>
        </is>
      </c>
      <c r="C51" s="1" t="inlineStr">
        <is>
          <t>Unit</t>
        </is>
      </c>
      <c r="D51" s="1" t="inlineStr">
        <is>
          <t>Output Basis</t>
        </is>
      </c>
      <c r="E51" s="1" t="inlineStr">
        <is>
          <t>Direct Cost W (₹)</t>
        </is>
      </c>
      <c r="F51" s="1" t="inlineStr">
        <is>
          <t>Markups Applied</t>
        </is>
      </c>
      <c r="G51" s="1" t="inlineStr">
        <is>
          <t>Unit Rate (₹)</t>
        </is>
      </c>
      <c r="H51" s="1" t="inlineStr">
        <is>
          <t>Say Rate (₹)</t>
        </is>
      </c>
    </row>
    <row r="52" ht="20" customHeight="1">
      <c r="A52" s="81" t="inlineStr">
        <is>
          <t>1.1.1</t>
        </is>
      </c>
      <c r="B52" s="82" t="inlineStr">
        <is>
          <t>Carriage of Lime, moorum, building rubbish by mechanical transport - lead 5 km</t>
        </is>
      </c>
      <c r="C52" s="83" t="inlineStr">
        <is>
          <t>cum</t>
        </is>
      </c>
      <c r="D52" s="83" t="n">
        <v>1</v>
      </c>
      <c r="E52" s="84" t="n">
        <v>185.2</v>
      </c>
      <c r="F52" s="83" t="inlineStr">
        <is>
          <t>15% CPOH only</t>
        </is>
      </c>
      <c r="G52" s="84" t="n">
        <v>212.98</v>
      </c>
      <c r="H52" s="85" t="n">
        <v>213</v>
      </c>
    </row>
    <row r="53" ht="20" customHeight="1">
      <c r="A53" s="86" t="inlineStr">
        <is>
          <t>1.1.18</t>
        </is>
      </c>
      <c r="B53" s="87" t="inlineStr">
        <is>
          <t>Disposal of building malba by mechanical transport - lead 10 km</t>
        </is>
      </c>
      <c r="C53" s="88" t="inlineStr">
        <is>
          <t>cum</t>
        </is>
      </c>
      <c r="D53" s="88" t="n">
        <v>1</v>
      </c>
      <c r="E53" s="89" t="n">
        <v>247.48</v>
      </c>
      <c r="F53" s="88" t="inlineStr">
        <is>
          <t>15% CPOH only</t>
        </is>
      </c>
      <c r="G53" s="89" t="n">
        <v>284.6</v>
      </c>
      <c r="H53" s="90" t="n">
        <v>284.6</v>
      </c>
    </row>
    <row r="54" ht="20" customHeight="1">
      <c r="A54" s="81" t="inlineStr">
        <is>
          <t>C-01.03</t>
        </is>
      </c>
      <c r="B54" s="82" t="inlineStr">
        <is>
          <t>(Available for new custom carriage item)</t>
        </is>
      </c>
      <c r="C54" s="83" t="inlineStr">
        <is>
          <t>cum</t>
        </is>
      </c>
      <c r="D54" s="83" t="n">
        <v>24</v>
      </c>
      <c r="E54" s="84" t="n"/>
      <c r="F54" s="83" t="inlineStr">
        <is>
          <t>15% CPOH only</t>
        </is>
      </c>
      <c r="G54" s="84" t="n"/>
      <c r="H54" s="85" t="n"/>
    </row>
    <row r="55" ht="20" customHeight="1">
      <c r="A55" s="86" t="inlineStr">
        <is>
          <t>C-01.04</t>
        </is>
      </c>
      <c r="B55" s="87" t="inlineStr">
        <is>
          <t>(Available for new custom carriage item)</t>
        </is>
      </c>
      <c r="C55" s="88" t="inlineStr">
        <is>
          <t>cum</t>
        </is>
      </c>
      <c r="D55" s="88" t="n">
        <v>24</v>
      </c>
      <c r="E55" s="89" t="n"/>
      <c r="F55" s="88" t="inlineStr">
        <is>
          <t>15% CPOH only</t>
        </is>
      </c>
      <c r="G55" s="89" t="n"/>
      <c r="H55" s="90" t="n"/>
    </row>
    <row r="56" ht="20" customHeight="1">
      <c r="A56" s="81" t="inlineStr">
        <is>
          <t>C-01.05</t>
        </is>
      </c>
      <c r="B56" s="82" t="inlineStr">
        <is>
          <t>(Available for new custom carriage item)</t>
        </is>
      </c>
      <c r="C56" s="83" t="inlineStr">
        <is>
          <t>cum</t>
        </is>
      </c>
      <c r="D56" s="83" t="n">
        <v>24</v>
      </c>
      <c r="E56" s="84" t="n"/>
      <c r="F56" s="83" t="inlineStr">
        <is>
          <t>15% CPOH only</t>
        </is>
      </c>
      <c r="G56" s="84" t="n"/>
      <c r="H56" s="85" t="n"/>
    </row>
    <row r="57" ht="20" customHeight="1">
      <c r="A57" s="86" t="inlineStr">
        <is>
          <t>C-01.06</t>
        </is>
      </c>
      <c r="B57" s="87" t="inlineStr">
        <is>
          <t>(Available for new custom carriage item)</t>
        </is>
      </c>
      <c r="C57" s="88" t="inlineStr">
        <is>
          <t>cum</t>
        </is>
      </c>
      <c r="D57" s="88" t="n">
        <v>24</v>
      </c>
      <c r="E57" s="89" t="n"/>
      <c r="F57" s="88" t="inlineStr">
        <is>
          <t>15% CPOH only</t>
        </is>
      </c>
      <c r="G57" s="89" t="n"/>
      <c r="H57" s="90" t="n"/>
    </row>
    <row r="58" ht="20" customHeight="1">
      <c r="A58" s="81" t="inlineStr">
        <is>
          <t>C-01.07</t>
        </is>
      </c>
      <c r="B58" s="82" t="inlineStr">
        <is>
          <t>(Available for new custom carriage item)</t>
        </is>
      </c>
      <c r="C58" s="83" t="inlineStr">
        <is>
          <t>cum</t>
        </is>
      </c>
      <c r="D58" s="83" t="n">
        <v>24</v>
      </c>
      <c r="E58" s="84" t="n"/>
      <c r="F58" s="83" t="inlineStr">
        <is>
          <t>15% CPOH only</t>
        </is>
      </c>
      <c r="G58" s="84" t="n"/>
      <c r="H58" s="85" t="n"/>
    </row>
    <row r="59" ht="20" customHeight="1">
      <c r="A59" s="86" t="inlineStr">
        <is>
          <t>C-01.08</t>
        </is>
      </c>
      <c r="B59" s="87" t="inlineStr">
        <is>
          <t>(Available for new custom carriage item)</t>
        </is>
      </c>
      <c r="C59" s="88" t="inlineStr">
        <is>
          <t>cum</t>
        </is>
      </c>
      <c r="D59" s="88" t="n">
        <v>24</v>
      </c>
      <c r="E59" s="89" t="n"/>
      <c r="F59" s="88" t="inlineStr">
        <is>
          <t>15% CPOH only</t>
        </is>
      </c>
      <c r="G59" s="89" t="n"/>
      <c r="H59" s="90" t="n"/>
    </row>
  </sheetData>
  <sheetProtection selectLockedCells="0" selectUnlockedCells="0" sheet="1" objects="0" insertRows="1" insertHyperlinks="1" autoFilter="1" scenarios="0" formatColumns="1" deleteColumns="1" insertColumns="1" pivotTables="1" deleteRows="1" formatCells="1" formatRows="1" sort="1"/>
  <mergeCells count="9">
    <mergeCell ref="A50:H50"/>
    <mergeCell ref="A3:H3"/>
    <mergeCell ref="A35:H35"/>
    <mergeCell ref="A20:H20"/>
    <mergeCell ref="B6:H6"/>
    <mergeCell ref="A49:H49"/>
    <mergeCell ref="A1:H1"/>
    <mergeCell ref="A8:H8"/>
    <mergeCell ref="A18:E18"/>
  </mergeCells>
  <dataValidations count="1">
    <dataValidation sqref="C23 C25 C27 C29"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2" t="inlineStr">
        <is>
          <t>C-02.01</t>
        </is>
      </c>
      <c r="C5" s="16" t="inlineStr">
        <is>
          <t>Batch Output Basis:</t>
        </is>
      </c>
      <c r="D5" s="43" t="n">
        <v>100</v>
      </c>
      <c r="E5" s="16" t="inlineStr">
        <is>
          <t>Output Unit:</t>
        </is>
      </c>
      <c r="F5" s="42" t="inlineStr">
        <is>
          <t>sqm</t>
        </is>
      </c>
      <c r="G5" s="16" t="inlineStr">
        <is>
          <t>Trade Sub-Head:</t>
        </is>
      </c>
      <c r="H5" s="44" t="inlineStr">
        <is>
          <t>02 Earth Work</t>
        </is>
      </c>
    </row>
    <row r="6" ht="36" customHeight="1">
      <c r="A6" s="16" t="inlineStr">
        <is>
          <t>Item Nomenclature / Full Description:</t>
        </is>
      </c>
      <c r="B6" s="45" t="inlineStr">
        <is>
          <t>Earth work in surface excavation not exceeding 30 cm in depth, exceeding 1.5m width and 10 sqm plan, getting out and disposal upto 50m lead and 1.5m lift in all kinds of soil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IF(G27&gt;0, "OK", "ERR: W&lt;=0")</f>
        <v/>
      </c>
      <c r="G7" s="48" t="inlineStr">
        <is>
          <t>Markup Flow Check:</t>
        </is>
      </c>
      <c r="H7" s="49">
        <f>IF(AND(G27&lt;=G29, G29&lt;=G31, G31&lt;=G33), "OK", "ERR: Markups Broken")</f>
        <v/>
      </c>
    </row>
    <row r="8" ht="24" customHeight="1">
      <c r="A8" s="50" t="inlineStr">
        <is>
          <t>1. LABOUR &amp; MACHINERY COMPONENT BUILD-UP (Earth Work operates without direct raw materials)</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8" t="n">
        <v>1</v>
      </c>
      <c r="B10" s="42" t="inlineStr">
        <is>
          <t>0114</t>
        </is>
      </c>
      <c r="C10" s="51">
        <f>IF(B10="","", IFERROR(INDEX(Rates_Master!$C:$C, MATCH(B10, Rates_Master!$A:$A, 0)), "Custom Resource"))</f>
        <v/>
      </c>
      <c r="D10" s="52">
        <f>IF(B10="","", IFERROR(INDEX(Rates_Master!$D:$D, MATCH(B10, Rates_Master!$A:$A, 0)), ""))</f>
        <v/>
      </c>
      <c r="E10" s="53" t="n">
        <v>6.8</v>
      </c>
      <c r="F10" s="54">
        <f>IF(B10="","", IFERROR(INDEX(Rates_Master!$E:$E, MATCH(B10, Rates_Master!$A:$A, 0)), 0))</f>
        <v/>
      </c>
      <c r="G10" s="33">
        <f>IF(OR(B10="", E10=""), 0, ROUND(E10 * F10, 2))</f>
        <v/>
      </c>
      <c r="H10" s="55" t="inlineStr">
        <is>
          <t>Beldar (excavation &amp; throwing)</t>
        </is>
      </c>
    </row>
    <row r="11" ht="20" customHeight="1">
      <c r="A11" s="18" t="n">
        <v>2</v>
      </c>
      <c r="B11" s="42" t="inlineStr">
        <is>
          <t>0115</t>
        </is>
      </c>
      <c r="C11" s="51">
        <f>IF(B11="","", IFERROR(INDEX(Rates_Master!$C:$C, MATCH(B11, Rates_Master!$A:$A, 0)), "Custom Resource"))</f>
        <v/>
      </c>
      <c r="D11" s="52">
        <f>IF(B11="","", IFERROR(INDEX(Rates_Master!$D:$D, MATCH(B11, Rates_Master!$A:$A, 0)), ""))</f>
        <v/>
      </c>
      <c r="E11" s="53" t="n">
        <v>5.6</v>
      </c>
      <c r="F11" s="54">
        <f>IF(B11="","", IFERROR(INDEX(Rates_Master!$E:$E, MATCH(B11, Rates_Master!$A:$A, 0)), 0))</f>
        <v/>
      </c>
      <c r="G11" s="33">
        <f>IF(OR(B11="", E11=""), 0, ROUND(E11 * F11, 2))</f>
        <v/>
      </c>
      <c r="H11" s="55" t="inlineStr">
        <is>
          <t>Coolie (carrying &amp; disposal upto 50m)</t>
        </is>
      </c>
    </row>
    <row r="12" ht="20" customHeight="1">
      <c r="A12" s="18" t="n">
        <v>3</v>
      </c>
      <c r="B12" s="42" t="inlineStr"/>
      <c r="C12" s="51">
        <f>IF(B12="","", IFERROR(INDEX(Rates_Master!$C:$C, MATCH(B12, Rates_Master!$A:$A, 0)), "Custom Resource"))</f>
        <v/>
      </c>
      <c r="D12" s="52">
        <f>IF(B12="","", IFERROR(INDEX(Rates_Master!$D:$D, MATCH(B12, Rates_Master!$A:$A, 0)), ""))</f>
        <v/>
      </c>
      <c r="E12" s="53" t="n"/>
      <c r="F12" s="54">
        <f>IF(B12="","", IFERROR(INDEX(Rates_Master!$E:$E, MATCH(B12, Rates_Master!$A:$A, 0)), 0))</f>
        <v/>
      </c>
      <c r="G12" s="33">
        <f>IF(OR(B12="", E12=""), 0, ROUND(E12 * F12, 2))</f>
        <v/>
      </c>
      <c r="H12" s="55" t="inlineStr"/>
    </row>
    <row r="13" ht="20" customHeight="1">
      <c r="A13" s="18" t="n">
        <v>4</v>
      </c>
      <c r="B13" s="42" t="inlineStr"/>
      <c r="C13" s="51">
        <f>IF(B13="","", IFERROR(INDEX(Rates_Master!$C:$C, MATCH(B13, Rates_Master!$A:$A, 0)), "Custom Resource"))</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Resource"))</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Resource"))</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Resource"))</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Resource"))</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Resource"))</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Resource"))</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Labour &amp; Plant Hire (₹):</t>
        </is>
      </c>
      <c r="B20" s="57" t="n"/>
      <c r="C20" s="57" t="n"/>
      <c r="D20" s="57" t="n"/>
      <c r="E20" s="57" t="n"/>
      <c r="F20" s="57" t="n"/>
      <c r="G20" s="58">
        <f>SUM(G10:G19)</f>
        <v/>
      </c>
      <c r="H20" s="57" t="n"/>
    </row>
    <row r="21"/>
    <row r="22" ht="24" customHeight="1">
      <c r="A22" s="50" t="inlineStr">
        <is>
          <t>2. SUNDRIES &amp; LUMP-SUM ALLOWANCES</t>
        </is>
      </c>
    </row>
    <row r="23" ht="22" customHeight="1">
      <c r="A23" s="18" t="inlineStr">
        <is>
          <t>1</t>
        </is>
      </c>
      <c r="B23" s="49" t="inlineStr">
        <is>
          <t>9999</t>
        </is>
      </c>
      <c r="C23" s="91" t="inlineStr">
        <is>
          <t>Sundries (guided by Sundries_Reference sheet)</t>
        </is>
      </c>
      <c r="D23" s="18" t="inlineStr">
        <is>
          <t>L.S.</t>
        </is>
      </c>
      <c r="E23" s="92" t="n">
        <v>0</v>
      </c>
      <c r="F23" s="93">
        <f>Factor_Sundries</f>
        <v/>
      </c>
      <c r="G23" s="9">
        <f>ROUND(E23 * F23, 2)</f>
        <v/>
      </c>
      <c r="H23" s="94" t="inlineStr">
        <is>
          <t>Cost Index Multiplier (2.00) applied on base allowance</t>
        </is>
      </c>
    </row>
    <row r="24"/>
    <row r="25" ht="24" customHeight="1">
      <c r="A25" s="50"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59" t="inlineStr">
        <is>
          <t>Base Direct Production Cost (Labour + Plant + Sundries)</t>
        </is>
      </c>
      <c r="C27" s="60" t="inlineStr">
        <is>
          <t>—</t>
        </is>
      </c>
      <c r="D27" s="60" t="inlineStr">
        <is>
          <t>Direct Sum</t>
        </is>
      </c>
      <c r="E27" s="61" t="inlineStr">
        <is>
          <t>—</t>
        </is>
      </c>
      <c r="F27" s="61" t="inlineStr">
        <is>
          <t>—</t>
        </is>
      </c>
      <c r="G27" s="5">
        <f>G20 + G23</f>
        <v/>
      </c>
      <c r="H27" s="23" t="inlineStr">
        <is>
          <t>Total direct cost of production (W) before statutory overheads</t>
        </is>
      </c>
    </row>
    <row r="28" ht="24" customHeight="1">
      <c r="A28" s="49" t="inlineStr">
        <is>
          <t>X1</t>
        </is>
      </c>
      <c r="B28" s="19" t="inlineStr">
        <is>
          <t>Add Water Charges (1% on W)</t>
        </is>
      </c>
      <c r="C28" s="42" t="inlineStr">
        <is>
          <t>YES</t>
        </is>
      </c>
      <c r="D28" s="18" t="inlineStr">
        <is>
          <t>On "W"</t>
        </is>
      </c>
      <c r="E28" s="62">
        <f>G27</f>
        <v/>
      </c>
      <c r="F28" s="63">
        <f>Factor_Water</f>
        <v/>
      </c>
      <c r="G28" s="64">
        <f>IF(C28="YES", ROUND(E28 * F28, 2), 0)</f>
        <v/>
      </c>
      <c r="H28" s="23" t="inlineStr">
        <is>
          <t>CPWD Standard: 1% water charges on labour cost for site compaction water and dust suppression.</t>
        </is>
      </c>
    </row>
    <row r="29" ht="24" customHeight="1">
      <c r="A29" s="2" t="inlineStr">
        <is>
          <t>X</t>
        </is>
      </c>
      <c r="B29" s="59" t="inlineStr">
        <is>
          <t>Subtotal "X" (W + Water Charges)</t>
        </is>
      </c>
      <c r="C29" s="60" t="inlineStr">
        <is>
          <t>—</t>
        </is>
      </c>
      <c r="D29" s="60" t="inlineStr">
        <is>
          <t>W + Water</t>
        </is>
      </c>
      <c r="E29" s="61" t="inlineStr">
        <is>
          <t>—</t>
        </is>
      </c>
      <c r="F29" s="61" t="inlineStr">
        <is>
          <t>—</t>
        </is>
      </c>
      <c r="G29" s="5">
        <f>G27 + G28</f>
        <v/>
      </c>
      <c r="H29" s="23" t="inlineStr">
        <is>
          <t>Compounded base for GST calculation</t>
        </is>
      </c>
    </row>
    <row r="30" ht="24" customHeight="1">
      <c r="A30" s="49" t="inlineStr">
        <is>
          <t>Y1</t>
        </is>
      </c>
      <c r="B30" s="19" t="inlineStr">
        <is>
          <t>Add GST on Works Contract</t>
        </is>
      </c>
      <c r="C30" s="42" t="inlineStr">
        <is>
          <t>YES</t>
        </is>
      </c>
      <c r="D30" s="18" t="inlineStr">
        <is>
          <t>On "X"</t>
        </is>
      </c>
      <c r="E30" s="62">
        <f>G29</f>
        <v/>
      </c>
      <c r="F30" s="63">
        <f>Factor_GST</f>
        <v/>
      </c>
      <c r="G30" s="64">
        <f>IF(C30="YES", ROUND(E30 * F30, 2), 0)</f>
        <v/>
      </c>
      <c r="H30" s="23" t="inlineStr">
        <is>
          <t>CPWD DAR multiplying factor 0.1405 (works contract tax).</t>
        </is>
      </c>
    </row>
    <row r="31" ht="24" customHeight="1">
      <c r="A31" s="2" t="inlineStr">
        <is>
          <t>Y</t>
        </is>
      </c>
      <c r="B31" s="59" t="inlineStr">
        <is>
          <t>Subtotal "Y" (X + GST)</t>
        </is>
      </c>
      <c r="C31" s="60" t="inlineStr">
        <is>
          <t>—</t>
        </is>
      </c>
      <c r="D31" s="60" t="inlineStr">
        <is>
          <t>X + GST</t>
        </is>
      </c>
      <c r="E31" s="61" t="inlineStr">
        <is>
          <t>—</t>
        </is>
      </c>
      <c r="F31" s="61" t="inlineStr">
        <is>
          <t>—</t>
        </is>
      </c>
      <c r="G31" s="5">
        <f>G29 + G30</f>
        <v/>
      </c>
      <c r="H31" s="23" t="inlineStr">
        <is>
          <t>Compounded base for Contractor Profit &amp; Overheads</t>
        </is>
      </c>
    </row>
    <row r="32" ht="24" customHeight="1">
      <c r="A32" s="49" t="inlineStr">
        <is>
          <t>Z1</t>
        </is>
      </c>
      <c r="B32" s="19" t="inlineStr">
        <is>
          <t>Add Contractor Profit &amp; Overheads (15% CPOH)</t>
        </is>
      </c>
      <c r="C32" s="42" t="inlineStr">
        <is>
          <t>YES</t>
        </is>
      </c>
      <c r="D32" s="18" t="inlineStr">
        <is>
          <t>On "Y"</t>
        </is>
      </c>
      <c r="E32" s="62">
        <f>G31</f>
        <v/>
      </c>
      <c r="F32" s="63">
        <f>Factor_CPOH</f>
        <v/>
      </c>
      <c r="G32" s="64">
        <f>IF(C32="YES", ROUND(E32 * F32, 2), 0)</f>
        <v/>
      </c>
      <c r="H32" s="23" t="inlineStr">
        <is>
          <t>Standard 15% Contractor Profit &amp; Overheads.</t>
        </is>
      </c>
    </row>
    <row r="33" ht="24" customHeight="1">
      <c r="A33" s="2" t="inlineStr">
        <is>
          <t>Z</t>
        </is>
      </c>
      <c r="B33" s="59" t="inlineStr">
        <is>
          <t>Subtotal "Z" (Y + CPOH)</t>
        </is>
      </c>
      <c r="C33" s="60" t="inlineStr">
        <is>
          <t>—</t>
        </is>
      </c>
      <c r="D33" s="60" t="inlineStr">
        <is>
          <t>Y + CPOH</t>
        </is>
      </c>
      <c r="E33" s="61" t="inlineStr">
        <is>
          <t>—</t>
        </is>
      </c>
      <c r="F33" s="61" t="inlineStr">
        <is>
          <t>—</t>
        </is>
      </c>
      <c r="G33" s="5">
        <f>G31 + G32</f>
        <v/>
      </c>
      <c r="H33" s="23" t="inlineStr">
        <is>
          <t>Compounded base for Labour Welfare Cess</t>
        </is>
      </c>
    </row>
    <row r="34" ht="24" customHeight="1">
      <c r="A34" s="49" t="inlineStr">
        <is>
          <t>Z2</t>
        </is>
      </c>
      <c r="B34" s="19" t="inlineStr">
        <is>
          <t>Add Labour Welfare Cess (1% BOCW Cess)</t>
        </is>
      </c>
      <c r="C34" s="42" t="inlineStr">
        <is>
          <t>YES</t>
        </is>
      </c>
      <c r="D34" s="18" t="inlineStr">
        <is>
          <t>On "Z"</t>
        </is>
      </c>
      <c r="E34" s="62">
        <f>G33</f>
        <v/>
      </c>
      <c r="F34" s="63">
        <f>Factor_Cess</f>
        <v/>
      </c>
      <c r="G34" s="64">
        <f>IF(C34="YES", ROUND(E34 * F34, 2), 0)</f>
        <v/>
      </c>
      <c r="H34" s="23" t="inlineStr">
        <is>
          <t>Statutory 1% BOCW Welfare Cess.</t>
        </is>
      </c>
    </row>
    <row r="35" ht="24" customHeight="1">
      <c r="A35" s="29" t="inlineStr">
        <is>
          <t>Cost</t>
        </is>
      </c>
      <c r="B35" s="65">
        <f>"Total Cost of Batch (" &amp; TEXT(D5, "0.00") &amp; " " &amp; F5 &amp; "):"</f>
        <v/>
      </c>
      <c r="C35" s="66" t="inlineStr">
        <is>
          <t>—</t>
        </is>
      </c>
      <c r="D35" s="66" t="inlineStr">
        <is>
          <t>Z + Cess</t>
        </is>
      </c>
      <c r="E35" s="67" t="inlineStr">
        <is>
          <t>—</t>
        </is>
      </c>
      <c r="F35" s="67" t="inlineStr">
        <is>
          <t>—</t>
        </is>
      </c>
      <c r="G35" s="68">
        <f>G33 + G34</f>
        <v/>
      </c>
      <c r="H35" s="23" t="inlineStr">
        <is>
          <t>Total cost for batch specified in row 5</t>
        </is>
      </c>
    </row>
    <row r="36" ht="24" customHeight="1">
      <c r="A36" s="2" t="inlineStr">
        <is>
          <t>Rate</t>
        </is>
      </c>
      <c r="B36" s="59">
        <f>"Analyzed Unit Rate per 1.00 " &amp; F5 &amp; ":"</f>
        <v/>
      </c>
      <c r="C36" s="60" t="inlineStr">
        <is>
          <t>—</t>
        </is>
      </c>
      <c r="D36" s="60" t="inlineStr">
        <is>
          <t>Cost / Batch Qty</t>
        </is>
      </c>
      <c r="E36" s="61" t="inlineStr">
        <is>
          <t>—</t>
        </is>
      </c>
      <c r="F36" s="61" t="inlineStr">
        <is>
          <t>—</t>
        </is>
      </c>
      <c r="G36" s="5">
        <f>ROUND(G35 / D5, 2)</f>
        <v/>
      </c>
      <c r="H36" s="23" t="inlineStr">
        <is>
          <t>Base rate per single unit of measurement</t>
        </is>
      </c>
    </row>
    <row r="37" ht="30" customHeight="1">
      <c r="A37" s="69" t="inlineStr">
        <is>
          <t>SAY</t>
        </is>
      </c>
      <c r="B37" s="70">
        <f>"OFFICIAL SAY RATE (₹ per " &amp; F5 &amp; "):"</f>
        <v/>
      </c>
      <c r="C37" s="71" t="inlineStr">
        <is>
          <t>—</t>
        </is>
      </c>
      <c r="D37" s="71" t="inlineStr">
        <is>
          <t>Final Say</t>
        </is>
      </c>
      <c r="E37" s="72" t="inlineStr">
        <is>
          <t>—</t>
        </is>
      </c>
      <c r="F37" s="72" t="inlineStr">
        <is>
          <t>—</t>
        </is>
      </c>
      <c r="G37" s="73">
        <f>ROUND(G36, 2)</f>
        <v/>
      </c>
      <c r="H37" s="23" t="inlineStr">
        <is>
          <t>OFFICIAL CPWD ROUNDED RATE FOR TENDER SCHEDULES &amp; ESTIMATES</t>
        </is>
      </c>
    </row>
    <row r="38"/>
    <row r="39"/>
    <row r="40" ht="24" customHeight="1">
      <c r="A40" s="50" t="inlineStr">
        <is>
          <t>4. RUNNING CUSTOM NON-DSR ITEMS LIBRARY FOR EARTH WORK</t>
        </is>
      </c>
    </row>
    <row r="41" ht="20" customHeight="1">
      <c r="A41" s="80"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86" t="inlineStr">
        <is>
          <t>2.1.1</t>
        </is>
      </c>
      <c r="B43" s="87" t="inlineStr">
        <is>
          <t>Earth work in surface excavation in all kinds of soil upto 50m lead and 1.5m lift</t>
        </is>
      </c>
      <c r="C43" s="88" t="inlineStr">
        <is>
          <t>sqm</t>
        </is>
      </c>
      <c r="D43" s="88" t="n">
        <v>100</v>
      </c>
      <c r="E43" s="89" t="n">
        <v>6919.2</v>
      </c>
      <c r="F43" s="88" t="inlineStr">
        <is>
          <t>Full W-&gt;X-&gt;Y-&gt;Z</t>
        </is>
      </c>
      <c r="G43" s="89" t="n">
        <v>92.56999999999999</v>
      </c>
      <c r="H43" s="90" t="n">
        <v>92.55</v>
      </c>
    </row>
    <row r="44" ht="20" customHeight="1">
      <c r="A44" s="81" t="inlineStr">
        <is>
          <t>2.2.1</t>
        </is>
      </c>
      <c r="B44" s="82" t="inlineStr">
        <is>
          <t>Earth work in rough excavation, banking excavated earth in layers with watering &amp; rolling</t>
        </is>
      </c>
      <c r="C44" s="83" t="inlineStr">
        <is>
          <t>cum</t>
        </is>
      </c>
      <c r="D44" s="83" t="n">
        <v>10</v>
      </c>
      <c r="E44" s="84" t="n">
        <v>5581.72</v>
      </c>
      <c r="F44" s="83" t="inlineStr">
        <is>
          <t>Full W-&gt;X-&gt;Y-&gt;Z</t>
        </is>
      </c>
      <c r="G44" s="84" t="n">
        <v>746.8</v>
      </c>
      <c r="H44" s="85" t="n">
        <v>746.8</v>
      </c>
    </row>
    <row r="45" ht="20" customHeight="1">
      <c r="A45" s="86" t="inlineStr">
        <is>
          <t>C-02.03</t>
        </is>
      </c>
      <c r="B45" s="87" t="inlineStr">
        <is>
          <t>(Available for new custom earthwork item)</t>
        </is>
      </c>
      <c r="C45" s="88" t="inlineStr">
        <is>
          <t>sqm</t>
        </is>
      </c>
      <c r="D45" s="88" t="n">
        <v>100</v>
      </c>
      <c r="E45" s="89" t="n"/>
      <c r="F45" s="88" t="inlineStr">
        <is>
          <t>Full W-&gt;X-&gt;Y-&gt;Z</t>
        </is>
      </c>
      <c r="G45" s="89" t="n"/>
      <c r="H45" s="90" t="n"/>
    </row>
    <row r="46" ht="20" customHeight="1">
      <c r="A46" s="81" t="inlineStr">
        <is>
          <t>C-02.04</t>
        </is>
      </c>
      <c r="B46" s="82" t="inlineStr">
        <is>
          <t>(Available for new custom earthwork item)</t>
        </is>
      </c>
      <c r="C46" s="83" t="inlineStr">
        <is>
          <t>sqm</t>
        </is>
      </c>
      <c r="D46" s="83" t="n">
        <v>100</v>
      </c>
      <c r="E46" s="84" t="n"/>
      <c r="F46" s="83" t="inlineStr">
        <is>
          <t>Full W-&gt;X-&gt;Y-&gt;Z</t>
        </is>
      </c>
      <c r="G46" s="84" t="n"/>
      <c r="H46" s="85" t="n"/>
    </row>
    <row r="47" ht="20" customHeight="1">
      <c r="A47" s="86" t="inlineStr">
        <is>
          <t>C-02.05</t>
        </is>
      </c>
      <c r="B47" s="87" t="inlineStr">
        <is>
          <t>(Available for new custom earthwork item)</t>
        </is>
      </c>
      <c r="C47" s="88" t="inlineStr">
        <is>
          <t>sqm</t>
        </is>
      </c>
      <c r="D47" s="88" t="n">
        <v>100</v>
      </c>
      <c r="E47" s="89" t="n"/>
      <c r="F47" s="88" t="inlineStr">
        <is>
          <t>Full W-&gt;X-&gt;Y-&gt;Z</t>
        </is>
      </c>
      <c r="G47" s="89" t="n"/>
      <c r="H47" s="90" t="n"/>
    </row>
    <row r="48" ht="20" customHeight="1">
      <c r="A48" s="81" t="inlineStr">
        <is>
          <t>C-02.06</t>
        </is>
      </c>
      <c r="B48" s="82" t="inlineStr">
        <is>
          <t>(Available for new custom earthwork item)</t>
        </is>
      </c>
      <c r="C48" s="83" t="inlineStr">
        <is>
          <t>sqm</t>
        </is>
      </c>
      <c r="D48" s="83" t="n">
        <v>100</v>
      </c>
      <c r="E48" s="84" t="n"/>
      <c r="F48" s="83" t="inlineStr">
        <is>
          <t>Full W-&gt;X-&gt;Y-&gt;Z</t>
        </is>
      </c>
      <c r="G48" s="84" t="n"/>
      <c r="H48" s="85" t="n"/>
    </row>
    <row r="49" ht="20" customHeight="1">
      <c r="A49" s="86" t="inlineStr">
        <is>
          <t>C-02.07</t>
        </is>
      </c>
      <c r="B49" s="87" t="inlineStr">
        <is>
          <t>(Available for new custom earthwork item)</t>
        </is>
      </c>
      <c r="C49" s="88" t="inlineStr">
        <is>
          <t>sqm</t>
        </is>
      </c>
      <c r="D49" s="88" t="n">
        <v>100</v>
      </c>
      <c r="E49" s="89" t="n"/>
      <c r="F49" s="88" t="inlineStr">
        <is>
          <t>Full W-&gt;X-&gt;Y-&gt;Z</t>
        </is>
      </c>
      <c r="G49" s="89" t="n"/>
      <c r="H49" s="90" t="n"/>
    </row>
    <row r="50" ht="20" customHeight="1">
      <c r="A50" s="81" t="inlineStr">
        <is>
          <t>C-02.08</t>
        </is>
      </c>
      <c r="B50" s="82" t="inlineStr">
        <is>
          <t>(Available for new custom earthwork item)</t>
        </is>
      </c>
      <c r="C50" s="83" t="inlineStr">
        <is>
          <t>sqm</t>
        </is>
      </c>
      <c r="D50" s="83" t="n">
        <v>100</v>
      </c>
      <c r="E50" s="84" t="n"/>
      <c r="F50" s="83" t="inlineStr">
        <is>
          <t>Full W-&gt;X-&gt;Y-&gt;Z</t>
        </is>
      </c>
      <c r="G50" s="84" t="n"/>
      <c r="H50" s="85"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2" t="inlineStr">
        <is>
          <t>C-03.01</t>
        </is>
      </c>
      <c r="C5" s="16" t="inlineStr">
        <is>
          <t>Batch Output Basis:</t>
        </is>
      </c>
      <c r="D5" s="43" t="n">
        <v>1</v>
      </c>
      <c r="E5" s="16" t="inlineStr">
        <is>
          <t>Output Unit:</t>
        </is>
      </c>
      <c r="F5" s="42" t="inlineStr">
        <is>
          <t>cum</t>
        </is>
      </c>
      <c r="G5" s="16" t="inlineStr">
        <is>
          <t>Trade Sub-Head:</t>
        </is>
      </c>
      <c r="H5" s="44" t="inlineStr">
        <is>
          <t>03 Mortars</t>
        </is>
      </c>
    </row>
    <row r="6" ht="36" customHeight="1">
      <c r="A6" s="16" t="inlineStr">
        <is>
          <t>Item Nomenclature / Full Description:</t>
        </is>
      </c>
      <c r="B6" s="45" t="inlineStr">
        <is>
          <t>Cement mortar 1:4 (1 cement : 4 coarse sand) — Intermediate mix for downstream trade consumption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0367</t>
        </is>
      </c>
      <c r="C10" s="51">
        <f>IF(B10="","", IFERROR(INDEX(Rates_Master!$C:$C, MATCH(B10, Rates_Master!$A:$A, 0)), "Custom / Intermediate Material"))</f>
        <v/>
      </c>
      <c r="D10" s="52">
        <f>IF(B10="","", IFERROR(INDEX(Rates_Master!$D:$D, MATCH(B10, Rates_Master!$A:$A, 0)), ""))</f>
        <v/>
      </c>
      <c r="E10" s="53" t="n">
        <v>0.38</v>
      </c>
      <c r="F10" s="54">
        <f>IF(B10="","", IFERROR(INDEX(Rates_Master!$E:$E, MATCH(B10, Rates_Master!$A:$A, 0)), 0))</f>
        <v/>
      </c>
      <c r="G10" s="33">
        <f>IF(OR(B10="", E10=""), 0, ROUND(E10 * F10, 2))</f>
        <v/>
      </c>
      <c r="H10" s="55" t="inlineStr">
        <is>
          <t>Portland Cement (0.269 cum = 0.38 tonne)</t>
        </is>
      </c>
    </row>
    <row r="11" ht="20" customHeight="1">
      <c r="A11" s="18" t="n">
        <v>2</v>
      </c>
      <c r="B11" s="42" t="inlineStr">
        <is>
          <t>2209</t>
        </is>
      </c>
      <c r="C11" s="51">
        <f>IF(B11="","", IFERROR(INDEX(Rates_Master!$C:$C, MATCH(B11, Rates_Master!$A:$A, 0)), "Custom / Intermediate Material"))</f>
        <v/>
      </c>
      <c r="D11" s="52">
        <f>IF(B11="","", IFERROR(INDEX(Rates_Master!$D:$D, MATCH(B11, Rates_Master!$A:$A, 0)), ""))</f>
        <v/>
      </c>
      <c r="E11" s="53" t="n">
        <v>0.38</v>
      </c>
      <c r="F11" s="54">
        <f>IF(B11="","", IFERROR(INDEX(Rates_Master!$E:$E, MATCH(B11, Rates_Master!$A:$A, 0)), 0))</f>
        <v/>
      </c>
      <c r="G11" s="33">
        <f>IF(OR(B11="", E11=""), 0, ROUND(E11 * F11, 2))</f>
        <v/>
      </c>
      <c r="H11" s="55" t="inlineStr">
        <is>
          <t>Carriage of Cement</t>
        </is>
      </c>
    </row>
    <row r="12" ht="20" customHeight="1">
      <c r="A12" s="18" t="n">
        <v>3</v>
      </c>
      <c r="B12" s="42" t="inlineStr">
        <is>
          <t>0982</t>
        </is>
      </c>
      <c r="C12" s="51">
        <f>IF(B12="","", IFERROR(INDEX(Rates_Master!$C:$C, MATCH(B12, Rates_Master!$A:$A, 0)), "Custom / Intermediate Material"))</f>
        <v/>
      </c>
      <c r="D12" s="52">
        <f>IF(B12="","", IFERROR(INDEX(Rates_Master!$D:$D, MATCH(B12, Rates_Master!$A:$A, 0)), ""))</f>
        <v/>
      </c>
      <c r="E12" s="53" t="n">
        <v>1.07</v>
      </c>
      <c r="F12" s="54">
        <f>IF(B12="","", IFERROR(INDEX(Rates_Master!$E:$E, MATCH(B12, Rates_Master!$A:$A, 0)), 0))</f>
        <v/>
      </c>
      <c r="G12" s="33">
        <f>IF(OR(B12="", E12=""), 0, ROUND(E12 * F12, 2))</f>
        <v/>
      </c>
      <c r="H12" s="55" t="inlineStr">
        <is>
          <t>Coarse sand (zone III)</t>
        </is>
      </c>
    </row>
    <row r="13" ht="20" customHeight="1">
      <c r="A13" s="18" t="n">
        <v>4</v>
      </c>
      <c r="B13" s="42" t="inlineStr">
        <is>
          <t>2203</t>
        </is>
      </c>
      <c r="C13" s="51">
        <f>IF(B13="","", IFERROR(INDEX(Rates_Master!$C:$C, MATCH(B13, Rates_Master!$A:$A, 0)), "Custom / Intermediate Material"))</f>
        <v/>
      </c>
      <c r="D13" s="52">
        <f>IF(B13="","", IFERROR(INDEX(Rates_Master!$D:$D, MATCH(B13, Rates_Master!$A:$A, 0)), ""))</f>
        <v/>
      </c>
      <c r="E13" s="53" t="n">
        <v>1.07</v>
      </c>
      <c r="F13" s="54">
        <f>IF(B13="","", IFERROR(INDEX(Rates_Master!$E:$E, MATCH(B13, Rates_Master!$A:$A, 0)), 0))</f>
        <v/>
      </c>
      <c r="G13" s="33">
        <f>IF(OR(B13="", E13=""), 0, ROUND(E13 * F13, 2))</f>
        <v/>
      </c>
      <c r="H13" s="55" t="inlineStr">
        <is>
          <t>Carriage of Coarse sand</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0114</t>
        </is>
      </c>
      <c r="C24" s="51">
        <f>IF(B24="","", IFERROR(INDEX(Rates_Master!$C:$C, MATCH(B24, Rates_Master!$A:$A, 0)), "Custom Labour/Plant"))</f>
        <v/>
      </c>
      <c r="D24" s="52">
        <f>IF(B24="","", IFERROR(INDEX(Rates_Master!$D:$D, MATCH(B24, Rates_Master!$A:$A, 0)), ""))</f>
        <v/>
      </c>
      <c r="E24" s="53" t="n">
        <v>0.75</v>
      </c>
      <c r="F24" s="54">
        <f>IF(B24="","", IFERROR(INDEX(Rates_Master!$E:$E, MATCH(B24, Rates_Master!$A:$A, 0)), 0))</f>
        <v/>
      </c>
      <c r="G24" s="33">
        <f>IF(OR(B24="", E24=""), 0, ROUND(E24 * F24, 2))</f>
        <v/>
      </c>
      <c r="H24" s="55" t="inlineStr">
        <is>
          <t>Beldar (measuring, carrying &amp; mixing)</t>
        </is>
      </c>
    </row>
    <row r="25" ht="20" customHeight="1">
      <c r="A25" s="18" t="n">
        <v>2</v>
      </c>
      <c r="B25" s="42" t="inlineStr">
        <is>
          <t>0101</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3">
        <f>IF(OR(B25="", E25=""), 0, ROUND(E25 * F25, 2))</f>
        <v/>
      </c>
      <c r="H25" s="55" t="inlineStr">
        <is>
          <t>Bhisti (watering)</t>
        </is>
      </c>
    </row>
    <row r="26" ht="20" customHeight="1">
      <c r="A26" s="18"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3">
        <f>IF(OR(B26="", E26=""), 0, ROUND(E26 * F26, 2))</f>
        <v/>
      </c>
      <c r="H26" s="55" t="inlineStr"/>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13.52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NO</t>
        </is>
      </c>
      <c r="D42" s="18" t="inlineStr">
        <is>
          <t>On "W"</t>
        </is>
      </c>
      <c r="E42" s="62">
        <f>G41</f>
        <v/>
      </c>
      <c r="F42" s="63">
        <f>Factor_Water</f>
        <v/>
      </c>
      <c r="G42" s="64">
        <f>IF(C42="YES", ROUND(E42 * F42, 2), 0)</f>
        <v/>
      </c>
      <c r="H42" s="23" t="inlineStr">
        <is>
          <t>CPWD RULE: 0% markup default. Water is not added here as it is marked up once in Masonry/Flooring.</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NO</t>
        </is>
      </c>
      <c r="D44" s="18" t="inlineStr">
        <is>
          <t>On "X"</t>
        </is>
      </c>
      <c r="E44" s="62">
        <f>G43</f>
        <v/>
      </c>
      <c r="F44" s="63">
        <f>Factor_GST</f>
        <v/>
      </c>
      <c r="G44" s="64">
        <f>IF(C44="YES", ROUND(E44 * F44, 2), 0)</f>
        <v/>
      </c>
      <c r="H44" s="23" t="inlineStr">
        <is>
          <t>CPWD RULE: GST is not added here to prevent double taxation when imported into Masonry.</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NO</t>
        </is>
      </c>
      <c r="D46" s="18" t="inlineStr">
        <is>
          <t>On "Y"</t>
        </is>
      </c>
      <c r="E46" s="62">
        <f>G45</f>
        <v/>
      </c>
      <c r="F46" s="63">
        <f>Factor_CPOH</f>
        <v/>
      </c>
      <c r="G46" s="64">
        <f>IF(C46="YES", ROUND(E46 * F46, 2), 0)</f>
        <v/>
      </c>
      <c r="H46" s="23" t="inlineStr">
        <is>
          <t>CPWD RULE: Contractor profit is not added to intermediate mortar. Consuming trades add 15% CPOH over combined total.</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NO</t>
        </is>
      </c>
      <c r="D48" s="18" t="inlineStr">
        <is>
          <t>On "Z"</t>
        </is>
      </c>
      <c r="E48" s="62">
        <f>G47</f>
        <v/>
      </c>
      <c r="F48" s="63">
        <f>Factor_Cess</f>
        <v/>
      </c>
      <c r="G48" s="64">
        <f>IF(C48="YES", ROUND(E48 * F48, 2), 0)</f>
        <v/>
      </c>
      <c r="H48" s="23" t="inlineStr">
        <is>
          <t>CPWD RULE: 0% Cess here; applied once at the end of the consuming trade item.</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3.1</t>
        </is>
      </c>
      <c r="B57" s="87" t="inlineStr">
        <is>
          <t>Cement mortar 1:1 (1 cement : 1 fine sand)</t>
        </is>
      </c>
      <c r="C57" s="88" t="inlineStr">
        <is>
          <t>cum</t>
        </is>
      </c>
      <c r="D57" s="88" t="n">
        <v>1</v>
      </c>
      <c r="E57" s="89" t="n">
        <v>6390.6</v>
      </c>
      <c r="F57" s="88" t="inlineStr">
        <is>
          <t>No markups (base cost)</t>
        </is>
      </c>
      <c r="G57" s="89" t="n">
        <v>6390.6</v>
      </c>
      <c r="H57" s="90" t="n">
        <v>6390.6</v>
      </c>
    </row>
    <row r="58" ht="20" customHeight="1">
      <c r="A58" s="81" t="inlineStr">
        <is>
          <t>3.9</t>
        </is>
      </c>
      <c r="B58" s="82" t="inlineStr">
        <is>
          <t>Cement mortar 1:4 (1 cement : 4 coarse sand)</t>
        </is>
      </c>
      <c r="C58" s="83" t="inlineStr">
        <is>
          <t>cum</t>
        </is>
      </c>
      <c r="D58" s="83" t="n">
        <v>1</v>
      </c>
      <c r="E58" s="84" t="n">
        <v>4010.35</v>
      </c>
      <c r="F58" s="83" t="inlineStr">
        <is>
          <t>No markups (base cost)</t>
        </is>
      </c>
      <c r="G58" s="84" t="n">
        <v>4010.35</v>
      </c>
      <c r="H58" s="85" t="n">
        <v>4010.35</v>
      </c>
    </row>
    <row r="59" ht="20" customHeight="1">
      <c r="A59" s="86" t="inlineStr">
        <is>
          <t>C-03.03</t>
        </is>
      </c>
      <c r="B59" s="87" t="inlineStr">
        <is>
          <t>(Available for new custom item)</t>
        </is>
      </c>
      <c r="C59" s="88" t="inlineStr">
        <is>
          <t>cum</t>
        </is>
      </c>
      <c r="D59" s="88" t="n">
        <v>1</v>
      </c>
      <c r="E59" s="89" t="n"/>
      <c r="F59" s="88" t="inlineStr">
        <is>
          <t>Full W-&gt;X-&gt;Y-&gt;Z</t>
        </is>
      </c>
      <c r="G59" s="89" t="n"/>
      <c r="H59" s="90" t="n"/>
    </row>
    <row r="60" ht="20" customHeight="1">
      <c r="A60" s="81" t="inlineStr">
        <is>
          <t>C-03.04</t>
        </is>
      </c>
      <c r="B60" s="82" t="inlineStr">
        <is>
          <t>(Available for new custom item)</t>
        </is>
      </c>
      <c r="C60" s="83" t="inlineStr">
        <is>
          <t>cum</t>
        </is>
      </c>
      <c r="D60" s="83" t="n">
        <v>1</v>
      </c>
      <c r="E60" s="84" t="n"/>
      <c r="F60" s="83" t="inlineStr">
        <is>
          <t>Full W-&gt;X-&gt;Y-&gt;Z</t>
        </is>
      </c>
      <c r="G60" s="84" t="n"/>
      <c r="H60" s="85" t="n"/>
    </row>
    <row r="61" ht="20" customHeight="1">
      <c r="A61" s="86" t="inlineStr">
        <is>
          <t>C-03.05</t>
        </is>
      </c>
      <c r="B61" s="87" t="inlineStr">
        <is>
          <t>(Available for new custom item)</t>
        </is>
      </c>
      <c r="C61" s="88" t="inlineStr">
        <is>
          <t>cum</t>
        </is>
      </c>
      <c r="D61" s="88" t="n">
        <v>1</v>
      </c>
      <c r="E61" s="89" t="n"/>
      <c r="F61" s="88" t="inlineStr">
        <is>
          <t>Full W-&gt;X-&gt;Y-&gt;Z</t>
        </is>
      </c>
      <c r="G61" s="89" t="n"/>
      <c r="H61" s="90" t="n"/>
    </row>
    <row r="62" ht="20" customHeight="1">
      <c r="A62" s="81" t="inlineStr">
        <is>
          <t>C-03.06</t>
        </is>
      </c>
      <c r="B62" s="82" t="inlineStr">
        <is>
          <t>(Available for new custom item)</t>
        </is>
      </c>
      <c r="C62" s="83" t="inlineStr">
        <is>
          <t>cum</t>
        </is>
      </c>
      <c r="D62" s="83" t="n">
        <v>1</v>
      </c>
      <c r="E62" s="84" t="n"/>
      <c r="F62" s="83" t="inlineStr">
        <is>
          <t>Full W-&gt;X-&gt;Y-&gt;Z</t>
        </is>
      </c>
      <c r="G62" s="84" t="n"/>
      <c r="H62" s="85" t="n"/>
    </row>
    <row r="63" ht="20" customHeight="1">
      <c r="A63" s="86" t="inlineStr">
        <is>
          <t>C-03.07</t>
        </is>
      </c>
      <c r="B63" s="87" t="inlineStr">
        <is>
          <t>(Available for new custom item)</t>
        </is>
      </c>
      <c r="C63" s="88" t="inlineStr">
        <is>
          <t>cum</t>
        </is>
      </c>
      <c r="D63" s="88" t="n">
        <v>1</v>
      </c>
      <c r="E63" s="89" t="n"/>
      <c r="F63" s="88" t="inlineStr">
        <is>
          <t>Full W-&gt;X-&gt;Y-&gt;Z</t>
        </is>
      </c>
      <c r="G63" s="89" t="n"/>
      <c r="H63" s="90" t="n"/>
    </row>
    <row r="64" ht="20" customHeight="1">
      <c r="A64" s="81" t="inlineStr">
        <is>
          <t>C-03.08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2" t="inlineStr">
        <is>
          <t>C-04.01</t>
        </is>
      </c>
      <c r="C5" s="16" t="inlineStr">
        <is>
          <t>Batch Output Basis:</t>
        </is>
      </c>
      <c r="D5" s="43" t="n">
        <v>1</v>
      </c>
      <c r="E5" s="16" t="inlineStr">
        <is>
          <t>Output Unit:</t>
        </is>
      </c>
      <c r="F5" s="42" t="inlineStr">
        <is>
          <t>cum</t>
        </is>
      </c>
      <c r="G5" s="16" t="inlineStr">
        <is>
          <t>Trade Sub-Head:</t>
        </is>
      </c>
      <c r="H5" s="44" t="inlineStr">
        <is>
          <t>04 Concrete Work</t>
        </is>
      </c>
    </row>
    <row r="6" ht="36" customHeight="1">
      <c r="A6" s="16" t="inlineStr">
        <is>
          <t>Item Nomenclature / Full Description:</t>
        </is>
      </c>
      <c r="B6" s="45" t="inlineStr">
        <is>
          <t>Cement concrete 1:2:4 (1 cement : 2 coarse sand : 4 graded stone aggregate 20 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3">
        <f>IF(OR(B10="", E10=""), 0, ROUND(E10 * F10, 2))</f>
        <v/>
      </c>
      <c r="H10" s="55" t="inlineStr">
        <is>
          <t>Stone Aggregate 20 mm nominal size</t>
        </is>
      </c>
    </row>
    <row r="11" ht="20" customHeight="1">
      <c r="A11" s="18"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3">
        <f>IF(OR(B11="", E11=""), 0, ROUND(E11 * F11, 2))</f>
        <v/>
      </c>
      <c r="H11" s="55" t="inlineStr">
        <is>
          <t>Stone Aggregate 10 mm nominal size</t>
        </is>
      </c>
    </row>
    <row r="12" ht="20" customHeight="1">
      <c r="A12" s="18"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3">
        <f>IF(OR(B12="", E12=""), 0, ROUND(E12 * F12, 2))</f>
        <v/>
      </c>
      <c r="H12" s="55" t="inlineStr">
        <is>
          <t>Carriage of Stone aggregate below 40 mm</t>
        </is>
      </c>
    </row>
    <row r="13" ht="20" customHeight="1">
      <c r="A13" s="18"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3">
        <f>IF(OR(B13="", E13=""), 0, ROUND(E13 * F13, 2))</f>
        <v/>
      </c>
      <c r="H13" s="55" t="inlineStr">
        <is>
          <t>Coarse sand (zone III)</t>
        </is>
      </c>
    </row>
    <row r="14" ht="20" customHeight="1">
      <c r="A14" s="18"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3">
        <f>IF(OR(B14="", E14=""), 0, ROUND(E14 * F14, 2))</f>
        <v/>
      </c>
      <c r="H14" s="55" t="inlineStr">
        <is>
          <t>Carriage of Coarse sand</t>
        </is>
      </c>
    </row>
    <row r="15" ht="20" customHeight="1">
      <c r="A15" s="18" t="n">
        <v>6</v>
      </c>
      <c r="B15" s="42" t="inlineStr">
        <is>
          <t>0367</t>
        </is>
      </c>
      <c r="C15" s="51">
        <f>IF(B15="","", IFERROR(INDEX(Rates_Master!$C:$C, MATCH(B15, Rates_Master!$A:$A, 0)), "Custom / Intermediate Material"))</f>
        <v/>
      </c>
      <c r="D15" s="52">
        <f>IF(B15="","", IFERROR(INDEX(Rates_Master!$D:$D, MATCH(B15, Rates_Master!$A:$A, 0)), ""))</f>
        <v/>
      </c>
      <c r="E15" s="53" t="n">
        <v>0.32</v>
      </c>
      <c r="F15" s="54">
        <f>IF(B15="","", IFERROR(INDEX(Rates_Master!$E:$E, MATCH(B15, Rates_Master!$A:$A, 0)), 0))</f>
        <v/>
      </c>
      <c r="G15" s="33">
        <f>IF(OR(B15="", E15=""), 0, ROUND(E15 * F15, 2))</f>
        <v/>
      </c>
      <c r="H15" s="55" t="inlineStr">
        <is>
          <t>Portland Cement</t>
        </is>
      </c>
    </row>
    <row r="16" ht="20" customHeight="1">
      <c r="A16" s="18" t="n">
        <v>7</v>
      </c>
      <c r="B16" s="42" t="inlineStr">
        <is>
          <t>2209</t>
        </is>
      </c>
      <c r="C16" s="51">
        <f>IF(B16="","", IFERROR(INDEX(Rates_Master!$C:$C, MATCH(B16, Rates_Master!$A:$A, 0)), "Custom / Intermediate Material"))</f>
        <v/>
      </c>
      <c r="D16" s="52">
        <f>IF(B16="","", IFERROR(INDEX(Rates_Master!$D:$D, MATCH(B16, Rates_Master!$A:$A, 0)), ""))</f>
        <v/>
      </c>
      <c r="E16" s="53" t="n">
        <v>0.32</v>
      </c>
      <c r="F16" s="54">
        <f>IF(B16="","", IFERROR(INDEX(Rates_Master!$E:$E, MATCH(B16, Rates_Master!$A:$A, 0)), 0))</f>
        <v/>
      </c>
      <c r="G16" s="33">
        <f>IF(OR(B16="", E16=""), 0, ROUND(E16 * F16, 2))</f>
        <v/>
      </c>
      <c r="H16" s="55" t="inlineStr">
        <is>
          <t>Carriage of Cement</t>
        </is>
      </c>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0.1</v>
      </c>
      <c r="F24" s="54">
        <f>IF(B24="","", IFERROR(INDEX(Rates_Master!$E:$E, MATCH(B24, Rates_Master!$A:$A, 0)), 0))</f>
        <v/>
      </c>
      <c r="G24" s="33">
        <f>IF(OR(B24="", E24=""), 0, ROUND(E24 * F24, 2))</f>
        <v/>
      </c>
      <c r="H24" s="55" t="inlineStr">
        <is>
          <t>Mason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1.63</v>
      </c>
      <c r="F25" s="54">
        <f>IF(B25="","", IFERROR(INDEX(Rates_Master!$E:$E, MATCH(B25, Rates_Master!$A:$A, 0)), 0))</f>
        <v/>
      </c>
      <c r="G25" s="33">
        <f>IF(OR(B25="", E25=""), 0, ROUND(E25 * F25, 2))</f>
        <v/>
      </c>
      <c r="H25" s="55" t="inlineStr">
        <is>
          <t>Beldar (carrying &amp; placing)</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0.7</v>
      </c>
      <c r="F26" s="54">
        <f>IF(B26="","", IFERROR(INDEX(Rates_Master!$E:$E, MATCH(B26, Rates_Master!$A:$A, 0)), 0))</f>
        <v/>
      </c>
      <c r="G26" s="33">
        <f>IF(OR(B26="", E26=""), 0, ROUND(E26 * F26, 2))</f>
        <v/>
      </c>
      <c r="H26" s="55" t="inlineStr">
        <is>
          <t>Bhisti (curing)</t>
        </is>
      </c>
    </row>
    <row r="27" ht="20" customHeight="1">
      <c r="A27" s="18"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3">
        <f>IF(OR(B27="", E27=""), 0, ROUND(E27 * F27, 2))</f>
        <v/>
      </c>
      <c r="H27" s="55" t="inlineStr">
        <is>
          <t>Hire charges of Concrete Mixer with hopper</t>
        </is>
      </c>
    </row>
    <row r="28" ht="20" customHeight="1">
      <c r="A28" s="18"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3">
        <f>IF(OR(B28="", E28=""), 0, ROUND(E28 * F28, 2))</f>
        <v/>
      </c>
      <c r="H28" s="55" t="inlineStr">
        <is>
          <t>Vibrator (Needle type 40mm)</t>
        </is>
      </c>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for curing &amp; concrete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4.1.2</t>
        </is>
      </c>
      <c r="B57" s="87" t="inlineStr">
        <is>
          <t>PCC 1:1.5:3 with 20mm graded stone aggregate up to plinth level</t>
        </is>
      </c>
      <c r="C57" s="88" t="inlineStr">
        <is>
          <t>cum</t>
        </is>
      </c>
      <c r="D57" s="88" t="n">
        <v>1</v>
      </c>
      <c r="E57" s="89" t="n">
        <v>5389.89</v>
      </c>
      <c r="F57" s="88" t="inlineStr">
        <is>
          <t>Full W-&gt;X-&gt;Y-&gt;Z</t>
        </is>
      </c>
      <c r="G57" s="89" t="n">
        <v>7210.58</v>
      </c>
      <c r="H57" s="90" t="n">
        <v>7210.55</v>
      </c>
    </row>
    <row r="58" ht="20" customHeight="1">
      <c r="A58" s="81" t="inlineStr">
        <is>
          <t>4.1.3</t>
        </is>
      </c>
      <c r="B58" s="82" t="inlineStr">
        <is>
          <t>PCC 1:2:4 with 20mm graded stone aggregate up to plinth level</t>
        </is>
      </c>
      <c r="C58" s="83" t="inlineStr">
        <is>
          <t>cum</t>
        </is>
      </c>
      <c r="D58" s="83" t="n">
        <v>1</v>
      </c>
      <c r="E58" s="84" t="n">
        <v>5074.69</v>
      </c>
      <c r="F58" s="83" t="inlineStr">
        <is>
          <t>Full W-&gt;X-&gt;Y-&gt;Z</t>
        </is>
      </c>
      <c r="G58" s="84" t="n">
        <v>6788.62</v>
      </c>
      <c r="H58" s="85" t="n">
        <v>6788.6</v>
      </c>
    </row>
    <row r="59" ht="20" customHeight="1">
      <c r="A59" s="86" t="inlineStr">
        <is>
          <t>C-04.03</t>
        </is>
      </c>
      <c r="B59" s="87" t="inlineStr">
        <is>
          <t>(Available for new custom item)</t>
        </is>
      </c>
      <c r="C59" s="88" t="inlineStr">
        <is>
          <t>cum</t>
        </is>
      </c>
      <c r="D59" s="88" t="n">
        <v>1</v>
      </c>
      <c r="E59" s="89" t="n"/>
      <c r="F59" s="88" t="inlineStr">
        <is>
          <t>Full W-&gt;X-&gt;Y-&gt;Z</t>
        </is>
      </c>
      <c r="G59" s="89" t="n"/>
      <c r="H59" s="90" t="n"/>
    </row>
    <row r="60" ht="20" customHeight="1">
      <c r="A60" s="81" t="inlineStr">
        <is>
          <t>C-04.04</t>
        </is>
      </c>
      <c r="B60" s="82" t="inlineStr">
        <is>
          <t>(Available for new custom item)</t>
        </is>
      </c>
      <c r="C60" s="83" t="inlineStr">
        <is>
          <t>cum</t>
        </is>
      </c>
      <c r="D60" s="83" t="n">
        <v>1</v>
      </c>
      <c r="E60" s="84" t="n"/>
      <c r="F60" s="83" t="inlineStr">
        <is>
          <t>Full W-&gt;X-&gt;Y-&gt;Z</t>
        </is>
      </c>
      <c r="G60" s="84" t="n"/>
      <c r="H60" s="85" t="n"/>
    </row>
    <row r="61" ht="20" customHeight="1">
      <c r="A61" s="86" t="inlineStr">
        <is>
          <t>C-04.05</t>
        </is>
      </c>
      <c r="B61" s="87" t="inlineStr">
        <is>
          <t>(Available for new custom item)</t>
        </is>
      </c>
      <c r="C61" s="88" t="inlineStr">
        <is>
          <t>cum</t>
        </is>
      </c>
      <c r="D61" s="88" t="n">
        <v>1</v>
      </c>
      <c r="E61" s="89" t="n"/>
      <c r="F61" s="88" t="inlineStr">
        <is>
          <t>Full W-&gt;X-&gt;Y-&gt;Z</t>
        </is>
      </c>
      <c r="G61" s="89" t="n"/>
      <c r="H61" s="90" t="n"/>
    </row>
    <row r="62" ht="20" customHeight="1">
      <c r="A62" s="81" t="inlineStr">
        <is>
          <t>C-04.06</t>
        </is>
      </c>
      <c r="B62" s="82" t="inlineStr">
        <is>
          <t>(Available for new custom item)</t>
        </is>
      </c>
      <c r="C62" s="83" t="inlineStr">
        <is>
          <t>cum</t>
        </is>
      </c>
      <c r="D62" s="83" t="n">
        <v>1</v>
      </c>
      <c r="E62" s="84" t="n"/>
      <c r="F62" s="83" t="inlineStr">
        <is>
          <t>Full W-&gt;X-&gt;Y-&gt;Z</t>
        </is>
      </c>
      <c r="G62" s="84" t="n"/>
      <c r="H62" s="85" t="n"/>
    </row>
    <row r="63" ht="20" customHeight="1">
      <c r="A63" s="86" t="inlineStr">
        <is>
          <t>C-04.07</t>
        </is>
      </c>
      <c r="B63" s="87" t="inlineStr">
        <is>
          <t>(Available for new custom item)</t>
        </is>
      </c>
      <c r="C63" s="88" t="inlineStr">
        <is>
          <t>cum</t>
        </is>
      </c>
      <c r="D63" s="88" t="n">
        <v>1</v>
      </c>
      <c r="E63" s="89" t="n"/>
      <c r="F63" s="88" t="inlineStr">
        <is>
          <t>Full W-&gt;X-&gt;Y-&gt;Z</t>
        </is>
      </c>
      <c r="G63" s="89" t="n"/>
      <c r="H63" s="90" t="n"/>
    </row>
    <row r="64" ht="20" customHeight="1">
      <c r="A64" s="81" t="inlineStr">
        <is>
          <t>C-04.08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2" t="inlineStr">
        <is>
          <t>C-05.01</t>
        </is>
      </c>
      <c r="C5" s="16" t="inlineStr">
        <is>
          <t>Batch Output Basis:</t>
        </is>
      </c>
      <c r="D5" s="43" t="n">
        <v>1</v>
      </c>
      <c r="E5" s="16" t="inlineStr">
        <is>
          <t>Output Unit:</t>
        </is>
      </c>
      <c r="F5" s="42" t="inlineStr">
        <is>
          <t>cum</t>
        </is>
      </c>
      <c r="G5" s="16" t="inlineStr">
        <is>
          <t>Trade Sub-Head:</t>
        </is>
      </c>
      <c r="H5" s="44" t="inlineStr">
        <is>
          <t>05 RCC Work</t>
        </is>
      </c>
    </row>
    <row r="6" ht="36" customHeight="1">
      <c r="A6" s="16" t="inlineStr">
        <is>
          <t>Item Nomenclature / Full Description:</t>
        </is>
      </c>
      <c r="B6" s="45" t="inlineStr">
        <is>
          <t>Reinforced cement concrete 1:1.5:3 (1 cement : 1.5 coarse sand : 3 graded stone aggregate 20mm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3">
        <f>IF(OR(B10="", E10=""), 0, ROUND(E10 * F10, 2))</f>
        <v/>
      </c>
      <c r="H10" s="55" t="inlineStr">
        <is>
          <t>Stone Aggregate 20 mm nominal size</t>
        </is>
      </c>
    </row>
    <row r="11" ht="20" customHeight="1">
      <c r="A11" s="18"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3">
        <f>IF(OR(B11="", E11=""), 0, ROUND(E11 * F11, 2))</f>
        <v/>
      </c>
      <c r="H11" s="55" t="inlineStr">
        <is>
          <t>Stone Aggregate 10 mm nominal size</t>
        </is>
      </c>
    </row>
    <row r="12" ht="20" customHeight="1">
      <c r="A12" s="18"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3">
        <f>IF(OR(B12="", E12=""), 0, ROUND(E12 * F12, 2))</f>
        <v/>
      </c>
      <c r="H12" s="55" t="inlineStr">
        <is>
          <t>Carriage of Stone aggregate</t>
        </is>
      </c>
    </row>
    <row r="13" ht="20" customHeight="1">
      <c r="A13" s="18"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3">
        <f>IF(OR(B13="", E13=""), 0, ROUND(E13 * F13, 2))</f>
        <v/>
      </c>
      <c r="H13" s="55" t="inlineStr">
        <is>
          <t>Coarse sand (zone III)</t>
        </is>
      </c>
    </row>
    <row r="14" ht="20" customHeight="1">
      <c r="A14" s="18"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3">
        <f>IF(OR(B14="", E14=""), 0, ROUND(E14 * F14, 2))</f>
        <v/>
      </c>
      <c r="H14" s="55" t="inlineStr">
        <is>
          <t>Carriage of Coarse sand</t>
        </is>
      </c>
    </row>
    <row r="15" ht="20" customHeight="1">
      <c r="A15" s="18" t="n">
        <v>6</v>
      </c>
      <c r="B15" s="42" t="inlineStr">
        <is>
          <t>0367</t>
        </is>
      </c>
      <c r="C15" s="51">
        <f>IF(B15="","", IFERROR(INDEX(Rates_Master!$C:$C, MATCH(B15, Rates_Master!$A:$A, 0)), "Custom / Intermediate Material"))</f>
        <v/>
      </c>
      <c r="D15" s="52">
        <f>IF(B15="","", IFERROR(INDEX(Rates_Master!$D:$D, MATCH(B15, Rates_Master!$A:$A, 0)), ""))</f>
        <v/>
      </c>
      <c r="E15" s="53" t="n">
        <v>0.4</v>
      </c>
      <c r="F15" s="54">
        <f>IF(B15="","", IFERROR(INDEX(Rates_Master!$E:$E, MATCH(B15, Rates_Master!$A:$A, 0)), 0))</f>
        <v/>
      </c>
      <c r="G15" s="33">
        <f>IF(OR(B15="", E15=""), 0, ROUND(E15 * F15, 2))</f>
        <v/>
      </c>
      <c r="H15" s="55" t="inlineStr">
        <is>
          <t>Portland Cement</t>
        </is>
      </c>
    </row>
    <row r="16" ht="20" customHeight="1">
      <c r="A16" s="18" t="n">
        <v>7</v>
      </c>
      <c r="B16" s="42" t="inlineStr">
        <is>
          <t>2209</t>
        </is>
      </c>
      <c r="C16" s="51">
        <f>IF(B16="","", IFERROR(INDEX(Rates_Master!$C:$C, MATCH(B16, Rates_Master!$A:$A, 0)), "Custom / Intermediate Material"))</f>
        <v/>
      </c>
      <c r="D16" s="52">
        <f>IF(B16="","", IFERROR(INDEX(Rates_Master!$D:$D, MATCH(B16, Rates_Master!$A:$A, 0)), ""))</f>
        <v/>
      </c>
      <c r="E16" s="53" t="n">
        <v>0.4</v>
      </c>
      <c r="F16" s="54">
        <f>IF(B16="","", IFERROR(INDEX(Rates_Master!$E:$E, MATCH(B16, Rates_Master!$A:$A, 0)), 0))</f>
        <v/>
      </c>
      <c r="G16" s="33">
        <f>IF(OR(B16="", E16=""), 0, ROUND(E16 * F16, 2))</f>
        <v/>
      </c>
      <c r="H16" s="55" t="inlineStr">
        <is>
          <t>Carriage of Cement</t>
        </is>
      </c>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0.17</v>
      </c>
      <c r="F24" s="54">
        <f>IF(B24="","", IFERROR(INDEX(Rates_Master!$E:$E, MATCH(B24, Rates_Master!$A:$A, 0)), 0))</f>
        <v/>
      </c>
      <c r="G24" s="33">
        <f>IF(OR(B24="", E24=""), 0, ROUND(E24 * F24, 2))</f>
        <v/>
      </c>
      <c r="H24" s="55" t="inlineStr">
        <is>
          <t>Mason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2</v>
      </c>
      <c r="F25" s="54">
        <f>IF(B25="","", IFERROR(INDEX(Rates_Master!$E:$E, MATCH(B25, Rates_Master!$A:$A, 0)), 0))</f>
        <v/>
      </c>
      <c r="G25" s="33">
        <f>IF(OR(B25="", E25=""), 0, ROUND(E25 * F25, 2))</f>
        <v/>
      </c>
      <c r="H25" s="55" t="inlineStr">
        <is>
          <t>Beldar (mixing &amp; placing)</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0.9</v>
      </c>
      <c r="F26" s="54">
        <f>IF(B26="","", IFERROR(INDEX(Rates_Master!$E:$E, MATCH(B26, Rates_Master!$A:$A, 0)), 0))</f>
        <v/>
      </c>
      <c r="G26" s="33">
        <f>IF(OR(B26="", E26=""), 0, ROUND(E26 * F26, 2))</f>
        <v/>
      </c>
      <c r="H26" s="55" t="inlineStr">
        <is>
          <t>Bhisti (curing)</t>
        </is>
      </c>
    </row>
    <row r="27" ht="20" customHeight="1">
      <c r="A27" s="18"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3">
        <f>IF(OR(B27="", E27=""), 0, ROUND(E27 * F27, 2))</f>
        <v/>
      </c>
      <c r="H27" s="55" t="inlineStr">
        <is>
          <t>Hire charges of Concrete Mixer</t>
        </is>
      </c>
    </row>
    <row r="28" ht="20" customHeight="1">
      <c r="A28" s="18"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3">
        <f>IF(OR(B28="", E28=""), 0, ROUND(E28 * F28, 2))</f>
        <v/>
      </c>
      <c r="H28" s="55" t="inlineStr">
        <is>
          <t>Needle Vibrator 40mm</t>
        </is>
      </c>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for curing &amp; site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5.1.2</t>
        </is>
      </c>
      <c r="B57" s="87" t="inlineStr">
        <is>
          <t>RCC 1:1.5:3 up to plinth level (excl. shuttering &amp; reinforcement)</t>
        </is>
      </c>
      <c r="C57" s="88" t="inlineStr">
        <is>
          <t>cum</t>
        </is>
      </c>
      <c r="D57" s="88" t="n">
        <v>1</v>
      </c>
      <c r="E57" s="89" t="n">
        <v>5768.78</v>
      </c>
      <c r="F57" s="88" t="inlineStr">
        <is>
          <t>Full W-&gt;X-&gt;Y-&gt;Z</t>
        </is>
      </c>
      <c r="G57" s="89" t="n">
        <v>7717.15</v>
      </c>
      <c r="H57" s="90" t="n">
        <v>7717.15</v>
      </c>
    </row>
    <row r="58" ht="20" customHeight="1">
      <c r="A58" s="81" t="inlineStr">
        <is>
          <t>5.1.3</t>
        </is>
      </c>
      <c r="B58" s="82" t="inlineStr">
        <is>
          <t>RCC 1:2:4 up to plinth level (excl. shuttering &amp; reinforcement)</t>
        </is>
      </c>
      <c r="C58" s="83" t="inlineStr">
        <is>
          <t>cum</t>
        </is>
      </c>
      <c r="D58" s="83" t="n">
        <v>1</v>
      </c>
      <c r="E58" s="84" t="n">
        <v>5373.98</v>
      </c>
      <c r="F58" s="83" t="inlineStr">
        <is>
          <t>Full W-&gt;X-&gt;Y-&gt;Z</t>
        </is>
      </c>
      <c r="G58" s="84" t="n">
        <v>7189.02</v>
      </c>
      <c r="H58" s="85" t="n">
        <v>7189</v>
      </c>
    </row>
    <row r="59" ht="20" customHeight="1">
      <c r="A59" s="86" t="inlineStr">
        <is>
          <t>C-05.03</t>
        </is>
      </c>
      <c r="B59" s="87" t="inlineStr">
        <is>
          <t>(Available for new custom item)</t>
        </is>
      </c>
      <c r="C59" s="88" t="inlineStr">
        <is>
          <t>cum</t>
        </is>
      </c>
      <c r="D59" s="88" t="n">
        <v>1</v>
      </c>
      <c r="E59" s="89" t="n"/>
      <c r="F59" s="88" t="inlineStr">
        <is>
          <t>Full W-&gt;X-&gt;Y-&gt;Z</t>
        </is>
      </c>
      <c r="G59" s="89" t="n"/>
      <c r="H59" s="90" t="n"/>
    </row>
    <row r="60" ht="20" customHeight="1">
      <c r="A60" s="81" t="inlineStr">
        <is>
          <t>C-05.04</t>
        </is>
      </c>
      <c r="B60" s="82" t="inlineStr">
        <is>
          <t>(Available for new custom item)</t>
        </is>
      </c>
      <c r="C60" s="83" t="inlineStr">
        <is>
          <t>cum</t>
        </is>
      </c>
      <c r="D60" s="83" t="n">
        <v>1</v>
      </c>
      <c r="E60" s="84" t="n"/>
      <c r="F60" s="83" t="inlineStr">
        <is>
          <t>Full W-&gt;X-&gt;Y-&gt;Z</t>
        </is>
      </c>
      <c r="G60" s="84" t="n"/>
      <c r="H60" s="85" t="n"/>
    </row>
    <row r="61" ht="20" customHeight="1">
      <c r="A61" s="86" t="inlineStr">
        <is>
          <t>C-05.05</t>
        </is>
      </c>
      <c r="B61" s="87" t="inlineStr">
        <is>
          <t>(Available for new custom item)</t>
        </is>
      </c>
      <c r="C61" s="88" t="inlineStr">
        <is>
          <t>cum</t>
        </is>
      </c>
      <c r="D61" s="88" t="n">
        <v>1</v>
      </c>
      <c r="E61" s="89" t="n"/>
      <c r="F61" s="88" t="inlineStr">
        <is>
          <t>Full W-&gt;X-&gt;Y-&gt;Z</t>
        </is>
      </c>
      <c r="G61" s="89" t="n"/>
      <c r="H61" s="90" t="n"/>
    </row>
    <row r="62" ht="20" customHeight="1">
      <c r="A62" s="81" t="inlineStr">
        <is>
          <t>C-05.06</t>
        </is>
      </c>
      <c r="B62" s="82" t="inlineStr">
        <is>
          <t>(Available for new custom item)</t>
        </is>
      </c>
      <c r="C62" s="83" t="inlineStr">
        <is>
          <t>cum</t>
        </is>
      </c>
      <c r="D62" s="83" t="n">
        <v>1</v>
      </c>
      <c r="E62" s="84" t="n"/>
      <c r="F62" s="83" t="inlineStr">
        <is>
          <t>Full W-&gt;X-&gt;Y-&gt;Z</t>
        </is>
      </c>
      <c r="G62" s="84" t="n"/>
      <c r="H62" s="85" t="n"/>
    </row>
    <row r="63" ht="20" customHeight="1">
      <c r="A63" s="86" t="inlineStr">
        <is>
          <t>C-05.07</t>
        </is>
      </c>
      <c r="B63" s="87" t="inlineStr">
        <is>
          <t>(Available for new custom item)</t>
        </is>
      </c>
      <c r="C63" s="88" t="inlineStr">
        <is>
          <t>cum</t>
        </is>
      </c>
      <c r="D63" s="88" t="n">
        <v>1</v>
      </c>
      <c r="E63" s="89" t="n"/>
      <c r="F63" s="88" t="inlineStr">
        <is>
          <t>Full W-&gt;X-&gt;Y-&gt;Z</t>
        </is>
      </c>
      <c r="G63" s="89" t="n"/>
      <c r="H63" s="90" t="n"/>
    </row>
    <row r="64" ht="20" customHeight="1">
      <c r="A64" s="81" t="inlineStr">
        <is>
          <t>C-05.08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2" t="inlineStr">
        <is>
          <t>C-06.01</t>
        </is>
      </c>
      <c r="C5" s="16" t="inlineStr">
        <is>
          <t>Batch Output Basis:</t>
        </is>
      </c>
      <c r="D5" s="43" t="n">
        <v>1</v>
      </c>
      <c r="E5" s="16" t="inlineStr">
        <is>
          <t>Output Unit:</t>
        </is>
      </c>
      <c r="F5" s="42" t="inlineStr">
        <is>
          <t>cum</t>
        </is>
      </c>
      <c r="G5" s="16" t="inlineStr">
        <is>
          <t>Trade Sub-Head:</t>
        </is>
      </c>
      <c r="H5" s="44" t="inlineStr">
        <is>
          <t>06 Masonry Work</t>
        </is>
      </c>
    </row>
    <row r="6" ht="36" customHeight="1">
      <c r="A6" s="16" t="inlineStr">
        <is>
          <t>Item Nomenclature / Full Description:</t>
        </is>
      </c>
      <c r="B6" s="45" t="inlineStr">
        <is>
          <t>Brick work with common burnt clay F.P.S. bricks class 7.5 in foundation and plinth in cement mortar 1:4 (1 cement : 4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2602</t>
        </is>
      </c>
      <c r="C10" s="51">
        <f>IF(B10="","", IFERROR(INDEX(Rates_Master!$C:$C, MATCH(B10, Rates_Master!$A:$A, 0)), "Custom / Intermediate Material"))</f>
        <v/>
      </c>
      <c r="D10" s="52">
        <f>IF(B10="","", IFERROR(INDEX(Rates_Master!$D:$D, MATCH(B10, Rates_Master!$A:$A, 0)), ""))</f>
        <v/>
      </c>
      <c r="E10" s="53" t="n">
        <v>0.494</v>
      </c>
      <c r="F10" s="54">
        <f>IF(B10="","", IFERROR(INDEX(Rates_Master!$E:$E, MATCH(B10, Rates_Master!$A:$A, 0)), 0))</f>
        <v/>
      </c>
      <c r="G10" s="33">
        <f>IF(OR(B10="", E10=""), 0, ROUND(E10 * F10, 2))</f>
        <v/>
      </c>
      <c r="H10" s="55" t="inlineStr">
        <is>
          <t>Common burnt clay F.P.S. bricks class 7.5 (thousand)</t>
        </is>
      </c>
    </row>
    <row r="11" ht="20" customHeight="1">
      <c r="A11" s="18" t="n">
        <v>2</v>
      </c>
      <c r="B11" s="42" t="inlineStr">
        <is>
          <t>2201</t>
        </is>
      </c>
      <c r="C11" s="51">
        <f>IF(B11="","", IFERROR(INDEX(Rates_Master!$C:$C, MATCH(B11, Rates_Master!$A:$A, 0)), "Custom / Intermediate Material"))</f>
        <v/>
      </c>
      <c r="D11" s="52">
        <f>IF(B11="","", IFERROR(INDEX(Rates_Master!$D:$D, MATCH(B11, Rates_Master!$A:$A, 0)), ""))</f>
        <v/>
      </c>
      <c r="E11" s="53" t="n">
        <v>0.494</v>
      </c>
      <c r="F11" s="54">
        <f>IF(B11="","", IFERROR(INDEX(Rates_Master!$E:$E, MATCH(B11, Rates_Master!$A:$A, 0)), 0))</f>
        <v/>
      </c>
      <c r="G11" s="33">
        <f>IF(OR(B11="", E11=""), 0, ROUND(E11 * F11, 2))</f>
        <v/>
      </c>
      <c r="H11" s="55" t="inlineStr">
        <is>
          <t>Carriage of Bricks (thousand)</t>
        </is>
      </c>
    </row>
    <row r="12" ht="20" customHeight="1">
      <c r="A12" s="18" t="n">
        <v>3</v>
      </c>
      <c r="B12" s="42" t="inlineStr">
        <is>
          <t>03_Mortars</t>
        </is>
      </c>
      <c r="C12" s="51" t="inlineStr">
        <is>
          <t>Cement mortar 1:4 (Rate pulled from 03_Mortars builder or DAR Item 3.9)</t>
        </is>
      </c>
      <c r="D12" s="52" t="inlineStr">
        <is>
          <t>cum</t>
        </is>
      </c>
      <c r="E12" s="53" t="n">
        <v>0.25</v>
      </c>
      <c r="F12" s="54">
        <f>'03_Mortars'!G51</f>
        <v/>
      </c>
      <c r="G12" s="33">
        <f>IF(OR(B12="", E12=""), 0, ROUND(E12 * F12, 2))</f>
        <v/>
      </c>
      <c r="H12" s="55" t="inlineStr">
        <is>
          <t>Live link to 03_Mortars output rate</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0123</t>
        </is>
      </c>
      <c r="C24" s="51">
        <f>IF(B24="","", IFERROR(INDEX(Rates_Master!$C:$C, MATCH(B24, Rates_Master!$A:$A, 0)), "Custom Labour/Plant"))</f>
        <v/>
      </c>
      <c r="D24" s="52">
        <f>IF(B24="","", IFERROR(INDEX(Rates_Master!$D:$D, MATCH(B24, Rates_Master!$A:$A, 0)), ""))</f>
        <v/>
      </c>
      <c r="E24" s="53" t="n">
        <v>0.36</v>
      </c>
      <c r="F24" s="54">
        <f>IF(B24="","", IFERROR(INDEX(Rates_Master!$E:$E, MATCH(B24, Rates_Master!$A:$A, 0)), 0))</f>
        <v/>
      </c>
      <c r="G24" s="33">
        <f>IF(OR(B24="", E24=""), 0, ROUND(E24 * F24, 2))</f>
        <v/>
      </c>
      <c r="H24" s="55" t="inlineStr">
        <is>
          <t>Mason (brick layer) 1st class</t>
        </is>
      </c>
    </row>
    <row r="25" ht="20" customHeight="1">
      <c r="A25" s="18" t="n">
        <v>2</v>
      </c>
      <c r="B25" s="42" t="inlineStr">
        <is>
          <t>0124</t>
        </is>
      </c>
      <c r="C25" s="51">
        <f>IF(B25="","", IFERROR(INDEX(Rates_Master!$C:$C, MATCH(B25, Rates_Master!$A:$A, 0)), "Custom Labour/Plant"))</f>
        <v/>
      </c>
      <c r="D25" s="52">
        <f>IF(B25="","", IFERROR(INDEX(Rates_Master!$D:$D, MATCH(B25, Rates_Master!$A:$A, 0)), ""))</f>
        <v/>
      </c>
      <c r="E25" s="53" t="n">
        <v>0.36</v>
      </c>
      <c r="F25" s="54">
        <f>IF(B25="","", IFERROR(INDEX(Rates_Master!$E:$E, MATCH(B25, Rates_Master!$A:$A, 0)), 0))</f>
        <v/>
      </c>
      <c r="G25" s="33">
        <f>IF(OR(B25="", E25=""), 0, ROUND(E25 * F25, 2))</f>
        <v/>
      </c>
      <c r="H25" s="55" t="inlineStr">
        <is>
          <t>Mason (brick layer) 2nd class</t>
        </is>
      </c>
    </row>
    <row r="26" ht="20" customHeight="1">
      <c r="A26" s="18" t="n">
        <v>3</v>
      </c>
      <c r="B26" s="42" t="inlineStr">
        <is>
          <t>0115</t>
        </is>
      </c>
      <c r="C26" s="51">
        <f>IF(B26="","", IFERROR(INDEX(Rates_Master!$C:$C, MATCH(B26, Rates_Master!$A:$A, 0)), "Custom Labour/Plant"))</f>
        <v/>
      </c>
      <c r="D26" s="52">
        <f>IF(B26="","", IFERROR(INDEX(Rates_Master!$D:$D, MATCH(B26, Rates_Master!$A:$A, 0)), ""))</f>
        <v/>
      </c>
      <c r="E26" s="53" t="n">
        <v>1.37</v>
      </c>
      <c r="F26" s="54">
        <f>IF(B26="","", IFERROR(INDEX(Rates_Master!$E:$E, MATCH(B26, Rates_Master!$A:$A, 0)), 0))</f>
        <v/>
      </c>
      <c r="G26" s="33">
        <f>IF(OR(B26="", E26=""), 0, ROUND(E26 * F26, 2))</f>
        <v/>
      </c>
      <c r="H26" s="55" t="inlineStr">
        <is>
          <t>Coolie</t>
        </is>
      </c>
    </row>
    <row r="27" ht="20" customHeight="1">
      <c r="A27" s="18" t="n">
        <v>4</v>
      </c>
      <c r="B27" s="42" t="inlineStr">
        <is>
          <t>0101</t>
        </is>
      </c>
      <c r="C27" s="51">
        <f>IF(B27="","", IFERROR(INDEX(Rates_Master!$C:$C, MATCH(B27, Rates_Master!$A:$A, 0)), "Custom Labour/Plant"))</f>
        <v/>
      </c>
      <c r="D27" s="52">
        <f>IF(B27="","", IFERROR(INDEX(Rates_Master!$D:$D, MATCH(B27, Rates_Master!$A:$A, 0)), ""))</f>
        <v/>
      </c>
      <c r="E27" s="53" t="n">
        <v>0.2</v>
      </c>
      <c r="F27" s="54">
        <f>IF(B27="","", IFERROR(INDEX(Rates_Master!$E:$E, MATCH(B27, Rates_Master!$A:$A, 0)), 0))</f>
        <v/>
      </c>
      <c r="G27" s="33">
        <f>IF(OR(B27="", E27=""), 0, ROUND(E27 * F27, 2))</f>
        <v/>
      </c>
      <c r="H27" s="55" t="inlineStr">
        <is>
          <t>Bhisti</t>
        </is>
      </c>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2.73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water charges on combined material and labour total.</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6.1.1</t>
        </is>
      </c>
      <c r="B57" s="87" t="inlineStr">
        <is>
          <t>Brick work class 7.5 in foundation and plinth in CM 1:4</t>
        </is>
      </c>
      <c r="C57" s="88" t="inlineStr">
        <is>
          <t>cum</t>
        </is>
      </c>
      <c r="D57" s="88" t="n">
        <v>1</v>
      </c>
      <c r="E57" s="89" t="n">
        <v>4765.73</v>
      </c>
      <c r="F57" s="88" t="inlineStr">
        <is>
          <t>Full W-&gt;X-&gt;Y-&gt;Z</t>
        </is>
      </c>
      <c r="G57" s="89" t="n">
        <v>6375.31</v>
      </c>
      <c r="H57" s="90" t="n">
        <v>6375.3</v>
      </c>
    </row>
    <row r="58" ht="20" customHeight="1">
      <c r="A58" s="81" t="inlineStr">
        <is>
          <t>6.1.2</t>
        </is>
      </c>
      <c r="B58" s="82" t="inlineStr">
        <is>
          <t>Brick work class 7.5 in foundation and plinth in CM 1:6</t>
        </is>
      </c>
      <c r="C58" s="83" t="inlineStr">
        <is>
          <t>cum</t>
        </is>
      </c>
      <c r="D58" s="83" t="n">
        <v>1</v>
      </c>
      <c r="E58" s="84" t="n">
        <v>4539.06</v>
      </c>
      <c r="F58" s="83" t="inlineStr">
        <is>
          <t>Full W-&gt;X-&gt;Y-&gt;Z</t>
        </is>
      </c>
      <c r="G58" s="84" t="n">
        <v>6072.07</v>
      </c>
      <c r="H58" s="85" t="n">
        <v>6072.05</v>
      </c>
    </row>
    <row r="59" ht="20" customHeight="1">
      <c r="A59" s="86" t="inlineStr">
        <is>
          <t>C-06.03</t>
        </is>
      </c>
      <c r="B59" s="87" t="inlineStr">
        <is>
          <t>(Available for new custom item)</t>
        </is>
      </c>
      <c r="C59" s="88" t="inlineStr">
        <is>
          <t>cum</t>
        </is>
      </c>
      <c r="D59" s="88" t="n">
        <v>1</v>
      </c>
      <c r="E59" s="89" t="n"/>
      <c r="F59" s="88" t="inlineStr">
        <is>
          <t>Full W-&gt;X-&gt;Y-&gt;Z</t>
        </is>
      </c>
      <c r="G59" s="89" t="n"/>
      <c r="H59" s="90" t="n"/>
    </row>
    <row r="60" ht="20" customHeight="1">
      <c r="A60" s="81" t="inlineStr">
        <is>
          <t>C-06.04</t>
        </is>
      </c>
      <c r="B60" s="82" t="inlineStr">
        <is>
          <t>(Available for new custom item)</t>
        </is>
      </c>
      <c r="C60" s="83" t="inlineStr">
        <is>
          <t>cum</t>
        </is>
      </c>
      <c r="D60" s="83" t="n">
        <v>1</v>
      </c>
      <c r="E60" s="84" t="n"/>
      <c r="F60" s="83" t="inlineStr">
        <is>
          <t>Full W-&gt;X-&gt;Y-&gt;Z</t>
        </is>
      </c>
      <c r="G60" s="84" t="n"/>
      <c r="H60" s="85" t="n"/>
    </row>
    <row r="61" ht="20" customHeight="1">
      <c r="A61" s="86" t="inlineStr">
        <is>
          <t>C-06.05</t>
        </is>
      </c>
      <c r="B61" s="87" t="inlineStr">
        <is>
          <t>(Available for new custom item)</t>
        </is>
      </c>
      <c r="C61" s="88" t="inlineStr">
        <is>
          <t>cum</t>
        </is>
      </c>
      <c r="D61" s="88" t="n">
        <v>1</v>
      </c>
      <c r="E61" s="89" t="n"/>
      <c r="F61" s="88" t="inlineStr">
        <is>
          <t>Full W-&gt;X-&gt;Y-&gt;Z</t>
        </is>
      </c>
      <c r="G61" s="89" t="n"/>
      <c r="H61" s="90" t="n"/>
    </row>
    <row r="62" ht="20" customHeight="1">
      <c r="A62" s="81" t="inlineStr">
        <is>
          <t>C-06.06</t>
        </is>
      </c>
      <c r="B62" s="82" t="inlineStr">
        <is>
          <t>(Available for new custom item)</t>
        </is>
      </c>
      <c r="C62" s="83" t="inlineStr">
        <is>
          <t>cum</t>
        </is>
      </c>
      <c r="D62" s="83" t="n">
        <v>1</v>
      </c>
      <c r="E62" s="84" t="n"/>
      <c r="F62" s="83" t="inlineStr">
        <is>
          <t>Full W-&gt;X-&gt;Y-&gt;Z</t>
        </is>
      </c>
      <c r="G62" s="84" t="n"/>
      <c r="H62" s="85" t="n"/>
    </row>
    <row r="63" ht="20" customHeight="1">
      <c r="A63" s="86" t="inlineStr">
        <is>
          <t>C-06.07</t>
        </is>
      </c>
      <c r="B63" s="87" t="inlineStr">
        <is>
          <t>(Available for new custom item)</t>
        </is>
      </c>
      <c r="C63" s="88" t="inlineStr">
        <is>
          <t>cum</t>
        </is>
      </c>
      <c r="D63" s="88" t="n">
        <v>1</v>
      </c>
      <c r="E63" s="89" t="n"/>
      <c r="F63" s="88" t="inlineStr">
        <is>
          <t>Full W-&gt;X-&gt;Y-&gt;Z</t>
        </is>
      </c>
      <c r="G63" s="89" t="n"/>
      <c r="H63" s="90" t="n"/>
    </row>
    <row r="64" ht="20" customHeight="1">
      <c r="A64" s="81" t="inlineStr">
        <is>
          <t>C-06.08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07: Random rubble and ashlar stone masonry. Consumes un-marked Mortar from 03_Mortars, quarry stone, bond stones, dressing labour, and masons.</t>
        </is>
      </c>
    </row>
    <row r="4"/>
    <row r="5" ht="22" customHeight="1">
      <c r="A5" s="16" t="inlineStr">
        <is>
          <t>Custom Item Code:</t>
        </is>
      </c>
      <c r="B5" s="42" t="inlineStr">
        <is>
          <t>C-07.01</t>
        </is>
      </c>
      <c r="C5" s="16" t="inlineStr">
        <is>
          <t>Batch Output Basis:</t>
        </is>
      </c>
      <c r="D5" s="43" t="n">
        <v>1</v>
      </c>
      <c r="E5" s="16" t="inlineStr">
        <is>
          <t>Output Unit:</t>
        </is>
      </c>
      <c r="F5" s="42" t="inlineStr">
        <is>
          <t>cum</t>
        </is>
      </c>
      <c r="G5" s="16" t="inlineStr">
        <is>
          <t>Trade Sub-Head:</t>
        </is>
      </c>
      <c r="H5" s="44" t="inlineStr">
        <is>
          <t>07 Stone Work</t>
        </is>
      </c>
    </row>
    <row r="6" ht="36" customHeight="1">
      <c r="A6" s="16" t="inlineStr">
        <is>
          <t>Item Nomenclature / Full Description:</t>
        </is>
      </c>
      <c r="B6" s="45" t="inlineStr">
        <is>
          <t>Random rubble masonry with hard stone in foundation and plinth in cement mortar 1:6 (1 cement : 6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0299</t>
        </is>
      </c>
      <c r="C10" s="51">
        <f>IF(B10="","", IFERROR(INDEX(Rates_Master!$C:$C, MATCH(B10, Rates_Master!$A:$A, 0)), "Custom / Intermediate Material"))</f>
        <v/>
      </c>
      <c r="D10" s="52">
        <f>IF(B10="","", IFERROR(INDEX(Rates_Master!$D:$D, MATCH(B10, Rates_Master!$A:$A, 0)), ""))</f>
        <v/>
      </c>
      <c r="E10" s="53" t="n">
        <v>1</v>
      </c>
      <c r="F10" s="54">
        <f>IF(B10="","", IFERROR(INDEX(Rates_Master!$E:$E, MATCH(B10, Rates_Master!$A:$A, 0)), 0))</f>
        <v/>
      </c>
      <c r="G10" s="33">
        <f>IF(OR(B10="", E10=""), 0, ROUND(E10 * F10, 2))</f>
        <v/>
      </c>
      <c r="H10" s="55" t="inlineStr">
        <is>
          <t>Stone for masonry (rubble)</t>
        </is>
      </c>
    </row>
    <row r="11" ht="20" customHeight="1">
      <c r="A11" s="18" t="n">
        <v>2</v>
      </c>
      <c r="B11" s="42" t="inlineStr">
        <is>
          <t>2202</t>
        </is>
      </c>
      <c r="C11" s="51">
        <f>IF(B11="","", IFERROR(INDEX(Rates_Master!$C:$C, MATCH(B11, Rates_Master!$A:$A, 0)), "Custom / Intermediate Material"))</f>
        <v/>
      </c>
      <c r="D11" s="52">
        <f>IF(B11="","", IFERROR(INDEX(Rates_Master!$D:$D, MATCH(B11, Rates_Master!$A:$A, 0)), ""))</f>
        <v/>
      </c>
      <c r="E11" s="53" t="n">
        <v>1</v>
      </c>
      <c r="F11" s="54">
        <f>IF(B11="","", IFERROR(INDEX(Rates_Master!$E:$E, MATCH(B11, Rates_Master!$A:$A, 0)), 0))</f>
        <v/>
      </c>
      <c r="G11" s="33">
        <f>IF(OR(B11="", E11=""), 0, ROUND(E11 * F11, 2))</f>
        <v/>
      </c>
      <c r="H11" s="55" t="inlineStr">
        <is>
          <t>Carriage of Stone</t>
        </is>
      </c>
    </row>
    <row r="12" ht="20" customHeight="1">
      <c r="A12" s="18" t="n">
        <v>3</v>
      </c>
      <c r="B12" s="42" t="inlineStr">
        <is>
          <t>0300</t>
        </is>
      </c>
      <c r="C12" s="51">
        <f>IF(B12="","", IFERROR(INDEX(Rates_Master!$C:$C, MATCH(B12, Rates_Master!$A:$A, 0)), "Custom / Intermediate Material"))</f>
        <v/>
      </c>
      <c r="D12" s="52">
        <f>IF(B12="","", IFERROR(INDEX(Rates_Master!$D:$D, MATCH(B12, Rates_Master!$A:$A, 0)), ""))</f>
        <v/>
      </c>
      <c r="E12" s="53" t="n">
        <v>0.1</v>
      </c>
      <c r="F12" s="54">
        <f>IF(B12="","", IFERROR(INDEX(Rates_Master!$E:$E, MATCH(B12, Rates_Master!$A:$A, 0)), 0))</f>
        <v/>
      </c>
      <c r="G12" s="33">
        <f>IF(OR(B12="", E12=""), 0, ROUND(E12 * F12, 2))</f>
        <v/>
      </c>
      <c r="H12" s="55" t="inlineStr">
        <is>
          <t>Through or bond stone</t>
        </is>
      </c>
    </row>
    <row r="13" ht="20" customHeight="1">
      <c r="A13" s="18" t="n">
        <v>4</v>
      </c>
      <c r="B13" s="42" t="inlineStr">
        <is>
          <t>03_Mortars</t>
        </is>
      </c>
      <c r="C13" s="51" t="inlineStr">
        <is>
          <t>Cement mortar 1:6 (Rate from 03_Mortars or DAR 3.11)</t>
        </is>
      </c>
      <c r="D13" s="52" t="inlineStr">
        <is>
          <t>cum</t>
        </is>
      </c>
      <c r="E13" s="53" t="n">
        <v>0.3</v>
      </c>
      <c r="F13" s="54">
        <f>'03_Mortars'!G51</f>
        <v/>
      </c>
      <c r="G13" s="33">
        <f>IF(OR(B13="", E13=""), 0, ROUND(E13 * F13, 2))</f>
        <v/>
      </c>
      <c r="H13" s="55" t="inlineStr">
        <is>
          <t>Mortar bedding rate</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0.7</v>
      </c>
      <c r="F24" s="54">
        <f>IF(B24="","", IFERROR(INDEX(Rates_Master!$E:$E, MATCH(B24, Rates_Master!$A:$A, 0)), 0))</f>
        <v/>
      </c>
      <c r="G24" s="33">
        <f>IF(OR(B24="", E24=""), 0, ROUND(E24 * F24, 2))</f>
        <v/>
      </c>
      <c r="H24" s="55" t="inlineStr">
        <is>
          <t>Stone Mason (average)</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1.4</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3">
        <f>IF(OR(B26="", E26=""), 0, ROUND(E26 * F26, 2))</f>
        <v/>
      </c>
      <c r="H26" s="55" t="inlineStr">
        <is>
          <t>Bhisti</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3.5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7.1.1</t>
        </is>
      </c>
      <c r="B57" s="87" t="inlineStr">
        <is>
          <t>Random rubble masonry with hard stone in CM 1:6 in foundation and plinth</t>
        </is>
      </c>
      <c r="C57" s="88" t="inlineStr">
        <is>
          <t>cum</t>
        </is>
      </c>
      <c r="D57" s="88" t="n">
        <v>1</v>
      </c>
      <c r="E57" s="89" t="n">
        <v>4150.2</v>
      </c>
      <c r="F57" s="88" t="inlineStr">
        <is>
          <t>Full W-&gt;X-&gt;Y-&gt;Z</t>
        </is>
      </c>
      <c r="G57" s="89" t="n">
        <v>5552</v>
      </c>
      <c r="H57" s="90" t="n">
        <v>5552</v>
      </c>
    </row>
    <row r="58" ht="20" customHeight="1">
      <c r="A58" s="81" t="inlineStr">
        <is>
          <t>C-07.02</t>
        </is>
      </c>
      <c r="B58" s="82" t="inlineStr">
        <is>
          <t>(Available for new custom item)</t>
        </is>
      </c>
      <c r="C58" s="83" t="inlineStr">
        <is>
          <t>cum</t>
        </is>
      </c>
      <c r="D58" s="83" t="n">
        <v>1</v>
      </c>
      <c r="E58" s="84" t="n"/>
      <c r="F58" s="83" t="inlineStr">
        <is>
          <t>Full W-&gt;X-&gt;Y-&gt;Z</t>
        </is>
      </c>
      <c r="G58" s="84" t="n"/>
      <c r="H58" s="85" t="n"/>
    </row>
    <row r="59" ht="20" customHeight="1">
      <c r="A59" s="86" t="inlineStr">
        <is>
          <t>C-07.03</t>
        </is>
      </c>
      <c r="B59" s="87" t="inlineStr">
        <is>
          <t>(Available for new custom item)</t>
        </is>
      </c>
      <c r="C59" s="88" t="inlineStr">
        <is>
          <t>cum</t>
        </is>
      </c>
      <c r="D59" s="88" t="n">
        <v>1</v>
      </c>
      <c r="E59" s="89" t="n"/>
      <c r="F59" s="88" t="inlineStr">
        <is>
          <t>Full W-&gt;X-&gt;Y-&gt;Z</t>
        </is>
      </c>
      <c r="G59" s="89" t="n"/>
      <c r="H59" s="90" t="n"/>
    </row>
    <row r="60" ht="20" customHeight="1">
      <c r="A60" s="81" t="inlineStr">
        <is>
          <t>C-07.04</t>
        </is>
      </c>
      <c r="B60" s="82" t="inlineStr">
        <is>
          <t>(Available for new custom item)</t>
        </is>
      </c>
      <c r="C60" s="83" t="inlineStr">
        <is>
          <t>cum</t>
        </is>
      </c>
      <c r="D60" s="83" t="n">
        <v>1</v>
      </c>
      <c r="E60" s="84" t="n"/>
      <c r="F60" s="83" t="inlineStr">
        <is>
          <t>Full W-&gt;X-&gt;Y-&gt;Z</t>
        </is>
      </c>
      <c r="G60" s="84" t="n"/>
      <c r="H60" s="85" t="n"/>
    </row>
    <row r="61" ht="20" customHeight="1">
      <c r="A61" s="86" t="inlineStr">
        <is>
          <t>C-07.05</t>
        </is>
      </c>
      <c r="B61" s="87" t="inlineStr">
        <is>
          <t>(Available for new custom item)</t>
        </is>
      </c>
      <c r="C61" s="88" t="inlineStr">
        <is>
          <t>cum</t>
        </is>
      </c>
      <c r="D61" s="88" t="n">
        <v>1</v>
      </c>
      <c r="E61" s="89" t="n"/>
      <c r="F61" s="88" t="inlineStr">
        <is>
          <t>Full W-&gt;X-&gt;Y-&gt;Z</t>
        </is>
      </c>
      <c r="G61" s="89" t="n"/>
      <c r="H61" s="90" t="n"/>
    </row>
    <row r="62" ht="20" customHeight="1">
      <c r="A62" s="81" t="inlineStr">
        <is>
          <t>C-07.06</t>
        </is>
      </c>
      <c r="B62" s="82" t="inlineStr">
        <is>
          <t>(Available for new custom item)</t>
        </is>
      </c>
      <c r="C62" s="83" t="inlineStr">
        <is>
          <t>cum</t>
        </is>
      </c>
      <c r="D62" s="83" t="n">
        <v>1</v>
      </c>
      <c r="E62" s="84" t="n"/>
      <c r="F62" s="83" t="inlineStr">
        <is>
          <t>Full W-&gt;X-&gt;Y-&gt;Z</t>
        </is>
      </c>
      <c r="G62" s="84" t="n"/>
      <c r="H62" s="85" t="n"/>
    </row>
    <row r="63" ht="20" customHeight="1">
      <c r="A63" s="86" t="inlineStr">
        <is>
          <t>C-07.07</t>
        </is>
      </c>
      <c r="B63" s="87" t="inlineStr">
        <is>
          <t>(Available for new custom item)</t>
        </is>
      </c>
      <c r="C63" s="88" t="inlineStr">
        <is>
          <t>cum</t>
        </is>
      </c>
      <c r="D63" s="88" t="n">
        <v>1</v>
      </c>
      <c r="E63" s="89" t="n"/>
      <c r="F63" s="88" t="inlineStr">
        <is>
          <t>Full W-&gt;X-&gt;Y-&gt;Z</t>
        </is>
      </c>
      <c r="G63" s="89" t="n"/>
      <c r="H63" s="90" t="n"/>
    </row>
    <row r="64" ht="20" customHeight="1">
      <c r="A64" s="81" t="inlineStr">
        <is>
          <t>C-07.08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08: Stone and marble veneer cladding. Incorporates bedding mortar and pointing mortar lines, slab cutting/wastage, scaffolding, and stone masons.</t>
        </is>
      </c>
    </row>
    <row r="4"/>
    <row r="5" ht="22" customHeight="1">
      <c r="A5" s="16" t="inlineStr">
        <is>
          <t>Custom Item Code:</t>
        </is>
      </c>
      <c r="B5" s="42" t="inlineStr">
        <is>
          <t>C-08.01</t>
        </is>
      </c>
      <c r="C5" s="16" t="inlineStr">
        <is>
          <t>Batch Output Basis:</t>
        </is>
      </c>
      <c r="D5" s="43" t="n">
        <v>10</v>
      </c>
      <c r="E5" s="16" t="inlineStr">
        <is>
          <t>Output Unit:</t>
        </is>
      </c>
      <c r="F5" s="42" t="inlineStr">
        <is>
          <t>sqm</t>
        </is>
      </c>
      <c r="G5" s="16" t="inlineStr">
        <is>
          <t>Trade Sub-Head:</t>
        </is>
      </c>
      <c r="H5" s="44" t="inlineStr">
        <is>
          <t>08 Cladding Work</t>
        </is>
      </c>
    </row>
    <row r="6" ht="36" customHeight="1">
      <c r="A6" s="16" t="inlineStr">
        <is>
          <t>Item Nomenclature / Full Description:</t>
        </is>
      </c>
      <c r="B6" s="45" t="inlineStr">
        <is>
          <t>30 mm thick gang saw cut red sand stone / white sand stone sun-shade / cladding in wall with CM 1:3</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0308</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3">
        <f>IF(OR(B10="", E10=""), 0, ROUND(E10 * F10, 2))</f>
        <v/>
      </c>
      <c r="H10" s="55" t="inlineStr">
        <is>
          <t>Red sand stone slab 30mm thick (with 5% cutting wastage)</t>
        </is>
      </c>
    </row>
    <row r="11" ht="20" customHeight="1">
      <c r="A11" s="18" t="n">
        <v>2</v>
      </c>
      <c r="B11" s="42" t="inlineStr">
        <is>
          <t>2202</t>
        </is>
      </c>
      <c r="C11" s="51">
        <f>IF(B11="","", IFERROR(INDEX(Rates_Master!$C:$C, MATCH(B11, Rates_Master!$A:$A, 0)), "Custom / Intermediate Material"))</f>
        <v/>
      </c>
      <c r="D11" s="52">
        <f>IF(B11="","", IFERROR(INDEX(Rates_Master!$D:$D, MATCH(B11, Rates_Master!$A:$A, 0)), ""))</f>
        <v/>
      </c>
      <c r="E11" s="53" t="n">
        <v>0.315</v>
      </c>
      <c r="F11" s="54">
        <f>IF(B11="","", IFERROR(INDEX(Rates_Master!$E:$E, MATCH(B11, Rates_Master!$A:$A, 0)), 0))</f>
        <v/>
      </c>
      <c r="G11" s="33">
        <f>IF(OR(B11="", E11=""), 0, ROUND(E11 * F11, 2))</f>
        <v/>
      </c>
      <c r="H11" s="55" t="inlineStr">
        <is>
          <t>Carriage of Stone slabs</t>
        </is>
      </c>
    </row>
    <row r="12" ht="20" customHeight="1">
      <c r="A12" s="18" t="n">
        <v>3</v>
      </c>
      <c r="B12" s="42" t="inlineStr">
        <is>
          <t>03_Mortars</t>
        </is>
      </c>
      <c r="C12" s="51" t="inlineStr">
        <is>
          <t>Cement mortar 1:3 (Bedding mortar from 03_Mortars or DAR 3.3)</t>
        </is>
      </c>
      <c r="D12" s="52" t="inlineStr">
        <is>
          <t>cum</t>
        </is>
      </c>
      <c r="E12" s="53" t="n">
        <v>0.2</v>
      </c>
      <c r="F12" s="54">
        <f>'03_Mortars'!G51</f>
        <v/>
      </c>
      <c r="G12" s="33">
        <f>IF(OR(B12="", E12=""), 0, ROUND(E12 * F12, 2))</f>
        <v/>
      </c>
      <c r="H12" s="55" t="inlineStr">
        <is>
          <t>Bedding mortar</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1.5</v>
      </c>
      <c r="F24" s="54">
        <f>IF(B24="","", IFERROR(INDEX(Rates_Master!$E:$E, MATCH(B24, Rates_Master!$A:$A, 0)), 0))</f>
        <v/>
      </c>
      <c r="G24" s="33">
        <f>IF(OR(B24="", E24=""), 0, ROUND(E24 * F24, 2))</f>
        <v/>
      </c>
      <c r="H24" s="55" t="inlineStr">
        <is>
          <t>Stone Mason (fixing &amp; pointing)</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1.8</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0.3</v>
      </c>
      <c r="F26" s="54">
        <f>IF(B26="","", IFERROR(INDEX(Rates_Master!$E:$E, MATCH(B26, Rates_Master!$A:$A, 0)), 0))</f>
        <v/>
      </c>
      <c r="G26" s="33">
        <f>IF(OR(B26="", E26=""), 0, ROUND(E26 * F26, 2))</f>
        <v/>
      </c>
      <c r="H26" s="55" t="inlineStr">
        <is>
          <t>Bhisti</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8.1.1</t>
        </is>
      </c>
      <c r="B57" s="87" t="inlineStr">
        <is>
          <t>Red sand stone cladding 30mm thick with backing mortar</t>
        </is>
      </c>
      <c r="C57" s="88" t="inlineStr">
        <is>
          <t>sqm</t>
        </is>
      </c>
      <c r="D57" s="88" t="n">
        <v>10</v>
      </c>
      <c r="E57" s="89" t="n">
        <v>11250</v>
      </c>
      <c r="F57" s="88" t="inlineStr">
        <is>
          <t>Full W-&gt;X-&gt;Y-&gt;Z</t>
        </is>
      </c>
      <c r="G57" s="89" t="n">
        <v>1505.2</v>
      </c>
      <c r="H57" s="90" t="n">
        <v>1505.2</v>
      </c>
    </row>
    <row r="58" ht="20" customHeight="1">
      <c r="A58" s="81" t="inlineStr">
        <is>
          <t>C-08.02</t>
        </is>
      </c>
      <c r="B58" s="82" t="inlineStr">
        <is>
          <t>(Available for new custom item)</t>
        </is>
      </c>
      <c r="C58" s="83" t="inlineStr">
        <is>
          <t>sqm</t>
        </is>
      </c>
      <c r="D58" s="83" t="n">
        <v>10</v>
      </c>
      <c r="E58" s="84" t="n"/>
      <c r="F58" s="83" t="inlineStr">
        <is>
          <t>Full W-&gt;X-&gt;Y-&gt;Z</t>
        </is>
      </c>
      <c r="G58" s="84" t="n"/>
      <c r="H58" s="85" t="n"/>
    </row>
    <row r="59" ht="20" customHeight="1">
      <c r="A59" s="86" t="inlineStr">
        <is>
          <t>C-08.03</t>
        </is>
      </c>
      <c r="B59" s="87" t="inlineStr">
        <is>
          <t>(Available for new custom item)</t>
        </is>
      </c>
      <c r="C59" s="88" t="inlineStr">
        <is>
          <t>sqm</t>
        </is>
      </c>
      <c r="D59" s="88" t="n">
        <v>10</v>
      </c>
      <c r="E59" s="89" t="n"/>
      <c r="F59" s="88" t="inlineStr">
        <is>
          <t>Full W-&gt;X-&gt;Y-&gt;Z</t>
        </is>
      </c>
      <c r="G59" s="89" t="n"/>
      <c r="H59" s="90" t="n"/>
    </row>
    <row r="60" ht="20" customHeight="1">
      <c r="A60" s="81" t="inlineStr">
        <is>
          <t>C-08.04</t>
        </is>
      </c>
      <c r="B60" s="82" t="inlineStr">
        <is>
          <t>(Available for new custom item)</t>
        </is>
      </c>
      <c r="C60" s="83" t="inlineStr">
        <is>
          <t>sqm</t>
        </is>
      </c>
      <c r="D60" s="83" t="n">
        <v>10</v>
      </c>
      <c r="E60" s="84" t="n"/>
      <c r="F60" s="83" t="inlineStr">
        <is>
          <t>Full W-&gt;X-&gt;Y-&gt;Z</t>
        </is>
      </c>
      <c r="G60" s="84" t="n"/>
      <c r="H60" s="85" t="n"/>
    </row>
    <row r="61" ht="20" customHeight="1">
      <c r="A61" s="86" t="inlineStr">
        <is>
          <t>C-08.05</t>
        </is>
      </c>
      <c r="B61" s="87" t="inlineStr">
        <is>
          <t>(Available for new custom item)</t>
        </is>
      </c>
      <c r="C61" s="88" t="inlineStr">
        <is>
          <t>sqm</t>
        </is>
      </c>
      <c r="D61" s="88" t="n">
        <v>10</v>
      </c>
      <c r="E61" s="89" t="n"/>
      <c r="F61" s="88" t="inlineStr">
        <is>
          <t>Full W-&gt;X-&gt;Y-&gt;Z</t>
        </is>
      </c>
      <c r="G61" s="89" t="n"/>
      <c r="H61" s="90" t="n"/>
    </row>
    <row r="62" ht="20" customHeight="1">
      <c r="A62" s="81" t="inlineStr">
        <is>
          <t>C-08.06</t>
        </is>
      </c>
      <c r="B62" s="82" t="inlineStr">
        <is>
          <t>(Available for new custom item)</t>
        </is>
      </c>
      <c r="C62" s="83" t="inlineStr">
        <is>
          <t>sqm</t>
        </is>
      </c>
      <c r="D62" s="83" t="n">
        <v>10</v>
      </c>
      <c r="E62" s="84" t="n"/>
      <c r="F62" s="83" t="inlineStr">
        <is>
          <t>Full W-&gt;X-&gt;Y-&gt;Z</t>
        </is>
      </c>
      <c r="G62" s="84" t="n"/>
      <c r="H62" s="85" t="n"/>
    </row>
    <row r="63" ht="20" customHeight="1">
      <c r="A63" s="86" t="inlineStr">
        <is>
          <t>C-08.07</t>
        </is>
      </c>
      <c r="B63" s="87" t="inlineStr">
        <is>
          <t>(Available for new custom item)</t>
        </is>
      </c>
      <c r="C63" s="88" t="inlineStr">
        <is>
          <t>sqm</t>
        </is>
      </c>
      <c r="D63" s="88" t="n">
        <v>10</v>
      </c>
      <c r="E63" s="89" t="n"/>
      <c r="F63" s="88" t="inlineStr">
        <is>
          <t>Full W-&gt;X-&gt;Y-&gt;Z</t>
        </is>
      </c>
      <c r="G63" s="89" t="n"/>
      <c r="H63" s="90" t="n"/>
    </row>
    <row r="64" ht="20" customHeight="1">
      <c r="A64" s="81" t="inlineStr">
        <is>
          <t>C-08.08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09: Timber frames, shutters, and fittings. Built from timber scantling (with standard 5% wastage allowance), carriage, holdfasts, and carpenter crews.</t>
        </is>
      </c>
    </row>
    <row r="4"/>
    <row r="5" ht="22" customHeight="1">
      <c r="A5" s="16" t="inlineStr">
        <is>
          <t>Custom Item Code:</t>
        </is>
      </c>
      <c r="B5" s="42" t="inlineStr">
        <is>
          <t>C-09.01</t>
        </is>
      </c>
      <c r="C5" s="16" t="inlineStr">
        <is>
          <t>Batch Output Basis:</t>
        </is>
      </c>
      <c r="D5" s="43" t="n">
        <v>36</v>
      </c>
      <c r="E5" s="16" t="inlineStr">
        <is>
          <t>Output Unit:</t>
        </is>
      </c>
      <c r="F5" s="42" t="inlineStr">
        <is>
          <t>cudm</t>
        </is>
      </c>
      <c r="G5" s="16" t="inlineStr">
        <is>
          <t>Trade Sub-Head:</t>
        </is>
      </c>
      <c r="H5" s="44" t="inlineStr">
        <is>
          <t>09 Wood and PVC Work</t>
        </is>
      </c>
    </row>
    <row r="6" ht="36" customHeight="1">
      <c r="A6" s="16" t="inlineStr">
        <is>
          <t>Item Nomenclature / Full Description:</t>
        </is>
      </c>
      <c r="B6" s="45" t="inlineStr">
        <is>
          <t>Second class teak wood in frames of doors, windows and other frames wrought, framed and fixed in position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1189</t>
        </is>
      </c>
      <c r="C10" s="51">
        <f>IF(B10="","", IFERROR(INDEX(Rates_Master!$C:$C, MATCH(B10, Rates_Master!$A:$A, 0)), "Custom / Intermediate Material"))</f>
        <v/>
      </c>
      <c r="D10" s="52">
        <f>IF(B10="","", IFERROR(INDEX(Rates_Master!$D:$D, MATCH(B10, Rates_Master!$A:$A, 0)), ""))</f>
        <v/>
      </c>
      <c r="E10" s="53" t="n">
        <v>3.8</v>
      </c>
      <c r="F10" s="54">
        <f>IF(B10="","", IFERROR(INDEX(Rates_Master!$E:$E, MATCH(B10, Rates_Master!$A:$A, 0)), 0))</f>
        <v/>
      </c>
      <c r="G10" s="33">
        <f>IF(OR(B10="", E10=""), 0, ROUND(E10 * F10, 2))</f>
        <v/>
      </c>
      <c r="H10" s="55" t="inlineStr">
        <is>
          <t>Second class teak wood in scantling (36 cudm + 5% wastage = 38 cudm)</t>
        </is>
      </c>
    </row>
    <row r="11" ht="20" customHeight="1">
      <c r="A11" s="18" t="n">
        <v>2</v>
      </c>
      <c r="B11" s="42" t="inlineStr">
        <is>
          <t>2204</t>
        </is>
      </c>
      <c r="C11" s="51">
        <f>IF(B11="","", IFERROR(INDEX(Rates_Master!$C:$C, MATCH(B11, Rates_Master!$A:$A, 0)), "Custom / Intermediate Material"))</f>
        <v/>
      </c>
      <c r="D11" s="52">
        <f>IF(B11="","", IFERROR(INDEX(Rates_Master!$D:$D, MATCH(B11, Rates_Master!$A:$A, 0)), ""))</f>
        <v/>
      </c>
      <c r="E11" s="53" t="n">
        <v>0.038</v>
      </c>
      <c r="F11" s="54">
        <f>IF(B11="","", IFERROR(INDEX(Rates_Master!$E:$E, MATCH(B11, Rates_Master!$A:$A, 0)), 0))</f>
        <v/>
      </c>
      <c r="G11" s="33">
        <f>IF(OR(B11="", E11=""), 0, ROUND(E11 * F11, 2))</f>
        <v/>
      </c>
      <c r="H11" s="55" t="inlineStr">
        <is>
          <t>Carriage of Timber</t>
        </is>
      </c>
    </row>
    <row r="12" ht="20" customHeight="1">
      <c r="A12" s="18" t="n">
        <v>3</v>
      </c>
      <c r="B12" s="42" t="inlineStr"/>
      <c r="C12" s="51">
        <f>IF(B12="","", IFERROR(INDEX(Rates_Master!$C:$C, MATCH(B12, Rates_Master!$A:$A, 0)), "Custom / Intermediate Material"))</f>
        <v/>
      </c>
      <c r="D12" s="52">
        <f>IF(B12="","", IFERROR(INDEX(Rates_Master!$D:$D, MATCH(B12, Rates_Master!$A:$A, 0)), ""))</f>
        <v/>
      </c>
      <c r="E12" s="53" t="n"/>
      <c r="F12" s="54">
        <f>IF(B12="","", IFERROR(INDEX(Rates_Master!$E:$E, MATCH(B12, Rates_Master!$A:$A, 0)), 0))</f>
        <v/>
      </c>
      <c r="G12" s="33">
        <f>IF(OR(B12="", E12=""), 0, ROUND(E12 * F12, 2))</f>
        <v/>
      </c>
      <c r="H12" s="55" t="inlineStr"/>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0156</t>
        </is>
      </c>
      <c r="C24" s="51">
        <f>IF(B24="","", IFERROR(INDEX(Rates_Master!$C:$C, MATCH(B24, Rates_Master!$A:$A, 0)), "Custom Labour/Plant"))</f>
        <v/>
      </c>
      <c r="D24" s="52">
        <f>IF(B24="","", IFERROR(INDEX(Rates_Master!$D:$D, MATCH(B24, Rates_Master!$A:$A, 0)), ""))</f>
        <v/>
      </c>
      <c r="E24" s="53" t="n">
        <v>0.72</v>
      </c>
      <c r="F24" s="54">
        <f>IF(B24="","", IFERROR(INDEX(Rates_Master!$E:$E, MATCH(B24, Rates_Master!$A:$A, 0)), 0))</f>
        <v/>
      </c>
      <c r="G24" s="33">
        <f>IF(OR(B24="", E24=""), 0, ROUND(E24 * F24, 2))</f>
        <v/>
      </c>
      <c r="H24" s="55" t="inlineStr">
        <is>
          <t>Carpenter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3">
        <f>IF(OR(B25="", E25=""), 0, ROUND(E25 * F25, 2))</f>
        <v/>
      </c>
      <c r="H25" s="55" t="inlineStr">
        <is>
          <t>Beldar</t>
        </is>
      </c>
    </row>
    <row r="26" ht="20" customHeight="1">
      <c r="A26" s="18"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3">
        <f>IF(OR(B26="", E26=""), 0, ROUND(E26 * F26, 2))</f>
        <v/>
      </c>
      <c r="H26" s="55" t="inlineStr"/>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9.1.1</t>
        </is>
      </c>
      <c r="B57" s="87" t="inlineStr">
        <is>
          <t>Second class teak wood in frames of doors and windows</t>
        </is>
      </c>
      <c r="C57" s="88" t="inlineStr">
        <is>
          <t>cum</t>
        </is>
      </c>
      <c r="D57" s="88" t="n">
        <v>36</v>
      </c>
      <c r="E57" s="89" t="n">
        <v>3502.85</v>
      </c>
      <c r="F57" s="88" t="inlineStr">
        <is>
          <t>Full W-&gt;X-&gt;Y-&gt;Z</t>
        </is>
      </c>
      <c r="G57" s="89" t="n">
        <v>130183.06</v>
      </c>
      <c r="H57" s="90" t="n">
        <v>130183.05</v>
      </c>
    </row>
    <row r="58" ht="20" customHeight="1">
      <c r="A58" s="81" t="inlineStr">
        <is>
          <t>C-09.02</t>
        </is>
      </c>
      <c r="B58" s="82" t="inlineStr">
        <is>
          <t>(Available for new custom item)</t>
        </is>
      </c>
      <c r="C58" s="83" t="inlineStr">
        <is>
          <t>cudm</t>
        </is>
      </c>
      <c r="D58" s="83" t="n">
        <v>36</v>
      </c>
      <c r="E58" s="84" t="n"/>
      <c r="F58" s="83" t="inlineStr">
        <is>
          <t>Full W-&gt;X-&gt;Y-&gt;Z</t>
        </is>
      </c>
      <c r="G58" s="84" t="n"/>
      <c r="H58" s="85" t="n"/>
    </row>
    <row r="59" ht="20" customHeight="1">
      <c r="A59" s="86" t="inlineStr">
        <is>
          <t>C-09.03</t>
        </is>
      </c>
      <c r="B59" s="87" t="inlineStr">
        <is>
          <t>(Available for new custom item)</t>
        </is>
      </c>
      <c r="C59" s="88" t="inlineStr">
        <is>
          <t>cudm</t>
        </is>
      </c>
      <c r="D59" s="88" t="n">
        <v>36</v>
      </c>
      <c r="E59" s="89" t="n"/>
      <c r="F59" s="88" t="inlineStr">
        <is>
          <t>Full W-&gt;X-&gt;Y-&gt;Z</t>
        </is>
      </c>
      <c r="G59" s="89" t="n"/>
      <c r="H59" s="90" t="n"/>
    </row>
    <row r="60" ht="20" customHeight="1">
      <c r="A60" s="81" t="inlineStr">
        <is>
          <t>C-09.04</t>
        </is>
      </c>
      <c r="B60" s="82" t="inlineStr">
        <is>
          <t>(Available for new custom item)</t>
        </is>
      </c>
      <c r="C60" s="83" t="inlineStr">
        <is>
          <t>cudm</t>
        </is>
      </c>
      <c r="D60" s="83" t="n">
        <v>36</v>
      </c>
      <c r="E60" s="84" t="n"/>
      <c r="F60" s="83" t="inlineStr">
        <is>
          <t>Full W-&gt;X-&gt;Y-&gt;Z</t>
        </is>
      </c>
      <c r="G60" s="84" t="n"/>
      <c r="H60" s="85" t="n"/>
    </row>
    <row r="61" ht="20" customHeight="1">
      <c r="A61" s="86" t="inlineStr">
        <is>
          <t>C-09.05</t>
        </is>
      </c>
      <c r="B61" s="87" t="inlineStr">
        <is>
          <t>(Available for new custom item)</t>
        </is>
      </c>
      <c r="C61" s="88" t="inlineStr">
        <is>
          <t>cudm</t>
        </is>
      </c>
      <c r="D61" s="88" t="n">
        <v>36</v>
      </c>
      <c r="E61" s="89" t="n"/>
      <c r="F61" s="88" t="inlineStr">
        <is>
          <t>Full W-&gt;X-&gt;Y-&gt;Z</t>
        </is>
      </c>
      <c r="G61" s="89" t="n"/>
      <c r="H61" s="90" t="n"/>
    </row>
    <row r="62" ht="20" customHeight="1">
      <c r="A62" s="81" t="inlineStr">
        <is>
          <t>C-09.06</t>
        </is>
      </c>
      <c r="B62" s="82" t="inlineStr">
        <is>
          <t>(Available for new custom item)</t>
        </is>
      </c>
      <c r="C62" s="83" t="inlineStr">
        <is>
          <t>cudm</t>
        </is>
      </c>
      <c r="D62" s="83" t="n">
        <v>36</v>
      </c>
      <c r="E62" s="84" t="n"/>
      <c r="F62" s="83" t="inlineStr">
        <is>
          <t>Full W-&gt;X-&gt;Y-&gt;Z</t>
        </is>
      </c>
      <c r="G62" s="84" t="n"/>
      <c r="H62" s="85" t="n"/>
    </row>
    <row r="63" ht="20" customHeight="1">
      <c r="A63" s="86" t="inlineStr">
        <is>
          <t>C-09.07</t>
        </is>
      </c>
      <c r="B63" s="87" t="inlineStr">
        <is>
          <t>(Available for new custom item)</t>
        </is>
      </c>
      <c r="C63" s="88" t="inlineStr">
        <is>
          <t>cudm</t>
        </is>
      </c>
      <c r="D63" s="88" t="n">
        <v>36</v>
      </c>
      <c r="E63" s="89" t="n"/>
      <c r="F63" s="88" t="inlineStr">
        <is>
          <t>Full W-&gt;X-&gt;Y-&gt;Z</t>
        </is>
      </c>
      <c r="G63" s="89" t="n"/>
      <c r="H63" s="90" t="n"/>
    </row>
    <row r="64" ht="20" customHeight="1">
      <c r="A64" s="81" t="inlineStr">
        <is>
          <t>C-09.08</t>
        </is>
      </c>
      <c r="B64" s="82" t="inlineStr">
        <is>
          <t>(Available for new custom item)</t>
        </is>
      </c>
      <c r="C64" s="83" t="inlineStr">
        <is>
          <t>cudm</t>
        </is>
      </c>
      <c r="D64" s="83" t="n">
        <v>36</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2" t="inlineStr">
        <is>
          <t>C-10.01</t>
        </is>
      </c>
      <c r="C5" s="16" t="inlineStr">
        <is>
          <t>Batch Output Basis:</t>
        </is>
      </c>
      <c r="D5" s="43" t="n">
        <v>1</v>
      </c>
      <c r="E5" s="16" t="inlineStr">
        <is>
          <t>Output Unit:</t>
        </is>
      </c>
      <c r="F5" s="42" t="inlineStr">
        <is>
          <t>quintal</t>
        </is>
      </c>
      <c r="G5" s="16" t="inlineStr">
        <is>
          <t>Trade Sub-Head:</t>
        </is>
      </c>
      <c r="H5" s="44" t="inlineStr">
        <is>
          <t>10 Steel Work</t>
        </is>
      </c>
    </row>
    <row r="6" ht="36" customHeight="1">
      <c r="A6" s="16" t="inlineStr">
        <is>
          <t>Item Nomenclature / Full Description:</t>
        </is>
      </c>
      <c r="B6" s="45" t="inlineStr">
        <is>
          <t>Structural steel work in single section, fixed with or without connecting plate, including cutting, hoisting, fixing and applying priming coat</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1007</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3">
        <f>IF(OR(B10="", E10=""), 0, ROUND(E10 * F10, 2))</f>
        <v/>
      </c>
      <c r="H10" s="55" t="inlineStr">
        <is>
          <t>Structurals (tees, angles, channels, joists) + 5% wastage = 1.05 q</t>
        </is>
      </c>
    </row>
    <row r="11" ht="20" customHeight="1">
      <c r="A11" s="18" t="n">
        <v>2</v>
      </c>
      <c r="B11" s="42" t="inlineStr">
        <is>
          <t>2205</t>
        </is>
      </c>
      <c r="C11" s="51">
        <f>IF(B11="","", IFERROR(INDEX(Rates_Master!$C:$C, MATCH(B11, Rates_Master!$A:$A, 0)), "Custom / Intermediate Material"))</f>
        <v/>
      </c>
      <c r="D11" s="52">
        <f>IF(B11="","", IFERROR(INDEX(Rates_Master!$D:$D, MATCH(B11, Rates_Master!$A:$A, 0)), ""))</f>
        <v/>
      </c>
      <c r="E11" s="53" t="n">
        <v>0.105</v>
      </c>
      <c r="F11" s="54">
        <f>IF(B11="","", IFERROR(INDEX(Rates_Master!$E:$E, MATCH(B11, Rates_Master!$A:$A, 0)), 0))</f>
        <v/>
      </c>
      <c r="G11" s="33">
        <f>IF(OR(B11="", E11=""), 0, ROUND(E11 * F11, 2))</f>
        <v/>
      </c>
      <c r="H11" s="55" t="inlineStr">
        <is>
          <t>Carriage of Steel (0.105 tonne)</t>
        </is>
      </c>
    </row>
    <row r="12" ht="20" customHeight="1">
      <c r="A12" s="18" t="n">
        <v>3</v>
      </c>
      <c r="B12" s="42" t="inlineStr">
        <is>
          <t>13.50.3</t>
        </is>
      </c>
      <c r="C12" s="51" t="inlineStr">
        <is>
          <t>Red oxide zinc chromate primer on steel (Rate as per Item 13.50.3 of SH: Finishing)</t>
        </is>
      </c>
      <c r="D12" s="52" t="inlineStr">
        <is>
          <t>sqm</t>
        </is>
      </c>
      <c r="E12" s="53" t="n">
        <v>3</v>
      </c>
      <c r="F12" s="54" t="n">
        <v>50.7</v>
      </c>
      <c r="G12" s="33">
        <f>IF(OR(B12="", E12=""), 0, ROUND(E12 * F12, 2))</f>
        <v/>
      </c>
      <c r="H12" s="55" t="inlineStr">
        <is>
          <t>Priming coat @ ₹50.70/sqm (Deducted from W before markup per CPWD W-A rule)</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0116</t>
        </is>
      </c>
      <c r="C24" s="51">
        <f>IF(B24="","", IFERROR(INDEX(Rates_Master!$C:$C, MATCH(B24, Rates_Master!$A:$A, 0)), "Custom Labour/Plant"))</f>
        <v/>
      </c>
      <c r="D24" s="52">
        <f>IF(B24="","", IFERROR(INDEX(Rates_Master!$D:$D, MATCH(B24, Rates_Master!$A:$A, 0)), ""))</f>
        <v/>
      </c>
      <c r="E24" s="53" t="n">
        <v>0.5</v>
      </c>
      <c r="F24" s="54">
        <f>IF(B24="","", IFERROR(INDEX(Rates_Master!$E:$E, MATCH(B24, Rates_Master!$A:$A, 0)), 0))</f>
        <v/>
      </c>
      <c r="G24" s="33">
        <f>IF(OR(B24="", E24=""), 0, ROUND(E24 * F24, 2))</f>
        <v/>
      </c>
      <c r="H24" s="55" t="inlineStr">
        <is>
          <t>Fitter (grade 1)</t>
        </is>
      </c>
    </row>
    <row r="25" ht="20" customHeight="1">
      <c r="A25" s="18" t="n">
        <v>2</v>
      </c>
      <c r="B25" s="42" t="inlineStr">
        <is>
          <t>0103</t>
        </is>
      </c>
      <c r="C25" s="51">
        <f>IF(B25="","", IFERROR(INDEX(Rates_Master!$C:$C, MATCH(B25, Rates_Master!$A:$A, 0)), "Custom Labour/Plant"))</f>
        <v/>
      </c>
      <c r="D25" s="52">
        <f>IF(B25="","", IFERROR(INDEX(Rates_Master!$D:$D, MATCH(B25, Rates_Master!$A:$A, 0)), ""))</f>
        <v/>
      </c>
      <c r="E25" s="53" t="n">
        <v>0.75</v>
      </c>
      <c r="F25" s="54">
        <f>IF(B25="","", IFERROR(INDEX(Rates_Master!$E:$E, MATCH(B25, Rates_Master!$A:$A, 0)), 0))</f>
        <v/>
      </c>
      <c r="G25" s="33">
        <f>IF(OR(B25="", E25=""), 0, ROUND(E25 * F25, 2))</f>
        <v/>
      </c>
      <c r="H25" s="55" t="inlineStr">
        <is>
          <t>Blacksmith 2nd class</t>
        </is>
      </c>
    </row>
    <row r="26" ht="20" customHeight="1">
      <c r="A26" s="18" t="n">
        <v>3</v>
      </c>
      <c r="B26" s="42" t="inlineStr">
        <is>
          <t>0114</t>
        </is>
      </c>
      <c r="C26" s="51">
        <f>IF(B26="","", IFERROR(INDEX(Rates_Master!$C:$C, MATCH(B26, Rates_Master!$A:$A, 0)), "Custom Labour/Plant"))</f>
        <v/>
      </c>
      <c r="D26" s="52">
        <f>IF(B26="","", IFERROR(INDEX(Rates_Master!$D:$D, MATCH(B26, Rates_Master!$A:$A, 0)), ""))</f>
        <v/>
      </c>
      <c r="E26" s="53" t="n">
        <v>1</v>
      </c>
      <c r="F26" s="54">
        <f>IF(B26="","", IFERROR(INDEX(Rates_Master!$E:$E, MATCH(B26, Rates_Master!$A:$A, 0)), 0))</f>
        <v/>
      </c>
      <c r="G26" s="33">
        <f>IF(OR(B26="", E26=""), 0, ROUND(E26 * F26, 2))</f>
        <v/>
      </c>
      <c r="H26" s="55" t="inlineStr">
        <is>
          <t>Beldar</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20.67</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 applied on (W - Priming coat).</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 applied on (X - Priming coat).</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CPOH applied on (Y - Priming coat).</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Cess applied on (Z - Priming coat).</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10.1</t>
        </is>
      </c>
      <c r="B57" s="87" t="inlineStr">
        <is>
          <t>Structural steel work in single section fixed complete with priming coat</t>
        </is>
      </c>
      <c r="C57" s="88" t="inlineStr">
        <is>
          <t>quintal</t>
        </is>
      </c>
      <c r="D57" s="88" t="n">
        <v>1</v>
      </c>
      <c r="E57" s="89" t="n">
        <v>6469.38</v>
      </c>
      <c r="F57" s="88" t="inlineStr">
        <is>
          <t>Full W-&gt;X-&gt;Y-&gt;Z (excl. primer)</t>
        </is>
      </c>
      <c r="G57" s="89" t="n">
        <v>8604.219999999999</v>
      </c>
      <c r="H57" s="90" t="n">
        <v>8604.200000000001</v>
      </c>
    </row>
    <row r="58" ht="20" customHeight="1">
      <c r="A58" s="81" t="inlineStr">
        <is>
          <t>C-10.02</t>
        </is>
      </c>
      <c r="B58" s="82" t="inlineStr">
        <is>
          <t>(Available for new custom item)</t>
        </is>
      </c>
      <c r="C58" s="83" t="inlineStr">
        <is>
          <t>quintal</t>
        </is>
      </c>
      <c r="D58" s="83" t="n">
        <v>1</v>
      </c>
      <c r="E58" s="84" t="n"/>
      <c r="F58" s="83" t="inlineStr">
        <is>
          <t>Full W-&gt;X-&gt;Y-&gt;Z</t>
        </is>
      </c>
      <c r="G58" s="84" t="n"/>
      <c r="H58" s="85" t="n"/>
    </row>
    <row r="59" ht="20" customHeight="1">
      <c r="A59" s="86" t="inlineStr">
        <is>
          <t>C-10.03</t>
        </is>
      </c>
      <c r="B59" s="87" t="inlineStr">
        <is>
          <t>(Available for new custom item)</t>
        </is>
      </c>
      <c r="C59" s="88" t="inlineStr">
        <is>
          <t>quintal</t>
        </is>
      </c>
      <c r="D59" s="88" t="n">
        <v>1</v>
      </c>
      <c r="E59" s="89" t="n"/>
      <c r="F59" s="88" t="inlineStr">
        <is>
          <t>Full W-&gt;X-&gt;Y-&gt;Z</t>
        </is>
      </c>
      <c r="G59" s="89" t="n"/>
      <c r="H59" s="90" t="n"/>
    </row>
    <row r="60" ht="20" customHeight="1">
      <c r="A60" s="81" t="inlineStr">
        <is>
          <t>C-10.04</t>
        </is>
      </c>
      <c r="B60" s="82" t="inlineStr">
        <is>
          <t>(Available for new custom item)</t>
        </is>
      </c>
      <c r="C60" s="83" t="inlineStr">
        <is>
          <t>quintal</t>
        </is>
      </c>
      <c r="D60" s="83" t="n">
        <v>1</v>
      </c>
      <c r="E60" s="84" t="n"/>
      <c r="F60" s="83" t="inlineStr">
        <is>
          <t>Full W-&gt;X-&gt;Y-&gt;Z</t>
        </is>
      </c>
      <c r="G60" s="84" t="n"/>
      <c r="H60" s="85" t="n"/>
    </row>
    <row r="61" ht="20" customHeight="1">
      <c r="A61" s="86" t="inlineStr">
        <is>
          <t>C-10.05</t>
        </is>
      </c>
      <c r="B61" s="87" t="inlineStr">
        <is>
          <t>(Available for new custom item)</t>
        </is>
      </c>
      <c r="C61" s="88" t="inlineStr">
        <is>
          <t>quintal</t>
        </is>
      </c>
      <c r="D61" s="88" t="n">
        <v>1</v>
      </c>
      <c r="E61" s="89" t="n"/>
      <c r="F61" s="88" t="inlineStr">
        <is>
          <t>Full W-&gt;X-&gt;Y-&gt;Z</t>
        </is>
      </c>
      <c r="G61" s="89" t="n"/>
      <c r="H61" s="90" t="n"/>
    </row>
    <row r="62" ht="20" customHeight="1">
      <c r="A62" s="81" t="inlineStr">
        <is>
          <t>C-10.06</t>
        </is>
      </c>
      <c r="B62" s="82" t="inlineStr">
        <is>
          <t>(Available for new custom item)</t>
        </is>
      </c>
      <c r="C62" s="83" t="inlineStr">
        <is>
          <t>quintal</t>
        </is>
      </c>
      <c r="D62" s="83" t="n">
        <v>1</v>
      </c>
      <c r="E62" s="84" t="n"/>
      <c r="F62" s="83" t="inlineStr">
        <is>
          <t>Full W-&gt;X-&gt;Y-&gt;Z</t>
        </is>
      </c>
      <c r="G62" s="84" t="n"/>
      <c r="H62" s="85" t="n"/>
    </row>
    <row r="63" ht="20" customHeight="1">
      <c r="A63" s="86" t="inlineStr">
        <is>
          <t>C-10.07</t>
        </is>
      </c>
      <c r="B63" s="87" t="inlineStr">
        <is>
          <t>(Available for new custom item)</t>
        </is>
      </c>
      <c r="C63" s="88" t="inlineStr">
        <is>
          <t>quintal</t>
        </is>
      </c>
      <c r="D63" s="88" t="n">
        <v>1</v>
      </c>
      <c r="E63" s="89" t="n"/>
      <c r="F63" s="88" t="inlineStr">
        <is>
          <t>Full W-&gt;X-&gt;Y-&gt;Z</t>
        </is>
      </c>
      <c r="G63" s="89" t="n"/>
      <c r="H63" s="90" t="n"/>
    </row>
    <row r="64" ht="20" customHeight="1">
      <c r="A64" s="81" t="inlineStr">
        <is>
          <t>C-10.08</t>
        </is>
      </c>
      <c r="B64" s="82" t="inlineStr">
        <is>
          <t>(Available for new custom item)</t>
        </is>
      </c>
      <c r="C64" s="83" t="inlineStr">
        <is>
          <t>quintal</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11: Tile, stone, marble, and concrete flooring. Consumes mortar bedding (from 03_Mortars), flooring tiles, neat cement slurry, and floor polishing masons.</t>
        </is>
      </c>
    </row>
    <row r="4"/>
    <row r="5" ht="22" customHeight="1">
      <c r="A5" s="16" t="inlineStr">
        <is>
          <t>Custom Item Code:</t>
        </is>
      </c>
      <c r="B5" s="42" t="inlineStr">
        <is>
          <t>C-11.01</t>
        </is>
      </c>
      <c r="C5" s="16" t="inlineStr">
        <is>
          <t>Batch Output Basis:</t>
        </is>
      </c>
      <c r="D5" s="43" t="n">
        <v>10</v>
      </c>
      <c r="E5" s="16" t="inlineStr">
        <is>
          <t>Output Unit:</t>
        </is>
      </c>
      <c r="F5" s="42" t="inlineStr">
        <is>
          <t>sqm</t>
        </is>
      </c>
      <c r="G5" s="16" t="inlineStr">
        <is>
          <t>Trade Sub-Head:</t>
        </is>
      </c>
      <c r="H5" s="44" t="inlineStr">
        <is>
          <t>11 Flooring</t>
        </is>
      </c>
    </row>
    <row r="6" ht="36" customHeight="1">
      <c r="A6" s="16" t="inlineStr">
        <is>
          <t>Item Nomenclature / Full Description:</t>
        </is>
      </c>
      <c r="B6" s="45" t="inlineStr">
        <is>
          <t>Precast terrazzo tiles 20 mm thick with marble chips of size upto 6 mm laid in floors in CM 1:4 with neat cement slurry</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0291</t>
        </is>
      </c>
      <c r="C10" s="51">
        <f>IF(B10="","", IFERROR(INDEX(Rates_Master!$C:$C, MATCH(B10, Rates_Master!$A:$A, 0)), "Custom / Intermediate Material"))</f>
        <v/>
      </c>
      <c r="D10" s="52">
        <f>IF(B10="","", IFERROR(INDEX(Rates_Master!$D:$D, MATCH(B10, Rates_Master!$A:$A, 0)), ""))</f>
        <v/>
      </c>
      <c r="E10" s="53" t="n">
        <v>10</v>
      </c>
      <c r="F10" s="54">
        <f>IF(B10="","", IFERROR(INDEX(Rates_Master!$E:$E, MATCH(B10, Rates_Master!$A:$A, 0)), 0))</f>
        <v/>
      </c>
      <c r="G10" s="33">
        <f>IF(OR(B10="", E10=""), 0, ROUND(E10 * F10, 2))</f>
        <v/>
      </c>
      <c r="H10" s="55" t="inlineStr">
        <is>
          <t>Precast terrazzo tiles 20mm thick (sqm)</t>
        </is>
      </c>
    </row>
    <row r="11" ht="20" customHeight="1">
      <c r="A11" s="18" t="n">
        <v>2</v>
      </c>
      <c r="B11" s="42" t="inlineStr">
        <is>
          <t>2201</t>
        </is>
      </c>
      <c r="C11" s="51">
        <f>IF(B11="","", IFERROR(INDEX(Rates_Master!$C:$C, MATCH(B11, Rates_Master!$A:$A, 0)), "Custom / Intermediate Material"))</f>
        <v/>
      </c>
      <c r="D11" s="52">
        <f>IF(B11="","", IFERROR(INDEX(Rates_Master!$D:$D, MATCH(B11, Rates_Master!$A:$A, 0)), ""))</f>
        <v/>
      </c>
      <c r="E11" s="53" t="n">
        <v>0.05</v>
      </c>
      <c r="F11" s="54">
        <f>IF(B11="","", IFERROR(INDEX(Rates_Master!$E:$E, MATCH(B11, Rates_Master!$A:$A, 0)), 0))</f>
        <v/>
      </c>
      <c r="G11" s="33">
        <f>IF(OR(B11="", E11=""), 0, ROUND(E11 * F11, 2))</f>
        <v/>
      </c>
      <c r="H11" s="55" t="inlineStr">
        <is>
          <t>Carriage of tiles</t>
        </is>
      </c>
    </row>
    <row r="12" ht="20" customHeight="1">
      <c r="A12" s="18" t="n">
        <v>3</v>
      </c>
      <c r="B12" s="42" t="inlineStr">
        <is>
          <t>03_Mortars</t>
        </is>
      </c>
      <c r="C12" s="51" t="inlineStr">
        <is>
          <t>Cement mortar 1:4 (Bedding mortar from 03_Mortars or DAR 3.9)</t>
        </is>
      </c>
      <c r="D12" s="52" t="inlineStr">
        <is>
          <t>cum</t>
        </is>
      </c>
      <c r="E12" s="53" t="n">
        <v>0.2</v>
      </c>
      <c r="F12" s="54">
        <f>'03_Mortars'!G51</f>
        <v/>
      </c>
      <c r="G12" s="33">
        <f>IF(OR(B12="", E12=""), 0, ROUND(E12 * F12, 2))</f>
        <v/>
      </c>
      <c r="H12" s="55" t="inlineStr">
        <is>
          <t>Bedding mortar</t>
        </is>
      </c>
    </row>
    <row r="13" ht="20" customHeight="1">
      <c r="A13" s="18" t="n">
        <v>4</v>
      </c>
      <c r="B13" s="42" t="inlineStr">
        <is>
          <t>0367</t>
        </is>
      </c>
      <c r="C13" s="51">
        <f>IF(B13="","", IFERROR(INDEX(Rates_Master!$C:$C, MATCH(B13, Rates_Master!$A:$A, 0)), "Custom / Intermediate Material"))</f>
        <v/>
      </c>
      <c r="D13" s="52">
        <f>IF(B13="","", IFERROR(INDEX(Rates_Master!$D:$D, MATCH(B13, Rates_Master!$A:$A, 0)), ""))</f>
        <v/>
      </c>
      <c r="E13" s="53" t="n">
        <v>0.044</v>
      </c>
      <c r="F13" s="54">
        <f>IF(B13="","", IFERROR(INDEX(Rates_Master!$E:$E, MATCH(B13, Rates_Master!$A:$A, 0)), 0))</f>
        <v/>
      </c>
      <c r="G13" s="33">
        <f>IF(OR(B13="", E13=""), 0, ROUND(E13 * F13, 2))</f>
        <v/>
      </c>
      <c r="H13" s="55" t="inlineStr">
        <is>
          <t>Cement for neat cement slurry (4.4 kg/sqm)</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1.2</v>
      </c>
      <c r="F24" s="54">
        <f>IF(B24="","", IFERROR(INDEX(Rates_Master!$E:$E, MATCH(B24, Rates_Master!$A:$A, 0)), 0))</f>
        <v/>
      </c>
      <c r="G24" s="33">
        <f>IF(OR(B24="", E24=""), 0, ROUND(E24 * F24, 2))</f>
        <v/>
      </c>
      <c r="H24" s="55" t="inlineStr">
        <is>
          <t>Mason (average)</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1.2</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3">
        <f>IF(OR(B26="", E26=""), 0, ROUND(E26 * F26, 2))</f>
        <v/>
      </c>
      <c r="H26" s="55" t="inlineStr">
        <is>
          <t>Bhisti</t>
        </is>
      </c>
    </row>
    <row r="27" ht="20" customHeight="1">
      <c r="A27" s="18" t="n">
        <v>4</v>
      </c>
      <c r="B27" s="42" t="inlineStr">
        <is>
          <t>0013</t>
        </is>
      </c>
      <c r="C27" s="51">
        <f>IF(B27="","", IFERROR(INDEX(Rates_Master!$C:$C, MATCH(B27, Rates_Master!$A:$A, 0)), "Custom Labour/Plant"))</f>
        <v/>
      </c>
      <c r="D27" s="52">
        <f>IF(B27="","", IFERROR(INDEX(Rates_Master!$D:$D, MATCH(B27, Rates_Master!$A:$A, 0)), ""))</f>
        <v/>
      </c>
      <c r="E27" s="53" t="n">
        <v>0.3</v>
      </c>
      <c r="F27" s="54">
        <f>IF(B27="","", IFERROR(INDEX(Rates_Master!$E:$E, MATCH(B27, Rates_Master!$A:$A, 0)), 0))</f>
        <v/>
      </c>
      <c r="G27" s="33">
        <f>IF(OR(B27="", E27=""), 0, ROUND(E27 * F27, 2))</f>
        <v/>
      </c>
      <c r="H27" s="55" t="inlineStr">
        <is>
          <t>Machine for rubbing &amp; polishing of floors</t>
        </is>
      </c>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11.3.1</t>
        </is>
      </c>
      <c r="B57" s="87" t="inlineStr">
        <is>
          <t>Precast terrazzo tiles 20 mm thick laid in floors in CM 1:4</t>
        </is>
      </c>
      <c r="C57" s="88" t="inlineStr">
        <is>
          <t>sqm</t>
        </is>
      </c>
      <c r="D57" s="88" t="n">
        <v>10</v>
      </c>
      <c r="E57" s="89" t="n">
        <v>7850</v>
      </c>
      <c r="F57" s="88" t="inlineStr">
        <is>
          <t>Full W-&gt;X-&gt;Y-&gt;Z</t>
        </is>
      </c>
      <c r="G57" s="89" t="n">
        <v>1049.8</v>
      </c>
      <c r="H57" s="90" t="n">
        <v>1049.8</v>
      </c>
    </row>
    <row r="58" ht="20" customHeight="1">
      <c r="A58" s="81" t="inlineStr">
        <is>
          <t>C-11.02</t>
        </is>
      </c>
      <c r="B58" s="82" t="inlineStr">
        <is>
          <t>(Available for new custom item)</t>
        </is>
      </c>
      <c r="C58" s="83" t="inlineStr">
        <is>
          <t>sqm</t>
        </is>
      </c>
      <c r="D58" s="83" t="n">
        <v>10</v>
      </c>
      <c r="E58" s="84" t="n"/>
      <c r="F58" s="83" t="inlineStr">
        <is>
          <t>Full W-&gt;X-&gt;Y-&gt;Z</t>
        </is>
      </c>
      <c r="G58" s="84" t="n"/>
      <c r="H58" s="85" t="n"/>
    </row>
    <row r="59" ht="20" customHeight="1">
      <c r="A59" s="86" t="inlineStr">
        <is>
          <t>C-11.03</t>
        </is>
      </c>
      <c r="B59" s="87" t="inlineStr">
        <is>
          <t>(Available for new custom item)</t>
        </is>
      </c>
      <c r="C59" s="88" t="inlineStr">
        <is>
          <t>sqm</t>
        </is>
      </c>
      <c r="D59" s="88" t="n">
        <v>10</v>
      </c>
      <c r="E59" s="89" t="n"/>
      <c r="F59" s="88" t="inlineStr">
        <is>
          <t>Full W-&gt;X-&gt;Y-&gt;Z</t>
        </is>
      </c>
      <c r="G59" s="89" t="n"/>
      <c r="H59" s="90" t="n"/>
    </row>
    <row r="60" ht="20" customHeight="1">
      <c r="A60" s="81" t="inlineStr">
        <is>
          <t>C-11.04</t>
        </is>
      </c>
      <c r="B60" s="82" t="inlineStr">
        <is>
          <t>(Available for new custom item)</t>
        </is>
      </c>
      <c r="C60" s="83" t="inlineStr">
        <is>
          <t>sqm</t>
        </is>
      </c>
      <c r="D60" s="83" t="n">
        <v>10</v>
      </c>
      <c r="E60" s="84" t="n"/>
      <c r="F60" s="83" t="inlineStr">
        <is>
          <t>Full W-&gt;X-&gt;Y-&gt;Z</t>
        </is>
      </c>
      <c r="G60" s="84" t="n"/>
      <c r="H60" s="85" t="n"/>
    </row>
    <row r="61" ht="20" customHeight="1">
      <c r="A61" s="86" t="inlineStr">
        <is>
          <t>C-11.05</t>
        </is>
      </c>
      <c r="B61" s="87" t="inlineStr">
        <is>
          <t>(Available for new custom item)</t>
        </is>
      </c>
      <c r="C61" s="88" t="inlineStr">
        <is>
          <t>sqm</t>
        </is>
      </c>
      <c r="D61" s="88" t="n">
        <v>10</v>
      </c>
      <c r="E61" s="89" t="n"/>
      <c r="F61" s="88" t="inlineStr">
        <is>
          <t>Full W-&gt;X-&gt;Y-&gt;Z</t>
        </is>
      </c>
      <c r="G61" s="89" t="n"/>
      <c r="H61" s="90" t="n"/>
    </row>
    <row r="62" ht="20" customHeight="1">
      <c r="A62" s="81" t="inlineStr">
        <is>
          <t>C-11.06</t>
        </is>
      </c>
      <c r="B62" s="82" t="inlineStr">
        <is>
          <t>(Available for new custom item)</t>
        </is>
      </c>
      <c r="C62" s="83" t="inlineStr">
        <is>
          <t>sqm</t>
        </is>
      </c>
      <c r="D62" s="83" t="n">
        <v>10</v>
      </c>
      <c r="E62" s="84" t="n"/>
      <c r="F62" s="83" t="inlineStr">
        <is>
          <t>Full W-&gt;X-&gt;Y-&gt;Z</t>
        </is>
      </c>
      <c r="G62" s="84" t="n"/>
      <c r="H62" s="85" t="n"/>
    </row>
    <row r="63" ht="20" customHeight="1">
      <c r="A63" s="86" t="inlineStr">
        <is>
          <t>C-11.07</t>
        </is>
      </c>
      <c r="B63" s="87" t="inlineStr">
        <is>
          <t>(Available for new custom item)</t>
        </is>
      </c>
      <c r="C63" s="88" t="inlineStr">
        <is>
          <t>sqm</t>
        </is>
      </c>
      <c r="D63" s="88" t="n">
        <v>10</v>
      </c>
      <c r="E63" s="89" t="n"/>
      <c r="F63" s="88" t="inlineStr">
        <is>
          <t>Full W-&gt;X-&gt;Y-&gt;Z</t>
        </is>
      </c>
      <c r="G63" s="89" t="n"/>
      <c r="H63" s="90" t="n"/>
    </row>
    <row r="64" ht="20" customHeight="1">
      <c r="A64" s="81" t="inlineStr">
        <is>
          <t>C-11.08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2" t="inlineStr">
        <is>
          <t>C-12.01</t>
        </is>
      </c>
      <c r="C5" s="16" t="inlineStr">
        <is>
          <t>Batch Output Basis:</t>
        </is>
      </c>
      <c r="D5" s="43" t="n">
        <v>184.52</v>
      </c>
      <c r="E5" s="16" t="inlineStr">
        <is>
          <t>Output Unit:</t>
        </is>
      </c>
      <c r="F5" s="42" t="inlineStr">
        <is>
          <t>sqm</t>
        </is>
      </c>
      <c r="G5" s="16" t="inlineStr">
        <is>
          <t>Trade Sub-Head:</t>
        </is>
      </c>
      <c r="H5" s="44" t="inlineStr">
        <is>
          <t>12 Roofing</t>
        </is>
      </c>
    </row>
    <row r="6" ht="36" customHeight="1">
      <c r="A6" s="16" t="inlineStr">
        <is>
          <t>Item Nomenclature / Full Description:</t>
        </is>
      </c>
      <c r="B6" s="45" t="inlineStr">
        <is>
          <t>Providing corrugated G.S. sheet roofing 1.00 mm thick with zinc coating 275 gm/sqm fixed with J/L hooks, bolts and limpet washers complete</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3050</t>
        </is>
      </c>
      <c r="C10" s="51">
        <f>IF(B10="","", IFERROR(INDEX(Rates_Master!$C:$C, MATCH(B10, Rates_Master!$A:$A, 0)), "Custom / Intermediate Material"))</f>
        <v/>
      </c>
      <c r="D10" s="52">
        <f>IF(B10="","", IFERROR(INDEX(Rates_Master!$D:$D, MATCH(B10, Rates_Master!$A:$A, 0)), ""))</f>
        <v/>
      </c>
      <c r="E10" s="53" t="n">
        <v>23.26</v>
      </c>
      <c r="F10" s="54">
        <f>IF(B10="","", IFERROR(INDEX(Rates_Master!$E:$E, MATCH(B10, Rates_Master!$A:$A, 0)), 0))</f>
        <v/>
      </c>
      <c r="G10" s="33">
        <f>IF(OR(B10="", E10=""), 0, ROUND(E10 * F10, 2))</f>
        <v/>
      </c>
      <c r="H10" s="55" t="inlineStr">
        <is>
          <t>Galvanised steel corrugated sheets (quintal)</t>
        </is>
      </c>
    </row>
    <row r="11" ht="20" customHeight="1">
      <c r="A11" s="18" t="n">
        <v>2</v>
      </c>
      <c r="B11" s="42" t="inlineStr">
        <is>
          <t>2302</t>
        </is>
      </c>
      <c r="C11" s="51">
        <f>IF(B11="","", IFERROR(INDEX(Rates_Master!$C:$C, MATCH(B11, Rates_Master!$A:$A, 0)), "Custom / Intermediate Material"))</f>
        <v/>
      </c>
      <c r="D11" s="52">
        <f>IF(B11="","", IFERROR(INDEX(Rates_Master!$D:$D, MATCH(B11, Rates_Master!$A:$A, 0)), ""))</f>
        <v/>
      </c>
      <c r="E11" s="53" t="n">
        <v>2.326</v>
      </c>
      <c r="F11" s="54">
        <f>IF(B11="","", IFERROR(INDEX(Rates_Master!$E:$E, MATCH(B11, Rates_Master!$A:$A, 0)), 0))</f>
        <v/>
      </c>
      <c r="G11" s="33">
        <f>IF(OR(B11="", E11=""), 0, ROUND(E11 * F11, 2))</f>
        <v/>
      </c>
      <c r="H11" s="55" t="inlineStr">
        <is>
          <t>Carriage of G.I. sheet and accessories (tonne)</t>
        </is>
      </c>
    </row>
    <row r="12" ht="20" customHeight="1">
      <c r="A12" s="18" t="n">
        <v>3</v>
      </c>
      <c r="B12" s="42" t="inlineStr">
        <is>
          <t>1022</t>
        </is>
      </c>
      <c r="C12" s="51">
        <f>IF(B12="","", IFERROR(INDEX(Rates_Master!$C:$C, MATCH(B12, Rates_Master!$A:$A, 0)), "Custom / Intermediate Material"))</f>
        <v/>
      </c>
      <c r="D12" s="52">
        <f>IF(B12="","", IFERROR(INDEX(Rates_Master!$D:$D, MATCH(B12, Rates_Master!$A:$A, 0)), ""))</f>
        <v/>
      </c>
      <c r="E12" s="53" t="n">
        <v>88.40000000000001</v>
      </c>
      <c r="F12" s="54">
        <f>IF(B12="","", IFERROR(INDEX(Rates_Master!$E:$E, MATCH(B12, Rates_Master!$A:$A, 0)), 0))</f>
        <v/>
      </c>
      <c r="G12" s="33">
        <f>IF(OR(B12="", E12=""), 0, ROUND(E12 * F12, 2))</f>
        <v/>
      </c>
      <c r="H12" s="55" t="inlineStr">
        <is>
          <t>Galvanised steel bolts &amp; nuts 6mm dia, 25mm long (10 Nos)</t>
        </is>
      </c>
    </row>
    <row r="13" ht="20" customHeight="1">
      <c r="A13" s="18" t="n">
        <v>4</v>
      </c>
      <c r="B13" s="42" t="inlineStr">
        <is>
          <t>1023</t>
        </is>
      </c>
      <c r="C13" s="51">
        <f>IF(B13="","", IFERROR(INDEX(Rates_Master!$C:$C, MATCH(B13, Rates_Master!$A:$A, 0)), "Custom / Intermediate Material"))</f>
        <v/>
      </c>
      <c r="D13" s="52">
        <f>IF(B13="","", IFERROR(INDEX(Rates_Master!$D:$D, MATCH(B13, Rates_Master!$A:$A, 0)), ""))</f>
        <v/>
      </c>
      <c r="E13" s="53" t="n">
        <v>81</v>
      </c>
      <c r="F13" s="54">
        <f>IF(B13="","", IFERROR(INDEX(Rates_Master!$E:$E, MATCH(B13, Rates_Master!$A:$A, 0)), 0))</f>
        <v/>
      </c>
      <c r="G13" s="33">
        <f>IF(OR(B13="", E13=""), 0, ROUND(E13 * F13, 2))</f>
        <v/>
      </c>
      <c r="H13" s="55" t="inlineStr">
        <is>
          <t>Galvanised steel J or L hooks 8 mm dia (10 Nos)</t>
        </is>
      </c>
    </row>
    <row r="14" ht="20" customHeight="1">
      <c r="A14" s="18" t="n">
        <v>5</v>
      </c>
      <c r="B14" s="42" t="inlineStr">
        <is>
          <t>1207</t>
        </is>
      </c>
      <c r="C14" s="51">
        <f>IF(B14="","", IFERROR(INDEX(Rates_Master!$C:$C, MATCH(B14, Rates_Master!$A:$A, 0)), "Custom / Intermediate Material"))</f>
        <v/>
      </c>
      <c r="D14" s="52">
        <f>IF(B14="","", IFERROR(INDEX(Rates_Master!$D:$D, MATCH(B14, Rates_Master!$A:$A, 0)), ""))</f>
        <v/>
      </c>
      <c r="E14" s="53" t="n">
        <v>16.94</v>
      </c>
      <c r="F14" s="54">
        <f>IF(B14="","", IFERROR(INDEX(Rates_Master!$E:$E, MATCH(B14, Rates_Master!$A:$A, 0)), 0))</f>
        <v/>
      </c>
      <c r="G14" s="33">
        <f>IF(OR(B14="", E14=""), 0, ROUND(E14 * F14, 2))</f>
        <v/>
      </c>
      <c r="H14" s="55" t="inlineStr">
        <is>
          <t>G.I. Limpet washer (100 Nos)</t>
        </is>
      </c>
    </row>
    <row r="15" ht="20" customHeight="1">
      <c r="A15" s="18" t="n">
        <v>6</v>
      </c>
      <c r="B15" s="42" t="inlineStr">
        <is>
          <t>1208</t>
        </is>
      </c>
      <c r="C15" s="51">
        <f>IF(B15="","", IFERROR(INDEX(Rates_Master!$C:$C, MATCH(B15, Rates_Master!$A:$A, 0)), "Custom / Intermediate Material"))</f>
        <v/>
      </c>
      <c r="D15" s="52">
        <f>IF(B15="","", IFERROR(INDEX(Rates_Master!$D:$D, MATCH(B15, Rates_Master!$A:$A, 0)), ""))</f>
        <v/>
      </c>
      <c r="E15" s="53" t="n">
        <v>16.94</v>
      </c>
      <c r="F15" s="54">
        <f>IF(B15="","", IFERROR(INDEX(Rates_Master!$E:$E, MATCH(B15, Rates_Master!$A:$A, 0)), 0))</f>
        <v/>
      </c>
      <c r="G15" s="33">
        <f>IF(OR(B15="", E15=""), 0, ROUND(E15 * F15, 2))</f>
        <v/>
      </c>
      <c r="H15" s="55" t="inlineStr">
        <is>
          <t>Bitumen washer (100 Nos)</t>
        </is>
      </c>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0156</t>
        </is>
      </c>
      <c r="C24" s="51">
        <f>IF(B24="","", IFERROR(INDEX(Rates_Master!$C:$C, MATCH(B24, Rates_Master!$A:$A, 0)), "Custom Labour/Plant"))</f>
        <v/>
      </c>
      <c r="D24" s="52">
        <f>IF(B24="","", IFERROR(INDEX(Rates_Master!$D:$D, MATCH(B24, Rates_Master!$A:$A, 0)), ""))</f>
        <v/>
      </c>
      <c r="E24" s="53" t="n">
        <v>4</v>
      </c>
      <c r="F24" s="54">
        <f>IF(B24="","", IFERROR(INDEX(Rates_Master!$E:$E, MATCH(B24, Rates_Master!$A:$A, 0)), 0))</f>
        <v/>
      </c>
      <c r="G24" s="33">
        <f>IF(OR(B24="", E24=""), 0, ROUND(E24 * F24, 2))</f>
        <v/>
      </c>
      <c r="H24" s="55" t="inlineStr">
        <is>
          <t>Carpenter / Erector</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6</v>
      </c>
      <c r="F25" s="54">
        <f>IF(B25="","", IFERROR(INDEX(Rates_Master!$E:$E, MATCH(B25, Rates_Master!$A:$A, 0)), 0))</f>
        <v/>
      </c>
      <c r="G25" s="33">
        <f>IF(OR(B25="", E25=""), 0, ROUND(E25 * F25, 2))</f>
        <v/>
      </c>
      <c r="H25" s="55" t="inlineStr">
        <is>
          <t>Beldar</t>
        </is>
      </c>
    </row>
    <row r="26" ht="20" customHeight="1">
      <c r="A26" s="18" t="n">
        <v>3</v>
      </c>
      <c r="B26" s="42" t="inlineStr">
        <is>
          <t>0131</t>
        </is>
      </c>
      <c r="C26" s="51">
        <f>IF(B26="","", IFERROR(INDEX(Rates_Master!$C:$C, MATCH(B26, Rates_Master!$A:$A, 0)), "Custom Labour/Plant"))</f>
        <v/>
      </c>
      <c r="D26" s="52">
        <f>IF(B26="","", IFERROR(INDEX(Rates_Master!$D:$D, MATCH(B26, Rates_Master!$A:$A, 0)), ""))</f>
        <v/>
      </c>
      <c r="E26" s="53" t="n">
        <v>2</v>
      </c>
      <c r="F26" s="54">
        <f>IF(B26="","", IFERROR(INDEX(Rates_Master!$E:$E, MATCH(B26, Rates_Master!$A:$A, 0)), 0))</f>
        <v/>
      </c>
      <c r="G26" s="33">
        <f>IF(OR(B26="", E26=""), 0, ROUND(E26 * F26, 2))</f>
        <v/>
      </c>
      <c r="H26" s="55" t="inlineStr">
        <is>
          <t>Painter (for overlap priming &amp; painting)</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12.1.1</t>
        </is>
      </c>
      <c r="B57" s="87" t="inlineStr">
        <is>
          <t>Corrugated G.S. sheet roofing 1.00 mm thick with accessories</t>
        </is>
      </c>
      <c r="C57" s="88" t="inlineStr">
        <is>
          <t>sqm</t>
        </is>
      </c>
      <c r="D57" s="88" t="n">
        <v>184.52</v>
      </c>
      <c r="E57" s="89" t="n">
        <v>152340</v>
      </c>
      <c r="F57" s="88" t="inlineStr">
        <is>
          <t>Full W-&gt;X-&gt;Y-&gt;Z</t>
        </is>
      </c>
      <c r="G57" s="89" t="n">
        <v>1104.5</v>
      </c>
      <c r="H57" s="90" t="n">
        <v>1104.5</v>
      </c>
    </row>
    <row r="58" ht="20" customHeight="1">
      <c r="A58" s="81" t="inlineStr">
        <is>
          <t>C-12.02</t>
        </is>
      </c>
      <c r="B58" s="82" t="inlineStr">
        <is>
          <t>(Available for new custom item)</t>
        </is>
      </c>
      <c r="C58" s="83" t="inlineStr">
        <is>
          <t>sqm</t>
        </is>
      </c>
      <c r="D58" s="83" t="n">
        <v>184.52</v>
      </c>
      <c r="E58" s="84" t="n"/>
      <c r="F58" s="83" t="inlineStr">
        <is>
          <t>Full W-&gt;X-&gt;Y-&gt;Z</t>
        </is>
      </c>
      <c r="G58" s="84" t="n"/>
      <c r="H58" s="85" t="n"/>
    </row>
    <row r="59" ht="20" customHeight="1">
      <c r="A59" s="86" t="inlineStr">
        <is>
          <t>C-12.03</t>
        </is>
      </c>
      <c r="B59" s="87" t="inlineStr">
        <is>
          <t>(Available for new custom item)</t>
        </is>
      </c>
      <c r="C59" s="88" t="inlineStr">
        <is>
          <t>sqm</t>
        </is>
      </c>
      <c r="D59" s="88" t="n">
        <v>184.52</v>
      </c>
      <c r="E59" s="89" t="n"/>
      <c r="F59" s="88" t="inlineStr">
        <is>
          <t>Full W-&gt;X-&gt;Y-&gt;Z</t>
        </is>
      </c>
      <c r="G59" s="89" t="n"/>
      <c r="H59" s="90" t="n"/>
    </row>
    <row r="60" ht="20" customHeight="1">
      <c r="A60" s="81" t="inlineStr">
        <is>
          <t>C-12.04</t>
        </is>
      </c>
      <c r="B60" s="82" t="inlineStr">
        <is>
          <t>(Available for new custom item)</t>
        </is>
      </c>
      <c r="C60" s="83" t="inlineStr">
        <is>
          <t>sqm</t>
        </is>
      </c>
      <c r="D60" s="83" t="n">
        <v>184.52</v>
      </c>
      <c r="E60" s="84" t="n"/>
      <c r="F60" s="83" t="inlineStr">
        <is>
          <t>Full W-&gt;X-&gt;Y-&gt;Z</t>
        </is>
      </c>
      <c r="G60" s="84" t="n"/>
      <c r="H60" s="85" t="n"/>
    </row>
    <row r="61" ht="20" customHeight="1">
      <c r="A61" s="86" t="inlineStr">
        <is>
          <t>C-12.05</t>
        </is>
      </c>
      <c r="B61" s="87" t="inlineStr">
        <is>
          <t>(Available for new custom item)</t>
        </is>
      </c>
      <c r="C61" s="88" t="inlineStr">
        <is>
          <t>sqm</t>
        </is>
      </c>
      <c r="D61" s="88" t="n">
        <v>184.52</v>
      </c>
      <c r="E61" s="89" t="n"/>
      <c r="F61" s="88" t="inlineStr">
        <is>
          <t>Full W-&gt;X-&gt;Y-&gt;Z</t>
        </is>
      </c>
      <c r="G61" s="89" t="n"/>
      <c r="H61" s="90" t="n"/>
    </row>
    <row r="62" ht="20" customHeight="1">
      <c r="A62" s="81" t="inlineStr">
        <is>
          <t>C-12.06</t>
        </is>
      </c>
      <c r="B62" s="82" t="inlineStr">
        <is>
          <t>(Available for new custom item)</t>
        </is>
      </c>
      <c r="C62" s="83" t="inlineStr">
        <is>
          <t>sqm</t>
        </is>
      </c>
      <c r="D62" s="83" t="n">
        <v>184.52</v>
      </c>
      <c r="E62" s="84" t="n"/>
      <c r="F62" s="83" t="inlineStr">
        <is>
          <t>Full W-&gt;X-&gt;Y-&gt;Z</t>
        </is>
      </c>
      <c r="G62" s="84" t="n"/>
      <c r="H62" s="85" t="n"/>
    </row>
    <row r="63" ht="20" customHeight="1">
      <c r="A63" s="86" t="inlineStr">
        <is>
          <t>C-12.07</t>
        </is>
      </c>
      <c r="B63" s="87" t="inlineStr">
        <is>
          <t>(Available for new custom item)</t>
        </is>
      </c>
      <c r="C63" s="88" t="inlineStr">
        <is>
          <t>sqm</t>
        </is>
      </c>
      <c r="D63" s="88" t="n">
        <v>184.52</v>
      </c>
      <c r="E63" s="89" t="n"/>
      <c r="F63" s="88" t="inlineStr">
        <is>
          <t>Full W-&gt;X-&gt;Y-&gt;Z</t>
        </is>
      </c>
      <c r="G63" s="89" t="n"/>
      <c r="H63" s="90" t="n"/>
    </row>
    <row r="64" ht="20" customHeight="1">
      <c r="A64" s="81" t="inlineStr">
        <is>
          <t>C-12.08</t>
        </is>
      </c>
      <c r="B64" s="82" t="inlineStr">
        <is>
          <t>(Available for new custom item)</t>
        </is>
      </c>
      <c r="C64" s="83" t="inlineStr">
        <is>
          <t>sqm</t>
        </is>
      </c>
      <c r="D64" s="83" t="n">
        <v>184.52</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2026-09-08T05:27:56Z</dcterms:created>
  <dcterms:modified xsi:type="dcterms:W3CDTF">2026-09-08T05:27:59Z</dcterms:modified>
</cp:coreProperties>
</file>