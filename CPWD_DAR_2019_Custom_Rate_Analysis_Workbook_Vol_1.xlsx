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 name="CPWD_Carriage_Materials">'01_Carriage_of_Materials'!$B$88:$B$114</definedName>
  </definedNames>
  <calcPr calcId="124519" fullCalcOnLoad="1"/>
</workbook>
</file>

<file path=xl/styles.xml><?xml version="1.0" encoding="utf-8"?>
<styleSheet xmlns="http://schemas.openxmlformats.org/spreadsheetml/2006/main">
  <numFmts count="11">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L&quot;"/>
    <numFmt numFmtId="171" formatCode="0.000 &quot;L&quot;"/>
    <numFmt numFmtId="172" formatCode="0.0 &quot;km&quot;"/>
    <numFmt numFmtId="173" formatCode="0.0"/>
    <numFmt numFmtId="174"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118">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9" borderId="2" applyAlignment="1" pivotButton="0" quotePrefix="0" xfId="0">
      <alignment horizontal="center" vertical="center"/>
    </xf>
    <xf numFmtId="0" fontId="8" fillId="10" borderId="2" applyAlignment="1" pivotButton="0" quotePrefix="0" xfId="0">
      <alignment horizontal="center" vertical="center"/>
    </xf>
    <xf numFmtId="0" fontId="7" fillId="8" borderId="2" applyAlignment="1" pivotButton="0" quotePrefix="0" xfId="0">
      <alignment horizontal="center" vertical="center"/>
    </xf>
    <xf numFmtId="0" fontId="1" fillId="2" borderId="0" applyAlignment="1" pivotButton="0" quotePrefix="0" xfId="0">
      <alignment horizontal="left" vertical="center"/>
    </xf>
    <xf numFmtId="0" fontId="2" fillId="0" borderId="2" applyAlignment="1" pivotButton="0" quotePrefix="0" xfId="0">
      <alignment horizontal="right" vertical="center"/>
    </xf>
    <xf numFmtId="0" fontId="2" fillId="6" borderId="2" applyAlignment="1" applyProtection="1" pivotButton="0" quotePrefix="0" xfId="0">
      <alignment horizontal="center" vertical="center"/>
      <protection locked="0" hidden="0"/>
    </xf>
    <xf numFmtId="0" fontId="2" fillId="6" borderId="2" applyAlignment="1" applyProtection="1" pivotButton="0" quotePrefix="0" xfId="0">
      <alignment horizontal="left" vertical="center"/>
      <protection locked="0" hidden="0"/>
    </xf>
    <xf numFmtId="0" fontId="3" fillId="6" borderId="2" applyAlignment="1" applyProtection="1" pivotButton="0" quotePrefix="0" xfId="0">
      <alignment horizontal="left" vertical="center" wrapText="1"/>
      <protection locked="0" hidden="0"/>
    </xf>
    <xf numFmtId="0" fontId="2" fillId="8" borderId="2" applyAlignment="1" pivotButton="0" quotePrefix="0" xfId="0">
      <alignment horizontal="right" vertical="center"/>
    </xf>
    <xf numFmtId="0" fontId="2" fillId="8" borderId="2" applyAlignment="1" pivotButton="0" quotePrefix="0" xfId="0">
      <alignment horizontal="left" vertical="center" wrapText="1"/>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170" fontId="2" fillId="3" borderId="2" applyAlignment="1" pivotButton="0" quotePrefix="0" xfId="0">
      <alignment horizontal="center" vertical="center"/>
    </xf>
    <xf numFmtId="171" fontId="2" fillId="3" borderId="2" applyAlignment="1" pivotButton="0" quotePrefix="0" xfId="0">
      <alignment horizontal="center" vertical="center"/>
    </xf>
    <xf numFmtId="0" fontId="0" fillId="9" borderId="2" applyAlignment="1" pivotButton="0" quotePrefix="0" xfId="0">
      <alignment horizontal="left" vertical="center"/>
    </xf>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2" fillId="3" borderId="2" applyAlignment="1" pivotButton="0" quotePrefix="0" xfId="0">
      <alignment horizontal="right" vertical="center"/>
    </xf>
    <xf numFmtId="0" fontId="0" fillId="0" borderId="2" pivotButton="0" quotePrefix="0" xfId="0"/>
    <xf numFmtId="164" fontId="2" fillId="7" borderId="2" applyAlignment="1" pivotButton="0" quotePrefix="0" xfId="0">
      <alignment horizontal="right" vertical="center"/>
    </xf>
    <xf numFmtId="0" fontId="7" fillId="0" borderId="2" applyAlignment="1" pivotButton="0" quotePrefix="0" xfId="0">
      <alignment horizontal="lef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applyProtection="1" pivotButton="0" quotePrefix="0" xfId="0">
      <alignment horizontal="center" vertical="center"/>
      <protection locked="0" hidden="0"/>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2" fillId="10"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164" fontId="8" fillId="10" borderId="2" applyAlignment="1" pivotButton="0" quotePrefix="0" xfId="0">
      <alignment horizontal="right" vertical="center"/>
    </xf>
    <xf numFmtId="0" fontId="7" fillId="8" borderId="0" applyAlignment="1" pivotButton="0" quotePrefix="0" xfId="0">
      <alignment horizontal="left" vertical="center"/>
    </xf>
    <xf numFmtId="1" fontId="2" fillId="3" borderId="2" applyAlignment="1" pivotButton="0" quotePrefix="0" xfId="0">
      <alignment horizontal="center" vertical="center"/>
    </xf>
    <xf numFmtId="172" fontId="3" fillId="3" borderId="2" applyAlignment="1" pivotButton="0" quotePrefix="0" xfId="0">
      <alignment horizontal="center" vertical="center"/>
    </xf>
    <xf numFmtId="173" fontId="3" fillId="3" borderId="2" applyAlignment="1" pivotButton="0" quotePrefix="0" xfId="0">
      <alignment horizontal="center" vertical="center"/>
    </xf>
    <xf numFmtId="2" fontId="3" fillId="3" borderId="2" applyAlignment="1" pivotButton="0" quotePrefix="0" xfId="0">
      <alignment horizontal="center" vertical="center"/>
    </xf>
    <xf numFmtId="174" fontId="3" fillId="3" borderId="2" applyAlignment="1" pivotButton="0" quotePrefix="0" xfId="0">
      <alignment horizontal="right" vertical="center"/>
    </xf>
    <xf numFmtId="164" fontId="3" fillId="3" borderId="2" applyAlignment="1" pivotButton="0" quotePrefix="0" xfId="0">
      <alignment horizontal="right" vertical="center"/>
    </xf>
    <xf numFmtId="172" fontId="3" fillId="4" borderId="2" applyAlignment="1" pivotButton="0" quotePrefix="0" xfId="0">
      <alignment horizontal="center" vertical="center"/>
    </xf>
    <xf numFmtId="173" fontId="3" fillId="4" borderId="2" applyAlignment="1" pivotButton="0" quotePrefix="0" xfId="0">
      <alignment horizontal="center" vertical="center"/>
    </xf>
    <xf numFmtId="2" fontId="3" fillId="4" borderId="2" applyAlignment="1" pivotButton="0" quotePrefix="0" xfId="0">
      <alignment horizontal="center" vertical="center"/>
    </xf>
    <xf numFmtId="174" fontId="3" fillId="4" borderId="2" applyAlignment="1" pivotButton="0" quotePrefix="0" xfId="0">
      <alignment horizontal="right" vertical="center"/>
    </xf>
    <xf numFmtId="164" fontId="3" fillId="4" borderId="2" applyAlignment="1" pivotButton="0" quotePrefix="0" xfId="0">
      <alignment horizontal="right" vertical="center"/>
    </xf>
    <xf numFmtId="0" fontId="7" fillId="8" borderId="2" applyAlignment="1" pivotButton="0" quotePrefix="0" xfId="0">
      <alignment horizontal="left" vertical="center"/>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2" fillId="9" borderId="2" applyAlignment="1" pivotButton="0" quotePrefix="0" xfId="0">
      <alignment horizontal="center"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7" fillId="8" borderId="0" pivotButton="0" quotePrefix="0" xfId="0"/>
    <xf numFmtId="0" fontId="7" fillId="8"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1" t="n">
        <v>1</v>
      </c>
      <c r="J2" s="32"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3" t="n">
        <v>6</v>
      </c>
      <c r="J3" s="34"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1" t="n">
        <v>0</v>
      </c>
      <c r="J4" s="32"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3" t="n">
        <v>0</v>
      </c>
      <c r="J5" s="34"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1" t="n">
        <v>0</v>
      </c>
      <c r="J6" s="32"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3" t="n">
        <v>0</v>
      </c>
      <c r="J7" s="34"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1" t="n">
        <v>3.75</v>
      </c>
      <c r="J8" s="32"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3" t="n">
        <v>10.66</v>
      </c>
      <c r="J9" s="34"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1" t="n">
        <v>2</v>
      </c>
      <c r="J10" s="32"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3" t="n">
        <v>3.25</v>
      </c>
      <c r="J11" s="34"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1" t="n">
        <v>6.8</v>
      </c>
      <c r="J12" s="32"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3" t="n">
        <v>5.6</v>
      </c>
      <c r="J13" s="34"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1" t="n">
        <v>5.9</v>
      </c>
      <c r="J14" s="32"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3" t="n">
        <v>3.6</v>
      </c>
      <c r="J15" s="34"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1" t="n">
        <v>0.4</v>
      </c>
      <c r="J16" s="32"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3" t="n">
        <v>0.008</v>
      </c>
      <c r="J17" s="34"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1" t="n">
        <v>0.008</v>
      </c>
      <c r="J18" s="32"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3" t="n">
        <v>2.2</v>
      </c>
      <c r="J19" s="34"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1" t="n">
        <v>3.6</v>
      </c>
      <c r="J20" s="32"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3" t="n">
        <v>0.4</v>
      </c>
      <c r="J21" s="34"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1" t="n">
        <v>0.008</v>
      </c>
      <c r="J22" s="32"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3" t="n">
        <v>0.008</v>
      </c>
      <c r="J23" s="34"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1" t="n">
        <v>0.008</v>
      </c>
      <c r="J24" s="32"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3" t="n">
        <v>0.008</v>
      </c>
      <c r="J25" s="34"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1" t="n">
        <v>0.4</v>
      </c>
      <c r="J26" s="32"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3" t="n">
        <v>0.041</v>
      </c>
      <c r="J27" s="34"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1" t="n">
        <v>0.041</v>
      </c>
      <c r="J28" s="32"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3" t="n">
        <v>0.32</v>
      </c>
      <c r="J29" s="34"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1" t="n">
        <v>1.2</v>
      </c>
      <c r="J30" s="32"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3" t="n">
        <v>0.063</v>
      </c>
      <c r="J31" s="34"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1" t="n">
        <v>0.063</v>
      </c>
      <c r="J32" s="32"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3" t="n">
        <v>0.705</v>
      </c>
      <c r="J33" s="34"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1" t="n">
        <v>1.59</v>
      </c>
      <c r="J34" s="32"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3" t="n">
        <v>0.355</v>
      </c>
      <c r="J35" s="34"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1" t="n">
        <v>0.5</v>
      </c>
      <c r="J36" s="32"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3" t="n">
        <v>0.55</v>
      </c>
      <c r="J37" s="34"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1" t="n">
        <v>0.125</v>
      </c>
      <c r="J38" s="32"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3" t="n">
        <v>0.125</v>
      </c>
      <c r="J39" s="34"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1" t="n">
        <v>1.06</v>
      </c>
      <c r="J40" s="32"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3" t="n">
        <v>2.825</v>
      </c>
      <c r="J41" s="34"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1" t="n">
        <v>0.885</v>
      </c>
      <c r="J42" s="32"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3" t="n">
        <v>0.45</v>
      </c>
      <c r="J43" s="34"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1" t="n">
        <v>0.55</v>
      </c>
      <c r="J44" s="32"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3" t="n">
        <v>0.125</v>
      </c>
      <c r="J45" s="34"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1" t="n">
        <v>0.125</v>
      </c>
      <c r="J46" s="32"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3" t="n">
        <v>2.47</v>
      </c>
      <c r="J47" s="34"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1" t="n">
        <v>6</v>
      </c>
      <c r="J48" s="32"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3" t="n">
        <v>1.06</v>
      </c>
      <c r="J49" s="34"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1" t="n">
        <v>0.175</v>
      </c>
      <c r="J50" s="32"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3" t="n">
        <v>0.75</v>
      </c>
      <c r="J51" s="34"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1" t="n">
        <v>1</v>
      </c>
      <c r="J52" s="32"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3" t="n">
        <v>0.04125</v>
      </c>
      <c r="J53" s="34"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1" t="n">
        <v>0.04125</v>
      </c>
      <c r="J54" s="32"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3" t="n">
        <v>0.4</v>
      </c>
      <c r="J55" s="34"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1" t="n">
        <v>2.05</v>
      </c>
      <c r="J56" s="32"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3" t="n">
        <v>0.0625</v>
      </c>
      <c r="J57" s="34"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1" t="n">
        <v>0.0625</v>
      </c>
      <c r="J58" s="32"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3" t="n">
        <v>0.885</v>
      </c>
      <c r="J59" s="34"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1" t="n">
        <v>1.765</v>
      </c>
      <c r="J60" s="32"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3" t="n">
        <v>0.53</v>
      </c>
      <c r="J61" s="34"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1" t="n">
        <v>0.5</v>
      </c>
      <c r="J62" s="32"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3" t="n">
        <v>1.3</v>
      </c>
      <c r="J63" s="34"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1" t="n">
        <v>0.125</v>
      </c>
      <c r="J64" s="32"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3" t="n">
        <v>0.125</v>
      </c>
      <c r="J65" s="34"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1" t="n">
        <v>1.24</v>
      </c>
      <c r="J66" s="32"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3" t="n">
        <v>3</v>
      </c>
      <c r="J67" s="34"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1" t="n">
        <v>1.06</v>
      </c>
      <c r="J68" s="32"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3" t="n">
        <v>0.5</v>
      </c>
      <c r="J69" s="34"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1" t="n">
        <v>1.3</v>
      </c>
      <c r="J70" s="32"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3" t="n">
        <v>0.125</v>
      </c>
      <c r="J71" s="34"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1" t="n">
        <v>0.125</v>
      </c>
      <c r="J72" s="32"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3" t="n">
        <v>2.65</v>
      </c>
      <c r="J73" s="34"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1" t="n">
        <v>6.175</v>
      </c>
      <c r="J74" s="32"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3" t="n">
        <v>1.06</v>
      </c>
      <c r="J75" s="34"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1" t="n">
        <v>0.175</v>
      </c>
      <c r="J76" s="32"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3" t="n">
        <v>0.75</v>
      </c>
      <c r="J77" s="34"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1" t="n">
        <v>1.5</v>
      </c>
      <c r="J78" s="32"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3" t="n">
        <v>2</v>
      </c>
      <c r="J79" s="34"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1" t="n">
        <v>2.2</v>
      </c>
      <c r="J80" s="32"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3" t="n">
        <v>0.9399999999999999</v>
      </c>
      <c r="J81" s="34"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1" t="n">
        <v>2.5</v>
      </c>
      <c r="J82" s="32"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3" t="n">
        <v>2.75</v>
      </c>
      <c r="J83" s="34"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1" t="n">
        <v>1.17</v>
      </c>
      <c r="J84" s="32"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3" t="n">
        <v>2.5</v>
      </c>
      <c r="J85" s="34"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1" t="n">
        <v>2.75</v>
      </c>
      <c r="J86" s="32"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3" t="n">
        <v>1.17</v>
      </c>
      <c r="J87" s="34"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1" t="n">
        <v>16.5</v>
      </c>
      <c r="J88" s="32"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3" t="n">
        <v>9.25</v>
      </c>
      <c r="J89" s="34"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1" t="n">
        <v>0.5</v>
      </c>
      <c r="J90" s="32"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3" t="n">
        <v>1</v>
      </c>
      <c r="J91" s="34"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1" t="n">
        <v>0.75</v>
      </c>
      <c r="J92" s="32"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3" t="n">
        <v>2</v>
      </c>
      <c r="J93" s="34"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1" t="n">
        <v>1.5</v>
      </c>
      <c r="J94" s="32"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3" t="n">
        <v>4</v>
      </c>
      <c r="J95" s="34"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1" t="n">
        <v>0.06</v>
      </c>
      <c r="J96" s="32"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3" t="n">
        <v>0.12</v>
      </c>
      <c r="J97" s="34"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1" t="n">
        <v>0.12</v>
      </c>
      <c r="J98" s="32"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3" t="n">
        <v>0.25</v>
      </c>
      <c r="J99" s="34"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1" t="n">
        <v>0.19</v>
      </c>
      <c r="J100" s="32"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3" t="n">
        <v>0.38</v>
      </c>
      <c r="J101" s="34"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1" t="n">
        <v>0.25</v>
      </c>
      <c r="J102" s="32"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3" t="n">
        <v>0.5</v>
      </c>
      <c r="J103" s="34"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1" t="n">
        <v>0.5</v>
      </c>
      <c r="J104" s="32"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3" t="n">
        <v>1</v>
      </c>
      <c r="J105" s="34"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1" t="n">
        <v>0.75</v>
      </c>
      <c r="J106" s="32"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3" t="n">
        <v>1.5</v>
      </c>
      <c r="J107" s="34"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1" t="n">
        <v>0.25</v>
      </c>
      <c r="J108" s="32"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3" t="n">
        <v>0.5</v>
      </c>
      <c r="J109" s="34"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1" t="n">
        <v>0.5</v>
      </c>
      <c r="J110" s="32"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3" t="n">
        <v>1</v>
      </c>
      <c r="J111" s="34"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1" t="n">
        <v>1</v>
      </c>
      <c r="J112" s="32"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3" t="n">
        <v>1.75</v>
      </c>
      <c r="J113" s="34"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1" t="n">
        <v>0.03</v>
      </c>
      <c r="J114" s="32"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3" t="n">
        <v>0.06</v>
      </c>
      <c r="J115" s="34"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1" t="n">
        <v>0.06</v>
      </c>
      <c r="J116" s="32"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3" t="n">
        <v>0.12</v>
      </c>
      <c r="J117" s="34"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1" t="n">
        <v>0.1</v>
      </c>
      <c r="J118" s="32"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3" t="n">
        <v>0.2</v>
      </c>
      <c r="J119" s="34"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1" t="n">
        <v>0.12</v>
      </c>
      <c r="J120" s="32"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3" t="n">
        <v>0.25</v>
      </c>
      <c r="J121" s="34"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1" t="n">
        <v>0.25</v>
      </c>
      <c r="J122" s="32"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3" t="n">
        <v>0.5</v>
      </c>
      <c r="J123" s="34"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1" t="n">
        <v>0.5</v>
      </c>
      <c r="J124" s="32"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3" t="n">
        <v>0.88</v>
      </c>
      <c r="J125" s="34"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1" t="n">
        <v>0.2</v>
      </c>
      <c r="J126" s="32"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3" t="n">
        <v>2.5</v>
      </c>
      <c r="J127" s="34"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1" t="n">
        <v>0.2</v>
      </c>
      <c r="J128" s="32"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3" t="n">
        <v>0.45</v>
      </c>
      <c r="J129" s="34"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1" t="n">
        <v>0.35</v>
      </c>
      <c r="J130" s="32"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3" t="n">
        <v>0.1</v>
      </c>
      <c r="J131" s="34"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1" t="n">
        <v>1.1</v>
      </c>
      <c r="J132" s="32"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3" t="n">
        <v>0.2</v>
      </c>
      <c r="J133" s="34"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1" t="n">
        <v>1.95</v>
      </c>
      <c r="J134" s="32"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3" t="n">
        <v>0.89</v>
      </c>
      <c r="J135" s="34"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1" t="n">
        <v>1.07</v>
      </c>
      <c r="J136" s="32"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3" t="n">
        <v>0.35</v>
      </c>
      <c r="J137" s="34"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1" t="n">
        <v>1.97</v>
      </c>
      <c r="J138" s="32"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3" t="n">
        <v>1.29</v>
      </c>
      <c r="J139" s="34"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1" t="n">
        <v>2.75</v>
      </c>
      <c r="J140" s="32"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3" t="n">
        <v>0.5</v>
      </c>
      <c r="J141" s="34"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1" t="n">
        <v>1.08</v>
      </c>
      <c r="J142" s="32"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3" t="n">
        <v>0.6</v>
      </c>
      <c r="J143" s="34"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1" t="n">
        <v>0.6</v>
      </c>
      <c r="J144" s="32"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3" t="n">
        <v>0.25</v>
      </c>
      <c r="J145" s="34"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1" t="n">
        <v>0.33</v>
      </c>
      <c r="J146" s="32"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3" t="n">
        <v>0.17</v>
      </c>
      <c r="J147" s="34"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1" t="n">
        <v>1.5</v>
      </c>
      <c r="J148" s="32"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3" t="n">
        <v>0.75</v>
      </c>
      <c r="J149" s="34"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1" t="n">
        <v>7</v>
      </c>
      <c r="J150" s="32"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3" t="n">
        <v>3.5</v>
      </c>
      <c r="J151" s="34"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1" t="n">
        <v>14</v>
      </c>
      <c r="J152" s="32"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3" t="n">
        <v>7</v>
      </c>
      <c r="J153" s="34"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1" t="n">
        <v>0.33</v>
      </c>
      <c r="J154" s="32"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3" t="n">
        <v>0.4</v>
      </c>
      <c r="J155" s="34"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1" t="n">
        <v>2</v>
      </c>
      <c r="J156" s="32"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3" t="n">
        <v>0.5</v>
      </c>
      <c r="J157" s="34"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1" t="n">
        <v>0.3</v>
      </c>
      <c r="J158" s="32"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3" t="n">
        <v>0.05</v>
      </c>
      <c r="J159" s="34"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1" t="n">
        <v>0.2</v>
      </c>
      <c r="J160" s="32"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3" t="n">
        <v>0.2</v>
      </c>
      <c r="J161" s="34"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1" t="n">
        <v>0.08</v>
      </c>
      <c r="J162" s="32"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3" t="n">
        <v>0.8</v>
      </c>
      <c r="J163" s="34"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1" t="n">
        <v>0.2</v>
      </c>
      <c r="J164" s="32"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3" t="n">
        <v>2.5</v>
      </c>
      <c r="J165" s="34"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1" t="n">
        <v>0.2</v>
      </c>
      <c r="J166" s="32"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3" t="n">
        <v>0.75</v>
      </c>
      <c r="J167" s="34"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1" t="n">
        <v>0.07000000000000001</v>
      </c>
      <c r="J168" s="32"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3" t="n">
        <v>0.75</v>
      </c>
      <c r="J169" s="34"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1" t="n">
        <v>0.07000000000000001</v>
      </c>
      <c r="J170" s="32"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3" t="n">
        <v>0.75</v>
      </c>
      <c r="J171" s="34"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1" t="n">
        <v>0.07000000000000001</v>
      </c>
      <c r="J172" s="32"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3" t="n">
        <v>0.75</v>
      </c>
      <c r="J173" s="34"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1" t="n">
        <v>0.07000000000000001</v>
      </c>
      <c r="J174" s="32"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3" t="n">
        <v>0.75</v>
      </c>
      <c r="J175" s="34"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1" t="n">
        <v>0.07000000000000001</v>
      </c>
      <c r="J176" s="32"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3" t="n">
        <v>0.75</v>
      </c>
      <c r="J177" s="34"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1" t="n">
        <v>0.07000000000000001</v>
      </c>
      <c r="J178" s="32"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3" t="n">
        <v>0.75</v>
      </c>
      <c r="J179" s="34"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1" t="n">
        <v>0.07000000000000001</v>
      </c>
      <c r="J180" s="32"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3" t="n">
        <v>0.75</v>
      </c>
      <c r="J181" s="34"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1" t="n">
        <v>0.07000000000000001</v>
      </c>
      <c r="J182" s="32"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3" t="n">
        <v>0.75</v>
      </c>
      <c r="J183" s="34"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1" t="n">
        <v>0.07000000000000001</v>
      </c>
      <c r="J184" s="32"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3" t="n">
        <v>0.75</v>
      </c>
      <c r="J185" s="34"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1" t="n">
        <v>0.07000000000000001</v>
      </c>
      <c r="J186" s="32"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3" t="n">
        <v>0.75</v>
      </c>
      <c r="J187" s="34"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1" t="n">
        <v>0.07000000000000001</v>
      </c>
      <c r="J188" s="32"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3" t="n">
        <v>0.75</v>
      </c>
      <c r="J189" s="34"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1" t="n">
        <v>0.07000000000000001</v>
      </c>
      <c r="J190" s="32"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3" t="n">
        <v>0.75</v>
      </c>
      <c r="J191" s="34"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1" t="n">
        <v>0.07000000000000001</v>
      </c>
      <c r="J192" s="32"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3" t="n">
        <v>0.75</v>
      </c>
      <c r="J193" s="34"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1" t="n">
        <v>0.07000000000000001</v>
      </c>
      <c r="J194" s="32"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3" t="n">
        <v>0.75</v>
      </c>
      <c r="J195" s="34"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1" t="n">
        <v>0.07000000000000001</v>
      </c>
      <c r="J196" s="32"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3" t="n">
        <v>0.75</v>
      </c>
      <c r="J197" s="34"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1" t="n">
        <v>0.07000000000000001</v>
      </c>
      <c r="J198" s="32"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3" t="n">
        <v>0.75</v>
      </c>
      <c r="J199" s="34"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1" t="n">
        <v>0.07000000000000001</v>
      </c>
      <c r="J200" s="32"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3" t="n">
        <v>0.63</v>
      </c>
      <c r="J201" s="34"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1" t="n">
        <v>0.315</v>
      </c>
      <c r="J202" s="32"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3" t="n">
        <v>0.9</v>
      </c>
      <c r="J203" s="34"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1" t="n">
        <v>0.45</v>
      </c>
      <c r="J204" s="32"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3" t="n">
        <v>0.1</v>
      </c>
      <c r="J205" s="34"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1" t="n">
        <v>1.63</v>
      </c>
      <c r="J206" s="32"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3" t="n">
        <v>0.7</v>
      </c>
      <c r="J207" s="34"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1" t="n">
        <v>0.07000000000000001</v>
      </c>
      <c r="J208" s="32"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3" t="n">
        <v>0.07000000000000001</v>
      </c>
      <c r="J209" s="34"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1" t="n">
        <v>0.1</v>
      </c>
      <c r="J210" s="32"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3" t="n">
        <v>1.63</v>
      </c>
      <c r="J211" s="34"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1" t="n">
        <v>0.7</v>
      </c>
      <c r="J212" s="32"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3" t="n">
        <v>0.07000000000000001</v>
      </c>
      <c r="J213" s="34"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1" t="n">
        <v>0.07000000000000001</v>
      </c>
      <c r="J214" s="32"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3" t="n">
        <v>0.1</v>
      </c>
      <c r="J215" s="34"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1" t="n">
        <v>1.63</v>
      </c>
      <c r="J216" s="32"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3" t="n">
        <v>0.7</v>
      </c>
      <c r="J217" s="34"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1" t="n">
        <v>0.07000000000000001</v>
      </c>
      <c r="J218" s="32"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3" t="n">
        <v>0.07000000000000001</v>
      </c>
      <c r="J219" s="34"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1" t="n">
        <v>0.1</v>
      </c>
      <c r="J220" s="32"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3" t="n">
        <v>1.63</v>
      </c>
      <c r="J221" s="34"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1" t="n">
        <v>0.7</v>
      </c>
      <c r="J222" s="32"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3" t="n">
        <v>0.07000000000000001</v>
      </c>
      <c r="J223" s="34"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1" t="n">
        <v>0.07000000000000001</v>
      </c>
      <c r="J224" s="32"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3" t="n">
        <v>0.1</v>
      </c>
      <c r="J225" s="34"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1" t="n">
        <v>1.63</v>
      </c>
      <c r="J226" s="32"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3" t="n">
        <v>0.7</v>
      </c>
      <c r="J227" s="34"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1" t="n">
        <v>0.07000000000000001</v>
      </c>
      <c r="J228" s="32"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3" t="n">
        <v>0.07000000000000001</v>
      </c>
      <c r="J229" s="34"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1" t="n">
        <v>0.1</v>
      </c>
      <c r="J230" s="32"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3" t="n">
        <v>1.63</v>
      </c>
      <c r="J231" s="34"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1" t="n">
        <v>0.7</v>
      </c>
      <c r="J232" s="32"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3" t="n">
        <v>0.07000000000000001</v>
      </c>
      <c r="J233" s="34"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1" t="n">
        <v>0.07000000000000001</v>
      </c>
      <c r="J234" s="32"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3" t="n">
        <v>0.1</v>
      </c>
      <c r="J235" s="34"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1" t="n">
        <v>1.63</v>
      </c>
      <c r="J236" s="32"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3" t="n">
        <v>0.7</v>
      </c>
      <c r="J237" s="34"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1" t="n">
        <v>0.07000000000000001</v>
      </c>
      <c r="J238" s="32"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3" t="n">
        <v>0.07000000000000001</v>
      </c>
      <c r="J239" s="34"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1" t="n">
        <v>0.1</v>
      </c>
      <c r="J240" s="32"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3" t="n">
        <v>1.63</v>
      </c>
      <c r="J241" s="34"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1" t="n">
        <v>0.7</v>
      </c>
      <c r="J242" s="32"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3" t="n">
        <v>0.07000000000000001</v>
      </c>
      <c r="J243" s="34"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1" t="n">
        <v>0.07000000000000001</v>
      </c>
      <c r="J244" s="32"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3" t="n">
        <v>0.1</v>
      </c>
      <c r="J245" s="34"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1" t="n">
        <v>1.63</v>
      </c>
      <c r="J246" s="32"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3" t="n">
        <v>0.7</v>
      </c>
      <c r="J247" s="34"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1" t="n">
        <v>0.07000000000000001</v>
      </c>
      <c r="J248" s="32"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3" t="n">
        <v>0.07000000000000001</v>
      </c>
      <c r="J249" s="34"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1" t="n">
        <v>0.1</v>
      </c>
      <c r="J250" s="32"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3" t="n">
        <v>1.63</v>
      </c>
      <c r="J251" s="34"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1" t="n">
        <v>0.7</v>
      </c>
      <c r="J252" s="32"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3" t="n">
        <v>0.07000000000000001</v>
      </c>
      <c r="J253" s="34"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1" t="n">
        <v>0.07000000000000001</v>
      </c>
      <c r="J254" s="32"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3" t="n">
        <v>0.9</v>
      </c>
      <c r="J255" s="34"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1" t="n">
        <v>0.78</v>
      </c>
      <c r="J256" s="32"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3" t="n">
        <v>0.7</v>
      </c>
      <c r="J257" s="34"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1" t="n">
        <v>0.06</v>
      </c>
      <c r="J258" s="32"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3" t="n">
        <v>0.06</v>
      </c>
      <c r="J259" s="34"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1" t="n">
        <v>0.07000000000000001</v>
      </c>
      <c r="J260" s="32"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3" t="n">
        <v>0.07000000000000001</v>
      </c>
      <c r="J261" s="34"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1" t="n">
        <v>1.88</v>
      </c>
      <c r="J262" s="32"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3" t="n">
        <v>0.9</v>
      </c>
      <c r="J263" s="34"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1" t="n">
        <v>0.78</v>
      </c>
      <c r="J264" s="32"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3" t="n">
        <v>0.7</v>
      </c>
      <c r="J265" s="34"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1" t="n">
        <v>0.06</v>
      </c>
      <c r="J266" s="32"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3" t="n">
        <v>0.06</v>
      </c>
      <c r="J267" s="34"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1" t="n">
        <v>0.07000000000000001</v>
      </c>
      <c r="J268" s="32"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3" t="n">
        <v>0.07000000000000001</v>
      </c>
      <c r="J269" s="34"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1" t="n">
        <v>1.88</v>
      </c>
      <c r="J270" s="32"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3" t="n">
        <v>0.9</v>
      </c>
      <c r="J271" s="34"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1" t="n">
        <v>0.78</v>
      </c>
      <c r="J272" s="32"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3" t="n">
        <v>0.7</v>
      </c>
      <c r="J273" s="34"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1" t="n">
        <v>0.06</v>
      </c>
      <c r="J274" s="32"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3" t="n">
        <v>0.06</v>
      </c>
      <c r="J275" s="34"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1" t="n">
        <v>0.07000000000000001</v>
      </c>
      <c r="J276" s="32"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3" t="n">
        <v>0.07000000000000001</v>
      </c>
      <c r="J277" s="34"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1" t="n">
        <v>1.88</v>
      </c>
      <c r="J278" s="32"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3" t="n">
        <v>0.9</v>
      </c>
      <c r="J279" s="34"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1" t="n">
        <v>0.78</v>
      </c>
      <c r="J280" s="32"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3" t="n">
        <v>0.7</v>
      </c>
      <c r="J281" s="34"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1" t="n">
        <v>0.1</v>
      </c>
      <c r="J282" s="32"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3" t="n">
        <v>0.07000000000000001</v>
      </c>
      <c r="J283" s="34"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1" t="n">
        <v>0.07000000000000001</v>
      </c>
      <c r="J284" s="32"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3" t="n">
        <v>1.88</v>
      </c>
      <c r="J285" s="34"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1" t="n">
        <v>0.75</v>
      </c>
      <c r="J286" s="32"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3" t="n">
        <v>1.5</v>
      </c>
      <c r="J287" s="34"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1" t="n">
        <v>3.5</v>
      </c>
      <c r="J288" s="32"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3" t="n">
        <v>6</v>
      </c>
      <c r="J289" s="34"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1" t="n">
        <v>1</v>
      </c>
      <c r="J290" s="32"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3" t="n">
        <v>2</v>
      </c>
      <c r="J291" s="34"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1" t="n">
        <v>0.51</v>
      </c>
      <c r="J292" s="32"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3" t="n">
        <v>0.68</v>
      </c>
      <c r="J293" s="34"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1" t="n">
        <v>0.6</v>
      </c>
      <c r="J294" s="32"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3" t="n">
        <v>3.6</v>
      </c>
      <c r="J295" s="34"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1" t="n">
        <v>0.056</v>
      </c>
      <c r="J296" s="32"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3" t="n">
        <v>0.05</v>
      </c>
      <c r="J297" s="34"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1" t="n">
        <v>0.3</v>
      </c>
      <c r="J298" s="32"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3" t="n">
        <v>0.4</v>
      </c>
      <c r="J299" s="34"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1" t="n">
        <v>0.4</v>
      </c>
      <c r="J300" s="32"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3" t="n">
        <v>0.4</v>
      </c>
      <c r="J301" s="34"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1" t="n">
        <v>0.4</v>
      </c>
      <c r="J302" s="32"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3" t="n">
        <v>0.12</v>
      </c>
      <c r="J303" s="34"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1" t="n">
        <v>0.07000000000000001</v>
      </c>
      <c r="J304" s="32"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3" t="n">
        <v>0.2</v>
      </c>
      <c r="J305" s="34"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1" t="n">
        <v>1.5</v>
      </c>
      <c r="J306" s="32"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3" t="n">
        <v>0.375</v>
      </c>
      <c r="J307" s="34"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1" t="n">
        <v>4</v>
      </c>
      <c r="J308" s="32"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3" t="n">
        <v>0.02</v>
      </c>
      <c r="J309" s="34"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1" t="n">
        <v>0.02</v>
      </c>
      <c r="J310" s="32"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3" t="n">
        <v>0.25</v>
      </c>
      <c r="J311" s="34"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1" t="n">
        <v>0.15</v>
      </c>
      <c r="J312" s="32"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3" t="n">
        <v>0.16</v>
      </c>
      <c r="J313" s="34"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1" t="n">
        <v>0.11</v>
      </c>
      <c r="J314" s="32"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3" t="n">
        <v>1</v>
      </c>
      <c r="J315" s="34"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1" t="n">
        <v>0.05</v>
      </c>
      <c r="J316" s="32"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3" t="n">
        <v>0.33</v>
      </c>
      <c r="J317" s="34"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1" t="n">
        <v>0.27</v>
      </c>
      <c r="J318" s="32"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3" t="n">
        <v>1.08</v>
      </c>
      <c r="J319" s="34"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1" t="n">
        <v>1.08</v>
      </c>
      <c r="J320" s="32"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3" t="n">
        <v>1</v>
      </c>
      <c r="J321" s="34"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1" t="n">
        <v>10</v>
      </c>
      <c r="J322" s="32"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3" t="n">
        <v>1</v>
      </c>
      <c r="J323" s="34"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1" t="n">
        <v>0.17</v>
      </c>
      <c r="J324" s="32"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3" t="n">
        <v>2</v>
      </c>
      <c r="J325" s="34"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1" t="n">
        <v>0.9</v>
      </c>
      <c r="J326" s="32"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3" t="n">
        <v>0.07000000000000001</v>
      </c>
      <c r="J327" s="34"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1" t="n">
        <v>1</v>
      </c>
      <c r="J328" s="32"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3" t="n">
        <v>10</v>
      </c>
      <c r="J329" s="34"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1" t="n">
        <v>1</v>
      </c>
      <c r="J330" s="32"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3" t="n">
        <v>0.17</v>
      </c>
      <c r="J331" s="34"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1" t="n">
        <v>2</v>
      </c>
      <c r="J332" s="32"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3" t="n">
        <v>0.9</v>
      </c>
      <c r="J333" s="34"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1" t="n">
        <v>0.07000000000000001</v>
      </c>
      <c r="J334" s="32"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3" t="n">
        <v>1</v>
      </c>
      <c r="J335" s="34"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1" t="n">
        <v>10</v>
      </c>
      <c r="J336" s="32"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3" t="n">
        <v>0.17</v>
      </c>
      <c r="J337" s="34"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1" t="n">
        <v>2</v>
      </c>
      <c r="J338" s="32"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3" t="n">
        <v>0.9</v>
      </c>
      <c r="J339" s="34"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1" t="n">
        <v>0.07000000000000001</v>
      </c>
      <c r="J340" s="32"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3" t="n">
        <v>1.88</v>
      </c>
      <c r="J341" s="34"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1" t="n">
        <v>1</v>
      </c>
      <c r="J342" s="32"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3" t="n">
        <v>10</v>
      </c>
      <c r="J343" s="34"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1" t="n">
        <v>0.17</v>
      </c>
      <c r="J344" s="32"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3" t="n">
        <v>2</v>
      </c>
      <c r="J345" s="34"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1" t="n">
        <v>0.9</v>
      </c>
      <c r="J346" s="32"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3" t="n">
        <v>0.07000000000000001</v>
      </c>
      <c r="J347" s="34"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1" t="n">
        <v>1.88</v>
      </c>
      <c r="J348" s="32"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3" t="n">
        <v>1</v>
      </c>
      <c r="J349" s="34"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1" t="n">
        <v>10</v>
      </c>
      <c r="J350" s="32"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3" t="n">
        <v>1</v>
      </c>
      <c r="J351" s="34"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1" t="n">
        <v>0.17</v>
      </c>
      <c r="J352" s="32"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3" t="n">
        <v>2</v>
      </c>
      <c r="J353" s="34"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1" t="n">
        <v>0.9</v>
      </c>
      <c r="J354" s="32"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3" t="n">
        <v>0.07000000000000001</v>
      </c>
      <c r="J355" s="34"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1" t="n">
        <v>1</v>
      </c>
      <c r="J356" s="32"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3" t="n">
        <v>10</v>
      </c>
      <c r="J357" s="34"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1" t="n">
        <v>1</v>
      </c>
      <c r="J358" s="32"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3" t="n">
        <v>0.17</v>
      </c>
      <c r="J359" s="34"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1" t="n">
        <v>2</v>
      </c>
      <c r="J360" s="32"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3" t="n">
        <v>0.9</v>
      </c>
      <c r="J361" s="34"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1" t="n">
        <v>0.07000000000000001</v>
      </c>
      <c r="J362" s="32"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3" t="n">
        <v>1</v>
      </c>
      <c r="J363" s="34"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1" t="n">
        <v>10</v>
      </c>
      <c r="J364" s="32"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3" t="n">
        <v>0.17</v>
      </c>
      <c r="J365" s="34"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1" t="n">
        <v>2</v>
      </c>
      <c r="J366" s="32"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3" t="n">
        <v>0.9</v>
      </c>
      <c r="J367" s="34"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1" t="n">
        <v>0.07000000000000001</v>
      </c>
      <c r="J368" s="32"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3" t="n">
        <v>1.88</v>
      </c>
      <c r="J369" s="34"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1" t="n">
        <v>1</v>
      </c>
      <c r="J370" s="32"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3" t="n">
        <v>10</v>
      </c>
      <c r="J371" s="34"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1" t="n">
        <v>0.17</v>
      </c>
      <c r="J372" s="32"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3" t="n">
        <v>2</v>
      </c>
      <c r="J373" s="34"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1" t="n">
        <v>0.9</v>
      </c>
      <c r="J374" s="32"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3" t="n">
        <v>0.07000000000000001</v>
      </c>
      <c r="J375" s="34"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1" t="n">
        <v>1.88</v>
      </c>
      <c r="J376" s="32"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3" t="n">
        <v>0.17</v>
      </c>
      <c r="J377" s="34"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1" t="n">
        <v>2</v>
      </c>
      <c r="J378" s="32"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3" t="n">
        <v>0.9</v>
      </c>
      <c r="J379" s="34"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1" t="n">
        <v>0.07000000000000001</v>
      </c>
      <c r="J380" s="32"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3" t="n">
        <v>0.07000000000000001</v>
      </c>
      <c r="J381" s="34"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1" t="n">
        <v>0.17</v>
      </c>
      <c r="J382" s="32"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3" t="n">
        <v>2</v>
      </c>
      <c r="J383" s="34"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1" t="n">
        <v>0.9</v>
      </c>
      <c r="J384" s="32"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3" t="n">
        <v>0.07000000000000001</v>
      </c>
      <c r="J385" s="34"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1" t="n">
        <v>0.07000000000000001</v>
      </c>
      <c r="J386" s="32"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3" t="n">
        <v>11.29</v>
      </c>
      <c r="J387" s="34"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1" t="n">
        <v>7.53</v>
      </c>
      <c r="J388" s="32"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3" t="n">
        <v>8.26</v>
      </c>
      <c r="J389" s="34"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1" t="n">
        <v>0.92</v>
      </c>
      <c r="J390" s="32"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3" t="n">
        <v>0.92</v>
      </c>
      <c r="J391" s="34"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1" t="n">
        <v>0.64</v>
      </c>
      <c r="J392" s="32"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3" t="n">
        <v>0.64</v>
      </c>
      <c r="J393" s="34"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1" t="n">
        <v>17.21</v>
      </c>
      <c r="J394" s="32"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3" t="n">
        <v>0.24</v>
      </c>
      <c r="J395" s="34"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1" t="n">
        <v>2.75</v>
      </c>
      <c r="J396" s="32"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3" t="n">
        <v>0.9</v>
      </c>
      <c r="J397" s="34"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1" t="n">
        <v>0.08</v>
      </c>
      <c r="J398" s="32"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3" t="n">
        <v>0.08</v>
      </c>
      <c r="J399" s="34"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1" t="n">
        <v>1.88</v>
      </c>
      <c r="J400" s="32"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3" t="n">
        <v>0.1</v>
      </c>
      <c r="J401" s="34"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1" t="n">
        <v>0.2</v>
      </c>
      <c r="J402" s="32"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3" t="n">
        <v>0.04</v>
      </c>
      <c r="J403" s="34"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1" t="n">
        <v>0.04</v>
      </c>
      <c r="J404" s="32"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3" t="n">
        <v>0.04</v>
      </c>
      <c r="J405" s="34"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1" t="n">
        <v>1.88</v>
      </c>
      <c r="J406" s="32"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3" t="n">
        <v>6.42</v>
      </c>
      <c r="J407" s="34"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1" t="n">
        <v>73.51000000000001</v>
      </c>
      <c r="J408" s="32"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3" t="n">
        <v>24.06</v>
      </c>
      <c r="J409" s="34"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1" t="n">
        <v>2.14</v>
      </c>
      <c r="J410" s="32"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3" t="n">
        <v>2.14</v>
      </c>
      <c r="J411" s="34"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1" t="n">
        <v>5</v>
      </c>
      <c r="J412" s="32"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3" t="n">
        <v>5</v>
      </c>
      <c r="J413" s="34"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1" t="n">
        <v>1.5</v>
      </c>
      <c r="J414" s="32"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3" t="n">
        <v>4.5</v>
      </c>
      <c r="J415" s="34"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1" t="n">
        <v>50.12</v>
      </c>
      <c r="J416" s="32"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3" t="n">
        <v>0.26</v>
      </c>
      <c r="J417" s="34"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1" t="n">
        <v>0.08</v>
      </c>
      <c r="J418" s="32"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3" t="n">
        <v>0.79</v>
      </c>
      <c r="J419" s="34"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1" t="n">
        <v>0.5600000000000001</v>
      </c>
      <c r="J420" s="32"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3" t="n">
        <v>0.6</v>
      </c>
      <c r="J421" s="34"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1" t="n">
        <v>0.06</v>
      </c>
      <c r="J422" s="32"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3" t="n">
        <v>0.06</v>
      </c>
      <c r="J423" s="34"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1" t="n">
        <v>0.05</v>
      </c>
      <c r="J424" s="32"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3" t="n">
        <v>0.05</v>
      </c>
      <c r="J425" s="34"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1" t="n">
        <v>0.18</v>
      </c>
      <c r="J426" s="32"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3" t="n">
        <v>0.05</v>
      </c>
      <c r="J427" s="34"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1" t="n">
        <v>0.05</v>
      </c>
      <c r="J428" s="32"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3" t="n">
        <v>0.1</v>
      </c>
      <c r="J429" s="34"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1" t="n">
        <v>0.15</v>
      </c>
      <c r="J430" s="32"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3" t="n">
        <v>0.75</v>
      </c>
      <c r="J431" s="34"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1" t="n">
        <v>1.5</v>
      </c>
      <c r="J432" s="32"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3" t="n">
        <v>3.5</v>
      </c>
      <c r="J433" s="34"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1" t="n">
        <v>6</v>
      </c>
      <c r="J434" s="32"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3" t="n">
        <v>3</v>
      </c>
      <c r="J435" s="34"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1" t="n">
        <v>6</v>
      </c>
      <c r="J436" s="32"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3" t="n">
        <v>3</v>
      </c>
      <c r="J437" s="34"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1" t="n">
        <v>6</v>
      </c>
      <c r="J438" s="32"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3" t="n">
        <v>1.25</v>
      </c>
      <c r="J439" s="34"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1" t="n">
        <v>2.5</v>
      </c>
      <c r="J440" s="32"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3" t="n">
        <v>1</v>
      </c>
      <c r="J441" s="34"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1" t="n">
        <v>2</v>
      </c>
      <c r="J442" s="32"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3" t="n">
        <v>1.75</v>
      </c>
      <c r="J443" s="34"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1" t="n">
        <v>1</v>
      </c>
      <c r="J444" s="32"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3" t="n">
        <v>16</v>
      </c>
      <c r="J445" s="34"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1" t="n">
        <v>13</v>
      </c>
      <c r="J446" s="32"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3" t="n">
        <v>28</v>
      </c>
      <c r="J447" s="34"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1" t="n">
        <v>24</v>
      </c>
      <c r="J448" s="32"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3" t="n">
        <v>3.5</v>
      </c>
      <c r="J449" s="34"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1" t="n">
        <v>6</v>
      </c>
      <c r="J450" s="32"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3" t="n">
        <v>11</v>
      </c>
      <c r="J451" s="34"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1" t="n">
        <v>11</v>
      </c>
      <c r="J452" s="32"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3" t="n">
        <v>0.75</v>
      </c>
      <c r="J453" s="34"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1" t="n">
        <v>1.5</v>
      </c>
      <c r="J454" s="32"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3" t="n">
        <v>0.8100000000000001</v>
      </c>
      <c r="J455" s="34"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1" t="n">
        <v>0.54</v>
      </c>
      <c r="J456" s="32"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3" t="n">
        <v>1</v>
      </c>
      <c r="J457" s="34"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1" t="n">
        <v>0.75</v>
      </c>
      <c r="J458" s="32"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3" t="n">
        <v>0.63</v>
      </c>
      <c r="J459" s="34"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1" t="n">
        <v>0.63</v>
      </c>
      <c r="J460" s="32"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3" t="n">
        <v>0.8</v>
      </c>
      <c r="J461" s="34"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1" t="n">
        <v>0.8</v>
      </c>
      <c r="J462" s="32"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3" t="n">
        <v>0.3</v>
      </c>
      <c r="J463" s="34"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1" t="n">
        <v>0.25</v>
      </c>
      <c r="J464" s="32"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3" t="n">
        <v>0.125</v>
      </c>
      <c r="J465" s="34"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1" t="n">
        <v>0.125</v>
      </c>
      <c r="J466" s="32"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3" t="n">
        <v>3</v>
      </c>
      <c r="J467" s="34"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1" t="n">
        <v>6</v>
      </c>
      <c r="J468" s="32"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3" t="n">
        <v>0.125</v>
      </c>
      <c r="J469" s="34"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1" t="n">
        <v>0.125</v>
      </c>
      <c r="J470" s="32"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3" t="n">
        <v>1.25</v>
      </c>
      <c r="J471" s="34"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1" t="n">
        <v>2.5</v>
      </c>
      <c r="J472" s="32"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3" t="n">
        <v>3</v>
      </c>
      <c r="J473" s="34"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1" t="n">
        <v>6</v>
      </c>
      <c r="J474" s="32"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3" t="n">
        <v>0.1</v>
      </c>
      <c r="J475" s="34"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1" t="n">
        <v>0.2</v>
      </c>
      <c r="J476" s="32"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3" t="n">
        <v>0.04</v>
      </c>
      <c r="J477" s="34"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1" t="n">
        <v>0.04</v>
      </c>
      <c r="J478" s="32"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3" t="n">
        <v>0.04</v>
      </c>
      <c r="J479" s="34"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1" t="n">
        <v>0.005</v>
      </c>
      <c r="J480" s="32"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3" t="n">
        <v>0.01</v>
      </c>
      <c r="J481" s="34"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1" t="n">
        <v>0.002</v>
      </c>
      <c r="J482" s="32"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3" t="n">
        <v>0.002</v>
      </c>
      <c r="J483" s="34"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1" t="n">
        <v>0.002</v>
      </c>
      <c r="J484" s="32"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3" t="n">
        <v>0.034</v>
      </c>
      <c r="J485" s="34"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1" t="n">
        <v>0.0174</v>
      </c>
      <c r="J486" s="32"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3" t="n">
        <v>0.0174</v>
      </c>
      <c r="J487" s="34"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1" t="n">
        <v>0.045</v>
      </c>
      <c r="J488" s="32"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3" t="n">
        <v>0.0018</v>
      </c>
      <c r="J489" s="34"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1" t="n">
        <v>0.003</v>
      </c>
      <c r="J490" s="32"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3" t="n">
        <v>0.006</v>
      </c>
      <c r="J491" s="34"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1" t="n">
        <v>0.0012</v>
      </c>
      <c r="J492" s="32"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3" t="n">
        <v>0.0012</v>
      </c>
      <c r="J493" s="34"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1" t="n">
        <v>0.0012</v>
      </c>
      <c r="J494" s="32"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3" t="n">
        <v>1.11</v>
      </c>
      <c r="J495" s="34"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1" t="n">
        <v>0.099</v>
      </c>
      <c r="J496" s="32"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3" t="n">
        <v>0.198</v>
      </c>
      <c r="J497" s="34"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1" t="n">
        <v>0.0396</v>
      </c>
      <c r="J498" s="32"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3" t="n">
        <v>0.0396</v>
      </c>
      <c r="J499" s="34"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1" t="n">
        <v>0.0396</v>
      </c>
      <c r="J500" s="32"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3" t="n">
        <v>0.018</v>
      </c>
      <c r="J501" s="34"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1" t="n">
        <v>0.016</v>
      </c>
      <c r="J502" s="32"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3" t="n">
        <v>0.0032</v>
      </c>
      <c r="J503" s="34"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1" t="n">
        <v>0.0005999999999999999</v>
      </c>
      <c r="J504" s="32"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3" t="n">
        <v>0.0005999999999999999</v>
      </c>
      <c r="J505" s="34"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1" t="n">
        <v>0.0005999999999999999</v>
      </c>
      <c r="J506" s="32"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3" t="n">
        <v>0.75</v>
      </c>
      <c r="J507" s="34"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1" t="n">
        <v>0.066</v>
      </c>
      <c r="J508" s="32"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3" t="n">
        <v>0.132</v>
      </c>
      <c r="J509" s="34"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1" t="n">
        <v>0.0264</v>
      </c>
      <c r="J510" s="32"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3" t="n">
        <v>0.0264</v>
      </c>
      <c r="J511" s="34"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1" t="n">
        <v>0.0264</v>
      </c>
      <c r="J512" s="32"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3" t="n">
        <v>0.3</v>
      </c>
      <c r="J513" s="34"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1" t="n">
        <v>0.3</v>
      </c>
      <c r="J514" s="32"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3" t="n">
        <v>1.08</v>
      </c>
      <c r="J515" s="34"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1" t="n">
        <v>0.12</v>
      </c>
      <c r="J516" s="32"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3" t="n">
        <v>0.12</v>
      </c>
      <c r="J517" s="34"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1" t="n">
        <v>0.5</v>
      </c>
      <c r="J518" s="32"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3" t="n">
        <v>0.06</v>
      </c>
      <c r="J519" s="34"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1" t="n">
        <v>0.06</v>
      </c>
      <c r="J520" s="32"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3" t="n">
        <v>0.25</v>
      </c>
      <c r="J521" s="34"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1" t="n">
        <v>0.042</v>
      </c>
      <c r="J522" s="32"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3" t="n">
        <v>0.08500000000000001</v>
      </c>
      <c r="J523" s="34"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1" t="n">
        <v>0.017</v>
      </c>
      <c r="J524" s="32"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3" t="n">
        <v>0.017</v>
      </c>
      <c r="J525" s="34"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1" t="n">
        <v>0.017</v>
      </c>
      <c r="J526" s="32"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3" t="n">
        <v>1.225</v>
      </c>
      <c r="J527" s="34"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1" t="n">
        <v>2.45</v>
      </c>
      <c r="J528" s="32"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3" t="n">
        <v>0.49</v>
      </c>
      <c r="J529" s="34"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1" t="n">
        <v>0.49</v>
      </c>
      <c r="J530" s="32"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3" t="n">
        <v>0.49</v>
      </c>
      <c r="J531" s="34"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1" t="n">
        <v>0.25</v>
      </c>
      <c r="J532" s="32"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3" t="n">
        <v>0.25</v>
      </c>
      <c r="J533" s="34"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1" t="n">
        <v>1</v>
      </c>
      <c r="J534" s="32"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3" t="n">
        <v>1</v>
      </c>
      <c r="J535" s="34"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1" t="n">
        <v>1</v>
      </c>
      <c r="J536" s="32"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3" t="n">
        <v>1</v>
      </c>
      <c r="J537" s="34"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1" t="n">
        <v>1</v>
      </c>
      <c r="J538" s="32"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3" t="n">
        <v>1</v>
      </c>
      <c r="J539" s="34"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1" t="n">
        <v>1</v>
      </c>
      <c r="J540" s="32"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3" t="n">
        <v>1</v>
      </c>
      <c r="J541" s="34"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1" t="n">
        <v>0.2</v>
      </c>
      <c r="J542" s="32"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3" t="n">
        <v>1.5</v>
      </c>
      <c r="J543" s="34"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1" t="n">
        <v>1</v>
      </c>
      <c r="J544" s="32"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3" t="n">
        <v>1</v>
      </c>
      <c r="J545" s="34"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1" t="n">
        <v>1</v>
      </c>
      <c r="J546" s="32"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3" t="n">
        <v>1</v>
      </c>
      <c r="J547" s="34"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1" t="n">
        <v>1</v>
      </c>
      <c r="J548" s="32"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3" t="n">
        <v>1</v>
      </c>
      <c r="J549" s="34"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1" t="n">
        <v>1</v>
      </c>
      <c r="J550" s="32"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3" t="n">
        <v>1</v>
      </c>
      <c r="J551" s="34"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1" t="n">
        <v>1</v>
      </c>
      <c r="J552" s="32"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3" t="n">
        <v>1</v>
      </c>
      <c r="J553" s="34"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1" t="n">
        <v>0.2</v>
      </c>
      <c r="J554" s="32"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3" t="n">
        <v>1.5</v>
      </c>
      <c r="J555" s="34"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1" t="n">
        <v>1</v>
      </c>
      <c r="J556" s="32"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3" t="n">
        <v>1</v>
      </c>
      <c r="J557" s="34"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1" t="n">
        <v>0.6</v>
      </c>
      <c r="J558" s="32"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3" t="n">
        <v>0.6</v>
      </c>
      <c r="J559" s="34"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1" t="n">
        <v>0.6</v>
      </c>
      <c r="J560" s="32"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3" t="n">
        <v>0.6</v>
      </c>
      <c r="J561" s="34"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1" t="n">
        <v>0.51</v>
      </c>
      <c r="J562" s="32"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3" t="n">
        <v>0.75</v>
      </c>
      <c r="J563" s="34"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1" t="n">
        <v>0.92</v>
      </c>
      <c r="J564" s="32"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3" t="n">
        <v>0.2</v>
      </c>
      <c r="J565" s="34"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1" t="n">
        <v>0.2</v>
      </c>
      <c r="J566" s="32"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3" t="n">
        <v>0.25</v>
      </c>
      <c r="J567" s="34"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1" t="n">
        <v>0.25</v>
      </c>
      <c r="J568" s="32"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3" t="n">
        <v>2.52</v>
      </c>
      <c r="J569" s="34"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1" t="n">
        <v>2.52</v>
      </c>
      <c r="J570" s="32"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3" t="n">
        <v>8.06</v>
      </c>
      <c r="J571" s="34"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1" t="n">
        <v>2.52</v>
      </c>
      <c r="J572" s="32"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3" t="n">
        <v>2.52</v>
      </c>
      <c r="J573" s="34"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1" t="n">
        <v>8.06</v>
      </c>
      <c r="J574" s="32"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3" t="n">
        <v>0.12</v>
      </c>
      <c r="J575" s="34"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1" t="n">
        <v>0.12</v>
      </c>
      <c r="J576" s="32"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3" t="n">
        <v>0.25</v>
      </c>
      <c r="J577" s="34"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1" t="n">
        <v>0.2</v>
      </c>
      <c r="J578" s="32"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3" t="n">
        <v>0.2</v>
      </c>
      <c r="J579" s="34"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1" t="n">
        <v>0.27</v>
      </c>
      <c r="J580" s="32"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3" t="n">
        <v>0.27</v>
      </c>
      <c r="J581" s="34"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1" t="n">
        <v>0.067</v>
      </c>
      <c r="J582" s="32"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3" t="n">
        <v>0.067</v>
      </c>
      <c r="J583" s="34"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1" t="n">
        <v>0.089</v>
      </c>
      <c r="J584" s="32"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3" t="n">
        <v>0.089</v>
      </c>
      <c r="J585" s="34"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1" t="n">
        <v>0.2</v>
      </c>
      <c r="J586" s="32"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3" t="n">
        <v>0.2</v>
      </c>
      <c r="J587" s="34"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1" t="n">
        <v>0.27</v>
      </c>
      <c r="J588" s="32"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3" t="n">
        <v>0.27</v>
      </c>
      <c r="J589" s="34"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1" t="n">
        <v>0.5</v>
      </c>
      <c r="J590" s="32"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3" t="n">
        <v>0.5</v>
      </c>
      <c r="J591" s="34"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1" t="n">
        <v>1</v>
      </c>
      <c r="J592" s="32"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3" t="n">
        <v>0.375</v>
      </c>
      <c r="J593" s="34"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1" t="n">
        <v>4</v>
      </c>
      <c r="J594" s="32"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3" t="n">
        <v>0.02</v>
      </c>
      <c r="J595" s="34"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1" t="n">
        <v>0.02</v>
      </c>
      <c r="J596" s="32"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3" t="n">
        <v>0.25</v>
      </c>
      <c r="J597" s="34"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1" t="n">
        <v>0.15</v>
      </c>
      <c r="J598" s="32"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3" t="n">
        <v>1</v>
      </c>
      <c r="J599" s="34"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1" t="n">
        <v>1</v>
      </c>
      <c r="J600" s="32"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3" t="n">
        <v>0.17</v>
      </c>
      <c r="J601" s="34"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1" t="n">
        <v>2</v>
      </c>
      <c r="J602" s="32"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3" t="n">
        <v>0.9</v>
      </c>
      <c r="J603" s="34"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1" t="n">
        <v>0.07000000000000001</v>
      </c>
      <c r="J604" s="32"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3" t="n">
        <v>1</v>
      </c>
      <c r="J605" s="34"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1" t="n">
        <v>1</v>
      </c>
      <c r="J606" s="32"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3" t="n">
        <v>0.17</v>
      </c>
      <c r="J607" s="34"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1" t="n">
        <v>2</v>
      </c>
      <c r="J608" s="32"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3" t="n">
        <v>0.9</v>
      </c>
      <c r="J609" s="34"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1" t="n">
        <v>0.07000000000000001</v>
      </c>
      <c r="J610" s="32"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3" t="n">
        <v>1.88</v>
      </c>
      <c r="J611" s="34"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1" t="n">
        <v>1</v>
      </c>
      <c r="J612" s="32"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3" t="n">
        <v>6</v>
      </c>
      <c r="J613" s="34"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1" t="n">
        <v>1</v>
      </c>
      <c r="J614" s="32"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3" t="n">
        <v>10</v>
      </c>
      <c r="J615" s="34"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1" t="n">
        <v>1</v>
      </c>
      <c r="J616" s="32"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3" t="n">
        <v>0.17</v>
      </c>
      <c r="J617" s="34"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1" t="n">
        <v>2</v>
      </c>
      <c r="J618" s="32"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3" t="n">
        <v>0.9</v>
      </c>
      <c r="J619" s="34"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1" t="n">
        <v>0.07000000000000001</v>
      </c>
      <c r="J620" s="32"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3" t="n">
        <v>1</v>
      </c>
      <c r="J621" s="34"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1" t="n">
        <v>10</v>
      </c>
      <c r="J622" s="32"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3" t="n">
        <v>1</v>
      </c>
      <c r="J623" s="34"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1" t="n">
        <v>0.17</v>
      </c>
      <c r="J624" s="32"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3" t="n">
        <v>2</v>
      </c>
      <c r="J625" s="34"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1" t="n">
        <v>0.9</v>
      </c>
      <c r="J626" s="32"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3" t="n">
        <v>0.07000000000000001</v>
      </c>
      <c r="J627" s="34"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1" t="n">
        <v>1.88</v>
      </c>
      <c r="J628" s="32"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3" t="n">
        <v>1</v>
      </c>
      <c r="J629" s="34"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1" t="n">
        <v>1</v>
      </c>
      <c r="J630" s="32"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3" t="n">
        <v>10</v>
      </c>
      <c r="J631" s="34"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1" t="n">
        <v>1</v>
      </c>
      <c r="J632" s="32"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3" t="n">
        <v>0.17</v>
      </c>
      <c r="J633" s="34"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1" t="n">
        <v>2</v>
      </c>
      <c r="J634" s="32"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3" t="n">
        <v>0.9</v>
      </c>
      <c r="J635" s="34"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1" t="n">
        <v>0.07000000000000001</v>
      </c>
      <c r="J636" s="32"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3" t="n">
        <v>1</v>
      </c>
      <c r="J637" s="34"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1" t="n">
        <v>10</v>
      </c>
      <c r="J638" s="32"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3" t="n">
        <v>1</v>
      </c>
      <c r="J639" s="34"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1" t="n">
        <v>0.17</v>
      </c>
      <c r="J640" s="32"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3" t="n">
        <v>2</v>
      </c>
      <c r="J641" s="34"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1" t="n">
        <v>0.9</v>
      </c>
      <c r="J642" s="32"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3" t="n">
        <v>0.07000000000000001</v>
      </c>
      <c r="J643" s="34"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1" t="n">
        <v>1.88</v>
      </c>
      <c r="J644" s="32"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3" t="n">
        <v>0.33</v>
      </c>
      <c r="J645" s="34"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1" t="n">
        <v>0.17</v>
      </c>
      <c r="J646" s="32"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3" t="n">
        <v>0.067</v>
      </c>
      <c r="J647" s="34"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1" t="n">
        <v>0.067</v>
      </c>
      <c r="J648" s="32"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3" t="n">
        <v>0.067</v>
      </c>
      <c r="J649" s="34"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1" t="n">
        <v>0.067</v>
      </c>
      <c r="J650" s="32"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3" t="n">
        <v>0.05</v>
      </c>
      <c r="J651" s="34"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1" t="n">
        <v>0.1</v>
      </c>
      <c r="J652" s="32"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3" t="n">
        <v>0.15</v>
      </c>
      <c r="J653" s="34"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1" t="n">
        <v>0.05</v>
      </c>
      <c r="J654" s="32"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3" t="n">
        <v>0.1</v>
      </c>
      <c r="J655" s="34"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1" t="n">
        <v>0.15</v>
      </c>
      <c r="J656" s="32"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3" t="n">
        <v>0.05</v>
      </c>
      <c r="J657" s="34"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1" t="n">
        <v>0.1</v>
      </c>
      <c r="J658" s="32"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3" t="n">
        <v>0.15</v>
      </c>
      <c r="J659" s="34"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1" t="n">
        <v>0.05</v>
      </c>
      <c r="J660" s="32"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3" t="n">
        <v>0.1</v>
      </c>
      <c r="J661" s="34"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1" t="n">
        <v>0.15</v>
      </c>
      <c r="J662" s="32"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3" t="n">
        <v>0.05</v>
      </c>
      <c r="J663" s="34"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1" t="n">
        <v>0.1</v>
      </c>
      <c r="J664" s="32"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3" t="n">
        <v>0.15</v>
      </c>
      <c r="J665" s="34"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1" t="n">
        <v>0.05</v>
      </c>
      <c r="J666" s="32"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3" t="n">
        <v>0.1</v>
      </c>
      <c r="J667" s="34"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1" t="n">
        <v>0.15</v>
      </c>
      <c r="J668" s="32"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3" t="n">
        <v>0.05</v>
      </c>
      <c r="J669" s="34"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1" t="n">
        <v>0.1</v>
      </c>
      <c r="J670" s="32"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3" t="n">
        <v>0.15</v>
      </c>
      <c r="J671" s="34"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1" t="n">
        <v>0.05</v>
      </c>
      <c r="J672" s="32"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3" t="n">
        <v>0.1</v>
      </c>
      <c r="J673" s="34"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1" t="n">
        <v>0.15</v>
      </c>
      <c r="J674" s="32"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3" t="n">
        <v>0.05</v>
      </c>
      <c r="J675" s="34"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1" t="n">
        <v>0.1</v>
      </c>
      <c r="J676" s="32"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3" t="n">
        <v>0.15</v>
      </c>
      <c r="J677" s="34"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1" t="n">
        <v>0.9399999999999999</v>
      </c>
      <c r="J678" s="32"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3" t="n">
        <v>3.5</v>
      </c>
      <c r="J679" s="34"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1" t="n">
        <v>20</v>
      </c>
      <c r="J680" s="32"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3" t="n">
        <v>1.6</v>
      </c>
      <c r="J681" s="34"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1" t="n">
        <v>1.6</v>
      </c>
      <c r="J682" s="32"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3" t="n">
        <v>1.6</v>
      </c>
      <c r="J683" s="34"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1" t="n">
        <v>1200</v>
      </c>
      <c r="J684" s="32"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3" t="n">
        <v>120</v>
      </c>
      <c r="J685" s="34"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1" t="n">
        <v>0.9399999999999999</v>
      </c>
      <c r="J686" s="32"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3" t="n">
        <v>3.5</v>
      </c>
      <c r="J687" s="34"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1" t="n">
        <v>20</v>
      </c>
      <c r="J688" s="32"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3" t="n">
        <v>1.6</v>
      </c>
      <c r="J689" s="34"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1" t="n">
        <v>1.6</v>
      </c>
      <c r="J690" s="32"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3" t="n">
        <v>1.6</v>
      </c>
      <c r="J691" s="34"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1" t="n">
        <v>1200</v>
      </c>
      <c r="J692" s="32"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3" t="n">
        <v>120</v>
      </c>
      <c r="J693" s="34"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1" t="n">
        <v>0.84</v>
      </c>
      <c r="J694" s="32"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3" t="n">
        <v>3</v>
      </c>
      <c r="J695" s="34"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1" t="n">
        <v>18</v>
      </c>
      <c r="J696" s="32"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3" t="n">
        <v>1.6</v>
      </c>
      <c r="J697" s="34"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1" t="n">
        <v>1.6</v>
      </c>
      <c r="J698" s="32"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3" t="n">
        <v>1.6</v>
      </c>
      <c r="J699" s="34"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1" t="n">
        <v>1200</v>
      </c>
      <c r="J700" s="32"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3" t="n">
        <v>120</v>
      </c>
      <c r="J701" s="34"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1" t="n">
        <v>240</v>
      </c>
      <c r="J702" s="32"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3" t="n">
        <v>1</v>
      </c>
      <c r="J703" s="34"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1" t="n">
        <v>2</v>
      </c>
      <c r="J704" s="32"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3" t="n">
        <v>0.36</v>
      </c>
      <c r="J705" s="34"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1" t="n">
        <v>0.36</v>
      </c>
      <c r="J706" s="32"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3" t="n">
        <v>1.37</v>
      </c>
      <c r="J707" s="34"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1" t="n">
        <v>0.2</v>
      </c>
      <c r="J708" s="32"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3" t="n">
        <v>0.36</v>
      </c>
      <c r="J709" s="34"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1" t="n">
        <v>0.36</v>
      </c>
      <c r="J710" s="32"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3" t="n">
        <v>1.37</v>
      </c>
      <c r="J711" s="34"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1" t="n">
        <v>0.2</v>
      </c>
      <c r="J712" s="32"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3" t="n">
        <v>0.33</v>
      </c>
      <c r="J713" s="34"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1" t="n">
        <v>0.33</v>
      </c>
      <c r="J714" s="32"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3" t="n">
        <v>1</v>
      </c>
      <c r="J715" s="34"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1" t="n">
        <v>0.18</v>
      </c>
      <c r="J716" s="32"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3" t="n">
        <v>0.33</v>
      </c>
      <c r="J717" s="34"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1" t="n">
        <v>0.33</v>
      </c>
      <c r="J718" s="32"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3" t="n">
        <v>1</v>
      </c>
      <c r="J719" s="34"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1" t="n">
        <v>0.18</v>
      </c>
      <c r="J720" s="32"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3" t="n">
        <v>0.47</v>
      </c>
      <c r="J721" s="34"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1" t="n">
        <v>0.47</v>
      </c>
      <c r="J722" s="32"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3" t="n">
        <v>1.8</v>
      </c>
      <c r="J723" s="34"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1" t="n">
        <v>0.2</v>
      </c>
      <c r="J724" s="32"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3" t="n">
        <v>1.13</v>
      </c>
      <c r="J725" s="34"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1" t="n">
        <v>0.44</v>
      </c>
      <c r="J726" s="32"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3" t="n">
        <v>0.44</v>
      </c>
      <c r="J727" s="34"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1" t="n">
        <v>1.43</v>
      </c>
      <c r="J728" s="32"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3" t="n">
        <v>0.18</v>
      </c>
      <c r="J729" s="34"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1" t="n">
        <v>1.13</v>
      </c>
      <c r="J730" s="32"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3" t="n">
        <v>0.47</v>
      </c>
      <c r="J731" s="34"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1" t="n">
        <v>0.47</v>
      </c>
      <c r="J732" s="32"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3" t="n">
        <v>1.8</v>
      </c>
      <c r="J733" s="34"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1" t="n">
        <v>0.2</v>
      </c>
      <c r="J734" s="32"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3" t="n">
        <v>1.13</v>
      </c>
      <c r="J735" s="34"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1" t="n">
        <v>0.47</v>
      </c>
      <c r="J736" s="32"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3" t="n">
        <v>0.47</v>
      </c>
      <c r="J737" s="34"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1" t="n">
        <v>1.8</v>
      </c>
      <c r="J738" s="32"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3" t="n">
        <v>0.2</v>
      </c>
      <c r="J739" s="34"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1" t="n">
        <v>1.13</v>
      </c>
      <c r="J740" s="32"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3" t="n">
        <v>0.125</v>
      </c>
      <c r="J741" s="34"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1" t="n">
        <v>0.37</v>
      </c>
      <c r="J742" s="32"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3" t="n">
        <v>0.37</v>
      </c>
      <c r="J743" s="34"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1" t="n">
        <v>0.92</v>
      </c>
      <c r="J744" s="32"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3" t="n">
        <v>0.12</v>
      </c>
      <c r="J745" s="34"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1" t="n">
        <v>0.12</v>
      </c>
      <c r="J746" s="32"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3" t="n">
        <v>0.06</v>
      </c>
      <c r="J747" s="34"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1" t="n">
        <v>0.72</v>
      </c>
      <c r="J748" s="32"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3" t="n">
        <v>0.72</v>
      </c>
      <c r="J749" s="34"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1" t="n">
        <v>1.76</v>
      </c>
      <c r="J750" s="32"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3" t="n">
        <v>0.36</v>
      </c>
      <c r="J751" s="34"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1" t="n">
        <v>1.29</v>
      </c>
      <c r="J752" s="32"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3" t="n">
        <v>0.53</v>
      </c>
      <c r="J753" s="34"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1" t="n">
        <v>0.53</v>
      </c>
      <c r="J754" s="32"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3" t="n">
        <v>2.29</v>
      </c>
      <c r="J755" s="34"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1" t="n">
        <v>0.2</v>
      </c>
      <c r="J756" s="32"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3" t="n">
        <v>1.13</v>
      </c>
      <c r="J757" s="34"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1" t="n">
        <v>1.13</v>
      </c>
      <c r="J758" s="32"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3" t="n">
        <v>1.13</v>
      </c>
      <c r="J759" s="34"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1" t="n">
        <v>4.42</v>
      </c>
      <c r="J760" s="32"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3" t="n">
        <v>0.2</v>
      </c>
      <c r="J761" s="34"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1" t="n">
        <v>1.13</v>
      </c>
      <c r="J762" s="32"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3" t="n">
        <v>28</v>
      </c>
      <c r="J763" s="34"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1" t="n">
        <v>24</v>
      </c>
      <c r="J764" s="32"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3" t="n">
        <v>0.45</v>
      </c>
      <c r="J765" s="34"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1" t="n">
        <v>0.45</v>
      </c>
      <c r="J766" s="32"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3" t="n">
        <v>1.55</v>
      </c>
      <c r="J767" s="34"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1" t="n">
        <v>0.7</v>
      </c>
      <c r="J768" s="32"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3" t="n">
        <v>0.45</v>
      </c>
      <c r="J769" s="34"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1" t="n">
        <v>0.45</v>
      </c>
      <c r="J770" s="32"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3" t="n">
        <v>1.55</v>
      </c>
      <c r="J771" s="34"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1" t="n">
        <v>0.7</v>
      </c>
      <c r="J772" s="32"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3" t="n">
        <v>0.6</v>
      </c>
      <c r="J773" s="34"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1" t="n">
        <v>0.6</v>
      </c>
      <c r="J774" s="32"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3" t="n">
        <v>2</v>
      </c>
      <c r="J775" s="34"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1" t="n">
        <v>0.7</v>
      </c>
      <c r="J776" s="32"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3" t="n">
        <v>1.29</v>
      </c>
      <c r="J777" s="34"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1" t="n">
        <v>0.6</v>
      </c>
      <c r="J778" s="32"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3" t="n">
        <v>0.6</v>
      </c>
      <c r="J779" s="34"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1" t="n">
        <v>2</v>
      </c>
      <c r="J780" s="32"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3" t="n">
        <v>0.7</v>
      </c>
      <c r="J781" s="34"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1" t="n">
        <v>1.29</v>
      </c>
      <c r="J782" s="32"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3" t="n">
        <v>0.125</v>
      </c>
      <c r="J783" s="34"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1" t="n">
        <v>0.7</v>
      </c>
      <c r="J784" s="32"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3" t="n">
        <v>0.7</v>
      </c>
      <c r="J785" s="34"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1" t="n">
        <v>1.54</v>
      </c>
      <c r="J786" s="32"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3" t="n">
        <v>0.2</v>
      </c>
      <c r="J787" s="34"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1" t="n">
        <v>0.7</v>
      </c>
      <c r="J788" s="32"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3" t="n">
        <v>0.7</v>
      </c>
      <c r="J789" s="34"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1" t="n">
        <v>1.54</v>
      </c>
      <c r="J790" s="32"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3" t="n">
        <v>0.2</v>
      </c>
      <c r="J791" s="34"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1" t="n">
        <v>0.7</v>
      </c>
      <c r="J792" s="32"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3" t="n">
        <v>0.7</v>
      </c>
      <c r="J793" s="34"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1" t="n">
        <v>1.54</v>
      </c>
      <c r="J794" s="32"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3" t="n">
        <v>0.2</v>
      </c>
      <c r="J795" s="34"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1" t="n">
        <v>0.9</v>
      </c>
      <c r="J796" s="32"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3" t="n">
        <v>0.9</v>
      </c>
      <c r="J797" s="34"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1" t="n">
        <v>1.8</v>
      </c>
      <c r="J798" s="32"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3" t="n">
        <v>0.2</v>
      </c>
      <c r="J799" s="34"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1" t="n">
        <v>1.13</v>
      </c>
      <c r="J800" s="32"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3" t="n">
        <v>0.79</v>
      </c>
      <c r="J801" s="34"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1" t="n">
        <v>0.79</v>
      </c>
      <c r="J802" s="32"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3" t="n">
        <v>3.21</v>
      </c>
      <c r="J803" s="34"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1" t="n">
        <v>0.2</v>
      </c>
      <c r="J804" s="32"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3" t="n">
        <v>1.13</v>
      </c>
      <c r="J805" s="34"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1" t="n">
        <v>1.5</v>
      </c>
      <c r="J806" s="32"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3" t="n">
        <v>1.5</v>
      </c>
      <c r="J807" s="34"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1" t="n">
        <v>5.33</v>
      </c>
      <c r="J808" s="32"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3" t="n">
        <v>0.2</v>
      </c>
      <c r="J809" s="34"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1" t="n">
        <v>1.13</v>
      </c>
      <c r="J810" s="32"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3" t="n">
        <v>0.9399999999999999</v>
      </c>
      <c r="J811" s="34"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1" t="n">
        <v>0.9399999999999999</v>
      </c>
      <c r="J812" s="32"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3" t="n">
        <v>1.88</v>
      </c>
      <c r="J813" s="34"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1" t="n">
        <v>0.33</v>
      </c>
      <c r="J814" s="32"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3" t="n">
        <v>1.29</v>
      </c>
      <c r="J815" s="34"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1" t="n">
        <v>0.375</v>
      </c>
      <c r="J816" s="32"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3" t="n">
        <v>4</v>
      </c>
      <c r="J817" s="34"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1" t="n">
        <v>0.02</v>
      </c>
      <c r="J818" s="32"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3" t="n">
        <v>0.02</v>
      </c>
      <c r="J819" s="34"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1" t="n">
        <v>0.25</v>
      </c>
      <c r="J820" s="32"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3" t="n">
        <v>0.15</v>
      </c>
      <c r="J821" s="34"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1" t="n">
        <v>0.5</v>
      </c>
      <c r="J822" s="32"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3" t="n">
        <v>0.35</v>
      </c>
      <c r="J823" s="34"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1" t="n">
        <v>0.35</v>
      </c>
      <c r="J824" s="32"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3" t="n">
        <v>1.07</v>
      </c>
      <c r="J825" s="34"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1" t="n">
        <v>0.2</v>
      </c>
      <c r="J826" s="32"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3" t="n">
        <v>0.5</v>
      </c>
      <c r="J827" s="34"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1" t="n">
        <v>0.46</v>
      </c>
      <c r="J828" s="32"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3" t="n">
        <v>0.46</v>
      </c>
      <c r="J829" s="34"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1" t="n">
        <v>1.6</v>
      </c>
      <c r="J830" s="32"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3" t="n">
        <v>0.2</v>
      </c>
      <c r="J831" s="34"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1" t="n">
        <v>1.13</v>
      </c>
      <c r="J832" s="32"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3" t="n">
        <v>0.33</v>
      </c>
      <c r="J833" s="34"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1" t="n">
        <v>0.33</v>
      </c>
      <c r="J834" s="32"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3" t="n">
        <v>1</v>
      </c>
      <c r="J835" s="34"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1" t="n">
        <v>0.18</v>
      </c>
      <c r="J836" s="32"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3" t="n">
        <v>0.44</v>
      </c>
      <c r="J837" s="34"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1" t="n">
        <v>0.44</v>
      </c>
      <c r="J838" s="32"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3" t="n">
        <v>1.43</v>
      </c>
      <c r="J839" s="34"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1" t="n">
        <v>0.18</v>
      </c>
      <c r="J840" s="32"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3" t="n">
        <v>1.13</v>
      </c>
      <c r="J841" s="34"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1" t="n">
        <v>0.33</v>
      </c>
      <c r="J842" s="32"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3" t="n">
        <v>0.33</v>
      </c>
      <c r="J843" s="34"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1" t="n">
        <v>1</v>
      </c>
      <c r="J844" s="32"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3" t="n">
        <v>0.18</v>
      </c>
      <c r="J845" s="34"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1" t="n">
        <v>0.44</v>
      </c>
      <c r="J846" s="32"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3" t="n">
        <v>0.44</v>
      </c>
      <c r="J847" s="34"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1" t="n">
        <v>1.43</v>
      </c>
      <c r="J848" s="32"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3" t="n">
        <v>0.18</v>
      </c>
      <c r="J849" s="34"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1" t="n">
        <v>1.13</v>
      </c>
      <c r="J850" s="32"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3" t="n">
        <v>0.36</v>
      </c>
      <c r="J851" s="34"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1" t="n">
        <v>0.36</v>
      </c>
      <c r="J852" s="32"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3" t="n">
        <v>1.37</v>
      </c>
      <c r="J853" s="34"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1" t="n">
        <v>0.2</v>
      </c>
      <c r="J854" s="32"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3" t="n">
        <v>0.44</v>
      </c>
      <c r="J855" s="34"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1" t="n">
        <v>0.44</v>
      </c>
      <c r="J856" s="32"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3" t="n">
        <v>1.8</v>
      </c>
      <c r="J857" s="34"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1" t="n">
        <v>0.2</v>
      </c>
      <c r="J858" s="32"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3" t="n">
        <v>1.13</v>
      </c>
      <c r="J859" s="34"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1" t="n">
        <v>0.36</v>
      </c>
      <c r="J860" s="32"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3" t="n">
        <v>0.36</v>
      </c>
      <c r="J861" s="34"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1" t="n">
        <v>1.37</v>
      </c>
      <c r="J862" s="32"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3" t="n">
        <v>0.2</v>
      </c>
      <c r="J863" s="34"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1" t="n">
        <v>0.47</v>
      </c>
      <c r="J864" s="32"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3" t="n">
        <v>0.47</v>
      </c>
      <c r="J865" s="34"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1" t="n">
        <v>1.8</v>
      </c>
      <c r="J866" s="32"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3" t="n">
        <v>0.2</v>
      </c>
      <c r="J867" s="34"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1" t="n">
        <v>1.13</v>
      </c>
      <c r="J868" s="32"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3" t="n">
        <v>0.33</v>
      </c>
      <c r="J869" s="34"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1" t="n">
        <v>0.33</v>
      </c>
      <c r="J870" s="32"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3" t="n">
        <v>1</v>
      </c>
      <c r="J871" s="34"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1" t="n">
        <v>0.18</v>
      </c>
      <c r="J872" s="32"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3" t="n">
        <v>0.44</v>
      </c>
      <c r="J873" s="34"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1" t="n">
        <v>0.44</v>
      </c>
      <c r="J874" s="32"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3" t="n">
        <v>1.43</v>
      </c>
      <c r="J875" s="34"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1" t="n">
        <v>0.18</v>
      </c>
      <c r="J876" s="32"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3" t="n">
        <v>1.13</v>
      </c>
      <c r="J877" s="34"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1" t="n">
        <v>0.47</v>
      </c>
      <c r="J878" s="32"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3" t="n">
        <v>0.47</v>
      </c>
      <c r="J879" s="34"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1" t="n">
        <v>1.8</v>
      </c>
      <c r="J880" s="32"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3" t="n">
        <v>0.2</v>
      </c>
      <c r="J881" s="34"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1" t="n">
        <v>1.13</v>
      </c>
      <c r="J882" s="32"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3" t="n">
        <v>0.47</v>
      </c>
      <c r="J883" s="34"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1" t="n">
        <v>0.47</v>
      </c>
      <c r="J884" s="32"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3" t="n">
        <v>1.8</v>
      </c>
      <c r="J885" s="34"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1" t="n">
        <v>0.2</v>
      </c>
      <c r="J886" s="32"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3" t="n">
        <v>1.13</v>
      </c>
      <c r="J887" s="34"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1" t="n">
        <v>0.47</v>
      </c>
      <c r="J888" s="32"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3" t="n">
        <v>0.47</v>
      </c>
      <c r="J889" s="34"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1" t="n">
        <v>1.8</v>
      </c>
      <c r="J890" s="32"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3" t="n">
        <v>0.2</v>
      </c>
      <c r="J891" s="34"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1" t="n">
        <v>1.13</v>
      </c>
      <c r="J892" s="32"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3" t="n">
        <v>0.47</v>
      </c>
      <c r="J893" s="34"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1" t="n">
        <v>0.47</v>
      </c>
      <c r="J894" s="32"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3" t="n">
        <v>1.8</v>
      </c>
      <c r="J895" s="34"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1" t="n">
        <v>0.2</v>
      </c>
      <c r="J896" s="32"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3" t="n">
        <v>1.13</v>
      </c>
      <c r="J897" s="34"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1" t="n">
        <v>0.47</v>
      </c>
      <c r="J898" s="32"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3" t="n">
        <v>0.47</v>
      </c>
      <c r="J899" s="34"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1" t="n">
        <v>1.8</v>
      </c>
      <c r="J900" s="32"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3" t="n">
        <v>0.2</v>
      </c>
      <c r="J901" s="34"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1" t="n">
        <v>1.13</v>
      </c>
      <c r="J902" s="32"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3" t="n">
        <v>0.47</v>
      </c>
      <c r="J903" s="34"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1" t="n">
        <v>0.47</v>
      </c>
      <c r="J904" s="32"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3" t="n">
        <v>1.8</v>
      </c>
      <c r="J905" s="34"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1" t="n">
        <v>0.2</v>
      </c>
      <c r="J906" s="32"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3" t="n">
        <v>1.13</v>
      </c>
      <c r="J907" s="34"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1" t="n">
        <v>0.33</v>
      </c>
      <c r="J908" s="32"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3" t="n">
        <v>0.33</v>
      </c>
      <c r="J909" s="34"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1" t="n">
        <v>1</v>
      </c>
      <c r="J910" s="32"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3" t="n">
        <v>0.18</v>
      </c>
      <c r="J911" s="34"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1" t="n">
        <v>0.42</v>
      </c>
      <c r="J912" s="32"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3" t="n">
        <v>0.42</v>
      </c>
      <c r="J913" s="34"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1" t="n">
        <v>1.86</v>
      </c>
      <c r="J914" s="32"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3" t="n">
        <v>0.2</v>
      </c>
      <c r="J915" s="34"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1" t="n">
        <v>0.36</v>
      </c>
      <c r="J916" s="32"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3" t="n">
        <v>0.36</v>
      </c>
      <c r="J917" s="34"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1" t="n">
        <v>1.37</v>
      </c>
      <c r="J918" s="32"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3" t="n">
        <v>0.2</v>
      </c>
      <c r="J919" s="34"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1" t="n">
        <v>1.13</v>
      </c>
      <c r="J920" s="32"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3" t="n">
        <v>0.5</v>
      </c>
      <c r="J921" s="34"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1" t="n">
        <v>1</v>
      </c>
      <c r="J922" s="32"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3" t="n">
        <v>1.73</v>
      </c>
      <c r="J923" s="34"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1" t="n">
        <v>0.1</v>
      </c>
      <c r="J924" s="32"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3" t="n">
        <v>0.1</v>
      </c>
      <c r="J925" s="34"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1" t="n">
        <v>0.03</v>
      </c>
      <c r="J926" s="32"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3" t="n">
        <v>0.6</v>
      </c>
      <c r="J927" s="34"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1" t="n">
        <v>0.6</v>
      </c>
      <c r="J928" s="32"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3" t="n">
        <v>2</v>
      </c>
      <c r="J929" s="34"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1" t="n">
        <v>0.7</v>
      </c>
      <c r="J930" s="32"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3" t="n">
        <v>1.29</v>
      </c>
      <c r="J931" s="34"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1" t="n">
        <v>0.6</v>
      </c>
      <c r="J932" s="32"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3" t="n">
        <v>0.6</v>
      </c>
      <c r="J933" s="34"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1" t="n">
        <v>2</v>
      </c>
      <c r="J934" s="32"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3" t="n">
        <v>0.7</v>
      </c>
      <c r="J935" s="34"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1" t="n">
        <v>1.29</v>
      </c>
      <c r="J936" s="32"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3" t="n">
        <v>0.36</v>
      </c>
      <c r="J937" s="34"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1" t="n">
        <v>0.36</v>
      </c>
      <c r="J938" s="32"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3" t="n">
        <v>1.37</v>
      </c>
      <c r="J939" s="34"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1" t="n">
        <v>1.13</v>
      </c>
      <c r="J940" s="32"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3" t="n">
        <v>1.07</v>
      </c>
      <c r="J941" s="34"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1" t="n">
        <v>1.07</v>
      </c>
      <c r="J942" s="32"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3" t="n">
        <v>0.71</v>
      </c>
      <c r="J943" s="34"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1" t="n">
        <v>0.09</v>
      </c>
      <c r="J944" s="32"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3" t="n">
        <v>1.34</v>
      </c>
      <c r="J945" s="34"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1" t="n">
        <v>1.45</v>
      </c>
      <c r="J946" s="32"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3" t="n">
        <v>0.71</v>
      </c>
      <c r="J947" s="34"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1" t="n">
        <v>0.09</v>
      </c>
      <c r="J948" s="32"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3" t="n">
        <v>1.13</v>
      </c>
      <c r="J949" s="34"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1" t="n">
        <v>0.58</v>
      </c>
      <c r="J950" s="32"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3" t="n">
        <v>0.27</v>
      </c>
      <c r="J951" s="34"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1" t="n">
        <v>1.42</v>
      </c>
      <c r="J952" s="32"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3" t="n">
        <v>0.35</v>
      </c>
      <c r="J953" s="34"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1" t="n">
        <v>0.27</v>
      </c>
      <c r="J954" s="32"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3" t="n">
        <v>0.53</v>
      </c>
      <c r="J955" s="34"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1" t="n">
        <v>2.12</v>
      </c>
      <c r="J956" s="32"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3" t="n">
        <v>1.24</v>
      </c>
      <c r="J957" s="34"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1" t="n">
        <v>0.71</v>
      </c>
      <c r="J958" s="32"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3" t="n">
        <v>0.09</v>
      </c>
      <c r="J959" s="34"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1" t="n">
        <v>1.76</v>
      </c>
      <c r="J960" s="32"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3" t="n">
        <v>1.24</v>
      </c>
      <c r="J961" s="34"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1" t="n">
        <v>0.71</v>
      </c>
      <c r="J962" s="32"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3" t="n">
        <v>0.09</v>
      </c>
      <c r="J963" s="34"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1" t="n">
        <v>2.38</v>
      </c>
      <c r="J964" s="32"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3" t="n">
        <v>1.59</v>
      </c>
      <c r="J965" s="34"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1" t="n">
        <v>0.71</v>
      </c>
      <c r="J966" s="32"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3" t="n">
        <v>0.09</v>
      </c>
      <c r="J967" s="34"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1" t="n">
        <v>1.13</v>
      </c>
      <c r="J968" s="32"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3" t="n">
        <v>2.02</v>
      </c>
      <c r="J969" s="34"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1" t="n">
        <v>1.59</v>
      </c>
      <c r="J970" s="32"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3" t="n">
        <v>0.71</v>
      </c>
      <c r="J971" s="34"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1" t="n">
        <v>0.09</v>
      </c>
      <c r="J972" s="32"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3" t="n">
        <v>1.13</v>
      </c>
      <c r="J973" s="34"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1" t="n">
        <v>0.67</v>
      </c>
      <c r="J974" s="32"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3" t="n">
        <v>0.27</v>
      </c>
      <c r="J975" s="34"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1" t="n">
        <v>1.67</v>
      </c>
      <c r="J976" s="32"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3" t="n">
        <v>0.35</v>
      </c>
      <c r="J977" s="34"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1" t="n">
        <v>0.33</v>
      </c>
      <c r="J978" s="32"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3" t="n">
        <v>0.53</v>
      </c>
      <c r="J979" s="34"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1" t="n">
        <v>0.015</v>
      </c>
      <c r="J980" s="32"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3" t="n">
        <v>0.08799999999999999</v>
      </c>
      <c r="J981" s="34"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1" t="n">
        <v>0.006</v>
      </c>
      <c r="J982" s="32"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3" t="n">
        <v>0.044</v>
      </c>
      <c r="J983" s="34"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1" t="n">
        <v>0.022</v>
      </c>
      <c r="J984" s="32"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3" t="n">
        <v>0.044</v>
      </c>
      <c r="J985" s="34"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1" t="n">
        <v>0.044</v>
      </c>
      <c r="J986" s="32"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3" t="n">
        <v>0.006</v>
      </c>
      <c r="J987" s="34"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1" t="n">
        <v>0.022</v>
      </c>
      <c r="J988" s="32"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3" t="n">
        <v>0.022</v>
      </c>
      <c r="J989" s="34"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1" t="n">
        <v>0.022</v>
      </c>
      <c r="J990" s="32"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3" t="n">
        <v>0.022</v>
      </c>
      <c r="J991" s="34"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1" t="n">
        <v>0.015</v>
      </c>
      <c r="J992" s="32"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3" t="n">
        <v>0.08799999999999999</v>
      </c>
      <c r="J993" s="34"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1" t="n">
        <v>0.006</v>
      </c>
      <c r="J994" s="32"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3" t="n">
        <v>0.044</v>
      </c>
      <c r="J995" s="34"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1" t="n">
        <v>0.022</v>
      </c>
      <c r="J996" s="32"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3" t="n">
        <v>0.044</v>
      </c>
      <c r="J997" s="34"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1" t="n">
        <v>0.044</v>
      </c>
      <c r="J998" s="32"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3" t="n">
        <v>0.006</v>
      </c>
      <c r="J999" s="34"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1" t="n">
        <v>0.022</v>
      </c>
      <c r="J1000" s="32"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3" t="n">
        <v>0.022</v>
      </c>
      <c r="J1001" s="34"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1" t="n">
        <v>0.022</v>
      </c>
      <c r="J1002" s="32"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3" t="n">
        <v>0.022</v>
      </c>
      <c r="J1003" s="34"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1" t="n">
        <v>0.015</v>
      </c>
      <c r="J1004" s="32"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3" t="n">
        <v>0.176</v>
      </c>
      <c r="J1005" s="34"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1" t="n">
        <v>0.012</v>
      </c>
      <c r="J1006" s="32"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3" t="n">
        <v>0.08799999999999999</v>
      </c>
      <c r="J1007" s="34"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1" t="n">
        <v>0.044</v>
      </c>
      <c r="J1008" s="32"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3" t="n">
        <v>0.08799999999999999</v>
      </c>
      <c r="J1009" s="34"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1" t="n">
        <v>0.044</v>
      </c>
      <c r="J1010" s="32"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3" t="n">
        <v>0.006</v>
      </c>
      <c r="J1011" s="34"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1" t="n">
        <v>0.022</v>
      </c>
      <c r="J1012" s="32"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3" t="n">
        <v>0.022</v>
      </c>
      <c r="J1013" s="34"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1" t="n">
        <v>0.022</v>
      </c>
      <c r="J1014" s="32"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3" t="n">
        <v>0.022</v>
      </c>
      <c r="J1015" s="34"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1" t="n">
        <v>0.015</v>
      </c>
      <c r="J1016" s="32"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3" t="n">
        <v>0.176</v>
      </c>
      <c r="J1017" s="34"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1" t="n">
        <v>0.012</v>
      </c>
      <c r="J1018" s="32"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3" t="n">
        <v>0.08799999999999999</v>
      </c>
      <c r="J1019" s="34"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1" t="n">
        <v>0.044</v>
      </c>
      <c r="J1020" s="32"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3" t="n">
        <v>0.08799999999999999</v>
      </c>
      <c r="J1021" s="34"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1" t="n">
        <v>0.044</v>
      </c>
      <c r="J1022" s="32"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3" t="n">
        <v>0.006</v>
      </c>
      <c r="J1023" s="34"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1" t="n">
        <v>0.022</v>
      </c>
      <c r="J1024" s="32"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3" t="n">
        <v>0.022</v>
      </c>
      <c r="J1025" s="34"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1" t="n">
        <v>0.022</v>
      </c>
      <c r="J1026" s="32"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3" t="n">
        <v>0.022</v>
      </c>
      <c r="J1027" s="34"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1" t="n">
        <v>0.08799999999999999</v>
      </c>
      <c r="J1028" s="32"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3" t="n">
        <v>0.006</v>
      </c>
      <c r="J1029" s="34"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1" t="n">
        <v>0.044</v>
      </c>
      <c r="J1030" s="32"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3" t="n">
        <v>0.022</v>
      </c>
      <c r="J1031" s="34"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1" t="n">
        <v>0.044</v>
      </c>
      <c r="J1032" s="32"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3" t="n">
        <v>0.044</v>
      </c>
      <c r="J1033" s="34"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1" t="n">
        <v>0.006</v>
      </c>
      <c r="J1034" s="32"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3" t="n">
        <v>0.022</v>
      </c>
      <c r="J1035" s="34"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1" t="n">
        <v>0.022</v>
      </c>
      <c r="J1036" s="32"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3" t="n">
        <v>0.022</v>
      </c>
      <c r="J1037" s="34"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1" t="n">
        <v>0.022</v>
      </c>
      <c r="J1038" s="32"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3" t="n">
        <v>0.015</v>
      </c>
      <c r="J1039" s="34"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1" t="n">
        <v>0.08799999999999999</v>
      </c>
      <c r="J1040" s="32"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3" t="n">
        <v>0.006</v>
      </c>
      <c r="J1041" s="34"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1" t="n">
        <v>0.044</v>
      </c>
      <c r="J1042" s="32"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3" t="n">
        <v>0.022</v>
      </c>
      <c r="J1043" s="34"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1" t="n">
        <v>0.044</v>
      </c>
      <c r="J1044" s="32"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3" t="n">
        <v>0.044</v>
      </c>
      <c r="J1045" s="34"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1" t="n">
        <v>0.006</v>
      </c>
      <c r="J1046" s="32"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3" t="n">
        <v>0.022</v>
      </c>
      <c r="J1047" s="34"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1" t="n">
        <v>0.022</v>
      </c>
      <c r="J1048" s="32"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3" t="n">
        <v>0.022</v>
      </c>
      <c r="J1049" s="34"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1" t="n">
        <v>0.022</v>
      </c>
      <c r="J1050" s="32"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3" t="n">
        <v>0.015</v>
      </c>
      <c r="J1051" s="34"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1" t="n">
        <v>0.176</v>
      </c>
      <c r="J1052" s="32"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3" t="n">
        <v>0.012</v>
      </c>
      <c r="J1053" s="34"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1" t="n">
        <v>0.08799999999999999</v>
      </c>
      <c r="J1054" s="32"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3" t="n">
        <v>0.044</v>
      </c>
      <c r="J1055" s="34"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1" t="n">
        <v>0.08799999999999999</v>
      </c>
      <c r="J1056" s="32"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3" t="n">
        <v>0.044</v>
      </c>
      <c r="J1057" s="34"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1" t="n">
        <v>0.006</v>
      </c>
      <c r="J1058" s="32"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3" t="n">
        <v>0.022</v>
      </c>
      <c r="J1059" s="34"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1" t="n">
        <v>0.022</v>
      </c>
      <c r="J1060" s="32"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3" t="n">
        <v>0.022</v>
      </c>
      <c r="J1061" s="34"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1" t="n">
        <v>0.022</v>
      </c>
      <c r="J1062" s="32"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3" t="n">
        <v>0.015</v>
      </c>
      <c r="J1063" s="34"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1" t="n">
        <v>0.176</v>
      </c>
      <c r="J1064" s="32"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3" t="n">
        <v>0.012</v>
      </c>
      <c r="J1065" s="34"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1" t="n">
        <v>0.08799999999999999</v>
      </c>
      <c r="J1066" s="32"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3" t="n">
        <v>0.044</v>
      </c>
      <c r="J1067" s="34"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1" t="n">
        <v>0.08799999999999999</v>
      </c>
      <c r="J1068" s="32"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3" t="n">
        <v>0.044</v>
      </c>
      <c r="J1069" s="34"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1" t="n">
        <v>0.006</v>
      </c>
      <c r="J1070" s="32"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3" t="n">
        <v>0.022</v>
      </c>
      <c r="J1071" s="34"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1" t="n">
        <v>0.022</v>
      </c>
      <c r="J1072" s="32"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3" t="n">
        <v>0.022</v>
      </c>
      <c r="J1073" s="34"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1" t="n">
        <v>0.022</v>
      </c>
      <c r="J1074" s="32"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3" t="n">
        <v>0.015</v>
      </c>
      <c r="J1075" s="34"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1" t="n">
        <v>0.176</v>
      </c>
      <c r="J1076" s="32"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3" t="n">
        <v>0.006</v>
      </c>
      <c r="J1077" s="34"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1" t="n">
        <v>0.176</v>
      </c>
      <c r="J1078" s="32"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3" t="n">
        <v>0.044</v>
      </c>
      <c r="J1079" s="34"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1" t="n">
        <v>0.022</v>
      </c>
      <c r="J1080" s="32"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3" t="n">
        <v>0.044</v>
      </c>
      <c r="J1081" s="34"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1" t="n">
        <v>0.044</v>
      </c>
      <c r="J1082" s="32"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3" t="n">
        <v>0.006</v>
      </c>
      <c r="J1083" s="34"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1" t="n">
        <v>0.022</v>
      </c>
      <c r="J1084" s="32"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3" t="n">
        <v>0.022</v>
      </c>
      <c r="J1085" s="34"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1" t="n">
        <v>0.022</v>
      </c>
      <c r="J1086" s="32"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3" t="n">
        <v>0.022</v>
      </c>
      <c r="J1087" s="34"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1" t="n">
        <v>0.015</v>
      </c>
      <c r="J1088" s="32"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3" t="n">
        <v>0.176</v>
      </c>
      <c r="J1089" s="34"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1" t="n">
        <v>0.006</v>
      </c>
      <c r="J1090" s="32"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3" t="n">
        <v>0.176</v>
      </c>
      <c r="J1091" s="34"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1" t="n">
        <v>0.044</v>
      </c>
      <c r="J1092" s="32"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3" t="n">
        <v>0.022</v>
      </c>
      <c r="J1093" s="34"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1" t="n">
        <v>0.044</v>
      </c>
      <c r="J1094" s="32"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3" t="n">
        <v>0.044</v>
      </c>
      <c r="J1095" s="34"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1" t="n">
        <v>0.006</v>
      </c>
      <c r="J1096" s="32"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3" t="n">
        <v>0.022</v>
      </c>
      <c r="J1097" s="34"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1" t="n">
        <v>0.022</v>
      </c>
      <c r="J1098" s="32"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3" t="n">
        <v>0.022</v>
      </c>
      <c r="J1099" s="34"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1" t="n">
        <v>0.022</v>
      </c>
      <c r="J1100" s="32"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3" t="n">
        <v>0.015</v>
      </c>
      <c r="J1101" s="34"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1" t="n">
        <v>0.352</v>
      </c>
      <c r="J1102" s="32"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3" t="n">
        <v>0.012</v>
      </c>
      <c r="J1103" s="34"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1" t="n">
        <v>0.352</v>
      </c>
      <c r="J1104" s="32"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3" t="n">
        <v>0.08799999999999999</v>
      </c>
      <c r="J1105" s="34"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1" t="n">
        <v>0.044</v>
      </c>
      <c r="J1106" s="32"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3" t="n">
        <v>0.08799999999999999</v>
      </c>
      <c r="J1107" s="34"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1" t="n">
        <v>0.044</v>
      </c>
      <c r="J1108" s="32"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3" t="n">
        <v>0.006</v>
      </c>
      <c r="J1109" s="34"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1" t="n">
        <v>0.022</v>
      </c>
      <c r="J1110" s="32"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3" t="n">
        <v>0.022</v>
      </c>
      <c r="J1111" s="34"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1" t="n">
        <v>0.022</v>
      </c>
      <c r="J1112" s="32"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3" t="n">
        <v>0.022</v>
      </c>
      <c r="J1113" s="34"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1" t="n">
        <v>0.015</v>
      </c>
      <c r="J1114" s="32"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3" t="n">
        <v>0.352</v>
      </c>
      <c r="J1115" s="34"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1" t="n">
        <v>0.012</v>
      </c>
      <c r="J1116" s="32"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3" t="n">
        <v>0.352</v>
      </c>
      <c r="J1117" s="34"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1" t="n">
        <v>0.08799999999999999</v>
      </c>
      <c r="J1118" s="32"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3" t="n">
        <v>0.044</v>
      </c>
      <c r="J1119" s="34"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1" t="n">
        <v>0.08799999999999999</v>
      </c>
      <c r="J1120" s="32"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3" t="n">
        <v>0.044</v>
      </c>
      <c r="J1121" s="34"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1" t="n">
        <v>0.006</v>
      </c>
      <c r="J1122" s="32"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3" t="n">
        <v>0.022</v>
      </c>
      <c r="J1123" s="34"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1" t="n">
        <v>0.022</v>
      </c>
      <c r="J1124" s="32"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3" t="n">
        <v>0.022</v>
      </c>
      <c r="J1125" s="34"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1" t="n">
        <v>0.022</v>
      </c>
      <c r="J1126" s="32"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3" t="n">
        <v>0.015</v>
      </c>
      <c r="J1127" s="34"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1" t="n">
        <v>0.059</v>
      </c>
      <c r="J1128" s="32"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3" t="n">
        <v>0.006</v>
      </c>
      <c r="J1129" s="34"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1" t="n">
        <v>0.044</v>
      </c>
      <c r="J1130" s="32"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3" t="n">
        <v>0.022</v>
      </c>
      <c r="J1131" s="34"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1" t="n">
        <v>0.044</v>
      </c>
      <c r="J1132" s="32"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3" t="n">
        <v>0.044</v>
      </c>
      <c r="J1133" s="34"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1" t="n">
        <v>0.006</v>
      </c>
      <c r="J1134" s="32"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3" t="n">
        <v>0.022</v>
      </c>
      <c r="J1135" s="34"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1" t="n">
        <v>0.022</v>
      </c>
      <c r="J1136" s="32"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3" t="n">
        <v>0.022</v>
      </c>
      <c r="J1137" s="34"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1" t="n">
        <v>0.022</v>
      </c>
      <c r="J1138" s="32"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3" t="n">
        <v>0.015</v>
      </c>
      <c r="J1139" s="34"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1" t="n">
        <v>0.059</v>
      </c>
      <c r="J1140" s="32"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3" t="n">
        <v>0.006</v>
      </c>
      <c r="J1141" s="34"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1" t="n">
        <v>0.044</v>
      </c>
      <c r="J1142" s="32"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3" t="n">
        <v>0.022</v>
      </c>
      <c r="J1143" s="34"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1" t="n">
        <v>0.044</v>
      </c>
      <c r="J1144" s="32"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3" t="n">
        <v>0.044</v>
      </c>
      <c r="J1145" s="34"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1" t="n">
        <v>0.006</v>
      </c>
      <c r="J1146" s="32"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3" t="n">
        <v>0.022</v>
      </c>
      <c r="J1147" s="34"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1" t="n">
        <v>0.022</v>
      </c>
      <c r="J1148" s="32"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3" t="n">
        <v>0.022</v>
      </c>
      <c r="J1149" s="34"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1" t="n">
        <v>0.022</v>
      </c>
      <c r="J1150" s="32"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3" t="n">
        <v>0.015</v>
      </c>
      <c r="J1151" s="34"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1" t="n">
        <v>0.015</v>
      </c>
      <c r="J1152" s="32"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3" t="n">
        <v>0.118</v>
      </c>
      <c r="J1153" s="34"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1" t="n">
        <v>0.012</v>
      </c>
      <c r="J1154" s="32"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3" t="n">
        <v>0.08799999999999999</v>
      </c>
      <c r="J1155" s="34"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1" t="n">
        <v>0.044</v>
      </c>
      <c r="J1156" s="32"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3" t="n">
        <v>0.08799999999999999</v>
      </c>
      <c r="J1157" s="34"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1" t="n">
        <v>0.044</v>
      </c>
      <c r="J1158" s="32"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3" t="n">
        <v>0.006</v>
      </c>
      <c r="J1159" s="34"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1" t="n">
        <v>0.022</v>
      </c>
      <c r="J1160" s="32"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3" t="n">
        <v>0.022</v>
      </c>
      <c r="J1161" s="34"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1" t="n">
        <v>0.022</v>
      </c>
      <c r="J1162" s="32"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3" t="n">
        <v>0.022</v>
      </c>
      <c r="J1163" s="34"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1" t="n">
        <v>0.015</v>
      </c>
      <c r="J1164" s="32"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3" t="n">
        <v>0.118</v>
      </c>
      <c r="J1165" s="34"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1" t="n">
        <v>0.012</v>
      </c>
      <c r="J1166" s="32"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3" t="n">
        <v>0.08799999999999999</v>
      </c>
      <c r="J1167" s="34"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1" t="n">
        <v>0.044</v>
      </c>
      <c r="J1168" s="32"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3" t="n">
        <v>0.08799999999999999</v>
      </c>
      <c r="J1169" s="34"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1" t="n">
        <v>0.044</v>
      </c>
      <c r="J1170" s="32"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3" t="n">
        <v>0.006</v>
      </c>
      <c r="J1171" s="34"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1" t="n">
        <v>0.022</v>
      </c>
      <c r="J1172" s="32"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3" t="n">
        <v>0.022</v>
      </c>
      <c r="J1173" s="34"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1" t="n">
        <v>0.022</v>
      </c>
      <c r="J1174" s="32"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3" t="n">
        <v>0.022</v>
      </c>
      <c r="J1175" s="34"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1" t="n">
        <v>0.02</v>
      </c>
      <c r="J1176" s="32"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3" t="n">
        <v>28</v>
      </c>
      <c r="J1177" s="34"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1" t="n">
        <v>24</v>
      </c>
      <c r="J1178" s="32"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3" t="n">
        <v>0.291</v>
      </c>
      <c r="J1179" s="34"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1" t="n">
        <v>0.006</v>
      </c>
      <c r="J1180" s="32"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3" t="n">
        <v>0.044</v>
      </c>
      <c r="J1181" s="34"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1" t="n">
        <v>0.022</v>
      </c>
      <c r="J1182" s="32"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3" t="n">
        <v>0.044</v>
      </c>
      <c r="J1183" s="34"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1" t="n">
        <v>0.044</v>
      </c>
      <c r="J1184" s="32"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3" t="n">
        <v>0.006</v>
      </c>
      <c r="J1185" s="34"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1" t="n">
        <v>0.022</v>
      </c>
      <c r="J1186" s="32"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3" t="n">
        <v>0.022</v>
      </c>
      <c r="J1187" s="34"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1" t="n">
        <v>0.022</v>
      </c>
      <c r="J1188" s="32"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3" t="n">
        <v>0.022</v>
      </c>
      <c r="J1189" s="34"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1" t="n">
        <v>0.015</v>
      </c>
      <c r="J1190" s="32"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3" t="n">
        <v>0.291</v>
      </c>
      <c r="J1191" s="34"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1" t="n">
        <v>0.006</v>
      </c>
      <c r="J1192" s="32"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3" t="n">
        <v>0.044</v>
      </c>
      <c r="J1193" s="34"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1" t="n">
        <v>0.022</v>
      </c>
      <c r="J1194" s="32"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3" t="n">
        <v>0.044</v>
      </c>
      <c r="J1195" s="34"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1" t="n">
        <v>0.044</v>
      </c>
      <c r="J1196" s="32"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3" t="n">
        <v>0.006</v>
      </c>
      <c r="J1197" s="34"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1" t="n">
        <v>0.022</v>
      </c>
      <c r="J1198" s="32"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3" t="n">
        <v>0.022</v>
      </c>
      <c r="J1199" s="34"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1" t="n">
        <v>0.022</v>
      </c>
      <c r="J1200" s="32"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3" t="n">
        <v>0.022</v>
      </c>
      <c r="J1201" s="34"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1" t="n">
        <v>0.015</v>
      </c>
      <c r="J1202" s="32"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3" t="n">
        <v>0.5</v>
      </c>
      <c r="J1203" s="34"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1" t="n">
        <v>0.75</v>
      </c>
      <c r="J1204" s="32"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3" t="n">
        <v>0.5</v>
      </c>
      <c r="J1205" s="34"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1" t="n">
        <v>1</v>
      </c>
      <c r="J1206" s="32"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3" t="n">
        <v>1.5</v>
      </c>
      <c r="J1207" s="34"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1" t="n">
        <v>0.5</v>
      </c>
      <c r="J1208" s="32"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3" t="n">
        <v>1</v>
      </c>
      <c r="J1209" s="34"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1" t="n">
        <v>1.5</v>
      </c>
      <c r="J1210" s="32"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3" t="n">
        <v>0.45</v>
      </c>
      <c r="J1211" s="34"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1" t="n">
        <v>0.6</v>
      </c>
      <c r="J1212" s="32"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3" t="n">
        <v>0.8</v>
      </c>
      <c r="J1213" s="34"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1" t="n">
        <v>0.45</v>
      </c>
      <c r="J1214" s="32"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3" t="n">
        <v>0.6</v>
      </c>
      <c r="J1215" s="34"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1" t="n">
        <v>0.8</v>
      </c>
      <c r="J1216" s="32"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3" t="n">
        <v>0.86</v>
      </c>
      <c r="J1217" s="34"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1" t="n">
        <v>0.5</v>
      </c>
      <c r="J1218" s="32"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3" t="n">
        <v>1.7926</v>
      </c>
      <c r="J1219" s="34"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1" t="n">
        <v>0.037</v>
      </c>
      <c r="J1220" s="32"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3" t="n">
        <v>0.271</v>
      </c>
      <c r="J1221" s="34"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1" t="n">
        <v>0.1355</v>
      </c>
      <c r="J1222" s="32"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3" t="n">
        <v>0.271</v>
      </c>
      <c r="J1223" s="34"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1" t="n">
        <v>0.2464</v>
      </c>
      <c r="J1224" s="32"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3" t="n">
        <v>0.0336</v>
      </c>
      <c r="J1225" s="34"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1" t="n">
        <v>0.1232</v>
      </c>
      <c r="J1226" s="32"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3" t="n">
        <v>0.1232</v>
      </c>
      <c r="J1227" s="34"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1" t="n">
        <v>0.1232</v>
      </c>
      <c r="J1228" s="32"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3" t="n">
        <v>0.1232</v>
      </c>
      <c r="J1229" s="34"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1" t="n">
        <v>0.95</v>
      </c>
      <c r="J1230" s="32"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3" t="n">
        <v>0.07000000000000001</v>
      </c>
      <c r="J1231" s="34"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1" t="n">
        <v>0.07000000000000001</v>
      </c>
      <c r="J1232" s="32"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3" t="n">
        <v>0.07000000000000001</v>
      </c>
      <c r="J1233" s="34"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1" t="n">
        <v>0.07000000000000001</v>
      </c>
      <c r="J1234" s="32"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3" t="n">
        <v>7.62</v>
      </c>
      <c r="J1235" s="34"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1" t="n">
        <v>5.07</v>
      </c>
      <c r="J1236" s="32"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3" t="n">
        <v>7.62</v>
      </c>
      <c r="J1237" s="34"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1" t="n">
        <v>5.07</v>
      </c>
      <c r="J1238" s="32"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3" t="n">
        <v>0.375</v>
      </c>
      <c r="J1239" s="34"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1" t="n">
        <v>4</v>
      </c>
      <c r="J1240" s="32"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3" t="n">
        <v>0.02</v>
      </c>
      <c r="J1241" s="34"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1" t="n">
        <v>0.02</v>
      </c>
      <c r="J1242" s="32"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3" t="n">
        <v>0.25</v>
      </c>
      <c r="J1243" s="34"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1" t="n">
        <v>0.15</v>
      </c>
      <c r="J1244" s="32"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3" t="n">
        <v>7.7</v>
      </c>
      <c r="J1245" s="34"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1" t="n">
        <v>7.7</v>
      </c>
      <c r="J1246" s="32"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3" t="n">
        <v>7.7</v>
      </c>
      <c r="J1247" s="34"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1" t="n">
        <v>7.7</v>
      </c>
      <c r="J1248" s="32"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3" t="n">
        <v>0.335</v>
      </c>
      <c r="J1249" s="34"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1" t="n">
        <v>0.335</v>
      </c>
      <c r="J1250" s="32"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3" t="n">
        <v>0.335</v>
      </c>
      <c r="J1251" s="34"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1" t="n">
        <v>0.335</v>
      </c>
      <c r="J1252" s="32"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3" t="n">
        <v>0.335</v>
      </c>
      <c r="J1253" s="34"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1" t="n">
        <v>0.165</v>
      </c>
      <c r="J1254" s="32"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3" t="n">
        <v>0.135</v>
      </c>
      <c r="J1255" s="34"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1" t="n">
        <v>0.67</v>
      </c>
      <c r="J1256" s="32"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3" t="n">
        <v>0.67</v>
      </c>
      <c r="J1257" s="34"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1" t="n">
        <v>0.67</v>
      </c>
      <c r="J1258" s="32"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3" t="n">
        <v>0.67</v>
      </c>
      <c r="J1259" s="34"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1" t="n">
        <v>0.67</v>
      </c>
      <c r="J1260" s="32"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3" t="n">
        <v>0.33</v>
      </c>
      <c r="J1261" s="34"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1" t="n">
        <v>0.27</v>
      </c>
      <c r="J1262" s="32"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3" t="n">
        <v>0.48</v>
      </c>
      <c r="J1263" s="34"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1" t="n">
        <v>0.2</v>
      </c>
      <c r="J1264" s="32"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3" t="n">
        <v>0.2</v>
      </c>
      <c r="J1265" s="34"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1" t="n">
        <v>0.72</v>
      </c>
      <c r="J1266" s="32"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3" t="n">
        <v>0.3</v>
      </c>
      <c r="J1267" s="34"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1" t="n">
        <v>0.3</v>
      </c>
      <c r="J1268" s="32"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3" t="n">
        <v>0.48</v>
      </c>
      <c r="J1269" s="34"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1" t="n">
        <v>0.2</v>
      </c>
      <c r="J1270" s="32"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3" t="n">
        <v>0.2</v>
      </c>
      <c r="J1271" s="34"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1" t="n">
        <v>1.44</v>
      </c>
      <c r="J1272" s="32"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3" t="n">
        <v>0.6</v>
      </c>
      <c r="J1273" s="34"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1" t="n">
        <v>0.6</v>
      </c>
      <c r="J1274" s="32"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3" t="n">
        <v>1.5</v>
      </c>
      <c r="J1275" s="34"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1" t="n">
        <v>2</v>
      </c>
      <c r="J1276" s="32"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3" t="n">
        <v>2.5</v>
      </c>
      <c r="J1277" s="34"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1" t="n">
        <v>3.5</v>
      </c>
      <c r="J1278" s="32"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3" t="n">
        <v>0.3</v>
      </c>
      <c r="J1279" s="34"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1" t="n">
        <v>0.3</v>
      </c>
      <c r="J1280" s="32"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3" t="n">
        <v>0.4</v>
      </c>
      <c r="J1281" s="34"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1" t="n">
        <v>0.4</v>
      </c>
      <c r="J1282" s="32"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3" t="n">
        <v>1</v>
      </c>
      <c r="J1283" s="34"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1" t="n">
        <v>2.5</v>
      </c>
      <c r="J1284" s="32"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3" t="n">
        <v>1.5</v>
      </c>
      <c r="J1285" s="34"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1" t="n">
        <v>0.25</v>
      </c>
      <c r="J1286" s="32"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3" t="n">
        <v>0.25</v>
      </c>
      <c r="J1287" s="34"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1" t="n">
        <v>0.25</v>
      </c>
      <c r="J1288" s="32"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3" t="n">
        <v>0.25</v>
      </c>
      <c r="J1289" s="34"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1" t="n">
        <v>0.25</v>
      </c>
      <c r="J1290" s="32"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3" t="n">
        <v>0.25</v>
      </c>
      <c r="J1291" s="34"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1" t="n">
        <v>1</v>
      </c>
      <c r="J1292" s="32"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3" t="n">
        <v>1</v>
      </c>
      <c r="J1293" s="34"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1" t="n">
        <v>1</v>
      </c>
      <c r="J1294" s="32"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3" t="n">
        <v>1</v>
      </c>
      <c r="J1295" s="34"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1" t="n">
        <v>0.335</v>
      </c>
      <c r="J1296" s="32"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3" t="n">
        <v>0.335</v>
      </c>
      <c r="J1297" s="34"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1" t="n">
        <v>0.335</v>
      </c>
      <c r="J1298" s="32"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3" t="n">
        <v>0.335</v>
      </c>
      <c r="J1299" s="34"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1" t="n">
        <v>0.335</v>
      </c>
      <c r="J1300" s="32"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3" t="n">
        <v>0.165</v>
      </c>
      <c r="J1301" s="34"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1" t="n">
        <v>0.135</v>
      </c>
      <c r="J1302" s="32"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3" t="n">
        <v>1.35</v>
      </c>
      <c r="J1303" s="34"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1" t="n">
        <v>0.032</v>
      </c>
      <c r="J1304" s="32"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3" t="n">
        <v>0.224</v>
      </c>
      <c r="J1305" s="34"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1" t="n">
        <v>0.112</v>
      </c>
      <c r="J1306" s="32"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3" t="n">
        <v>0.224</v>
      </c>
      <c r="J1307" s="34"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1" t="n">
        <v>0.448</v>
      </c>
      <c r="J1308" s="32"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3" t="n">
        <v>0.336</v>
      </c>
      <c r="J1309" s="34"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1" t="n">
        <v>0.336</v>
      </c>
      <c r="J1310" s="32"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3" t="n">
        <v>0.336</v>
      </c>
      <c r="J1311" s="34"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1" t="n">
        <v>0.336</v>
      </c>
      <c r="J1312" s="32"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3" t="n">
        <v>1.35</v>
      </c>
      <c r="J1313" s="34"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1" t="n">
        <v>0.032</v>
      </c>
      <c r="J1314" s="32"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3" t="n">
        <v>0.224</v>
      </c>
      <c r="J1315" s="34"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1" t="n">
        <v>0.112</v>
      </c>
      <c r="J1316" s="32"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3" t="n">
        <v>0.224</v>
      </c>
      <c r="J1317" s="34"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1" t="n">
        <v>0.448</v>
      </c>
      <c r="J1318" s="32"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3" t="n">
        <v>0.336</v>
      </c>
      <c r="J1319" s="34"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1" t="n">
        <v>0.336</v>
      </c>
      <c r="J1320" s="32"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3" t="n">
        <v>0.336</v>
      </c>
      <c r="J1321" s="34"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1" t="n">
        <v>0.336</v>
      </c>
      <c r="J1322" s="32"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3" t="n">
        <v>1.35</v>
      </c>
      <c r="J1323" s="34"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1" t="n">
        <v>0.032</v>
      </c>
      <c r="J1324" s="32"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3" t="n">
        <v>0.224</v>
      </c>
      <c r="J1325" s="34"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1" t="n">
        <v>0.112</v>
      </c>
      <c r="J1326" s="32"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3" t="n">
        <v>0.224</v>
      </c>
      <c r="J1327" s="34"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1" t="n">
        <v>0.448</v>
      </c>
      <c r="J1328" s="32"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3" t="n">
        <v>0.336</v>
      </c>
      <c r="J1329" s="34"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1" t="n">
        <v>0.336</v>
      </c>
      <c r="J1330" s="32"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3" t="n">
        <v>0.336</v>
      </c>
      <c r="J1331" s="34"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1" t="n">
        <v>0.336</v>
      </c>
      <c r="J1332" s="32"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3" t="n">
        <v>1.35</v>
      </c>
      <c r="J1333" s="34"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1" t="n">
        <v>0.032</v>
      </c>
      <c r="J1334" s="32"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3" t="n">
        <v>0.224</v>
      </c>
      <c r="J1335" s="34"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1" t="n">
        <v>0.112</v>
      </c>
      <c r="J1336" s="32"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3" t="n">
        <v>0.224</v>
      </c>
      <c r="J1337" s="34"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1" t="n">
        <v>0.448</v>
      </c>
      <c r="J1338" s="32"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3" t="n">
        <v>0.336</v>
      </c>
      <c r="J1339" s="34"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1" t="n">
        <v>0.336</v>
      </c>
      <c r="J1340" s="32"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3" t="n">
        <v>0.336</v>
      </c>
      <c r="J1341" s="34"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1" t="n">
        <v>0.336</v>
      </c>
      <c r="J1342" s="32"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3" t="n">
        <v>1.35</v>
      </c>
      <c r="J1343" s="34"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1" t="n">
        <v>0.032</v>
      </c>
      <c r="J1344" s="32"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3" t="n">
        <v>0.224</v>
      </c>
      <c r="J1345" s="34"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1" t="n">
        <v>0.112</v>
      </c>
      <c r="J1346" s="32"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3" t="n">
        <v>0.224</v>
      </c>
      <c r="J1347" s="34"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1" t="n">
        <v>0.448</v>
      </c>
      <c r="J1348" s="32"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3" t="n">
        <v>0.336</v>
      </c>
      <c r="J1349" s="34"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1" t="n">
        <v>0.336</v>
      </c>
      <c r="J1350" s="32"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3" t="n">
        <v>0.336</v>
      </c>
      <c r="J1351" s="34"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1" t="n">
        <v>0.336</v>
      </c>
      <c r="J1352" s="32"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3" t="n">
        <v>2.7</v>
      </c>
      <c r="J1353" s="34"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1" t="n">
        <v>0.064</v>
      </c>
      <c r="J1354" s="32"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3" t="n">
        <v>0.448</v>
      </c>
      <c r="J1355" s="34"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1" t="n">
        <v>0.224</v>
      </c>
      <c r="J1356" s="32"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3" t="n">
        <v>0.448</v>
      </c>
      <c r="J1357" s="34"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1" t="n">
        <v>0.448</v>
      </c>
      <c r="J1358" s="32"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3" t="n">
        <v>0.336</v>
      </c>
      <c r="J1359" s="34"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1" t="n">
        <v>0.336</v>
      </c>
      <c r="J1360" s="32"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3" t="n">
        <v>0.336</v>
      </c>
      <c r="J1361" s="34"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1" t="n">
        <v>0.336</v>
      </c>
      <c r="J1362" s="32"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3" t="n">
        <v>2.7</v>
      </c>
      <c r="J1363" s="34"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1" t="n">
        <v>0.064</v>
      </c>
      <c r="J1364" s="32"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3" t="n">
        <v>0.448</v>
      </c>
      <c r="J1365" s="34"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1" t="n">
        <v>0.224</v>
      </c>
      <c r="J1366" s="32"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3" t="n">
        <v>0.448</v>
      </c>
      <c r="J1367" s="34"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1" t="n">
        <v>0.448</v>
      </c>
      <c r="J1368" s="32"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3" t="n">
        <v>0.336</v>
      </c>
      <c r="J1369" s="34"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1" t="n">
        <v>0.336</v>
      </c>
      <c r="J1370" s="32"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3" t="n">
        <v>0.336</v>
      </c>
      <c r="J1371" s="34"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1" t="n">
        <v>0.336</v>
      </c>
      <c r="J1372" s="32"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3" t="n">
        <v>2.7</v>
      </c>
      <c r="J1373" s="34"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1" t="n">
        <v>0.064</v>
      </c>
      <c r="J1374" s="32"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3" t="n">
        <v>0.448</v>
      </c>
      <c r="J1375" s="34"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1" t="n">
        <v>0.224</v>
      </c>
      <c r="J1376" s="32"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3" t="n">
        <v>0.448</v>
      </c>
      <c r="J1377" s="34"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1" t="n">
        <v>0.448</v>
      </c>
      <c r="J1378" s="32"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3" t="n">
        <v>0.336</v>
      </c>
      <c r="J1379" s="34"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1" t="n">
        <v>0.336</v>
      </c>
      <c r="J1380" s="32"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3" t="n">
        <v>0.336</v>
      </c>
      <c r="J1381" s="34"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1" t="n">
        <v>0.336</v>
      </c>
      <c r="J1382" s="32"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3" t="n">
        <v>2.7</v>
      </c>
      <c r="J1383" s="34"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1" t="n">
        <v>0.064</v>
      </c>
      <c r="J1384" s="32"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3" t="n">
        <v>0.448</v>
      </c>
      <c r="J1385" s="34"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1" t="n">
        <v>0.224</v>
      </c>
      <c r="J1386" s="32"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3" t="n">
        <v>0.448</v>
      </c>
      <c r="J1387" s="34"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1" t="n">
        <v>0.448</v>
      </c>
      <c r="J1388" s="32"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3" t="n">
        <v>0.336</v>
      </c>
      <c r="J1389" s="34"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1" t="n">
        <v>0.336</v>
      </c>
      <c r="J1390" s="32"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3" t="n">
        <v>0.336</v>
      </c>
      <c r="J1391" s="34"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1" t="n">
        <v>0.336</v>
      </c>
      <c r="J1392" s="32"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3" t="n">
        <v>2.7</v>
      </c>
      <c r="J1393" s="34"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1" t="n">
        <v>0.064</v>
      </c>
      <c r="J1394" s="32"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3" t="n">
        <v>0.448</v>
      </c>
      <c r="J1395" s="34"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1" t="n">
        <v>0.224</v>
      </c>
      <c r="J1396" s="32"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3" t="n">
        <v>0.448</v>
      </c>
      <c r="J1397" s="34"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1" t="n">
        <v>0.448</v>
      </c>
      <c r="J1398" s="32"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3" t="n">
        <v>0.336</v>
      </c>
      <c r="J1399" s="34"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1" t="n">
        <v>0.336</v>
      </c>
      <c r="J1400" s="32"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3" t="n">
        <v>0.336</v>
      </c>
      <c r="J1401" s="34"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1" t="n">
        <v>0.336</v>
      </c>
      <c r="J1402" s="32"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3" t="n">
        <v>1.35</v>
      </c>
      <c r="J1403" s="34"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1" t="n">
        <v>0.032</v>
      </c>
      <c r="J1404" s="32"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3" t="n">
        <v>0.224</v>
      </c>
      <c r="J1405" s="34"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1" t="n">
        <v>0.112</v>
      </c>
      <c r="J1406" s="32"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3" t="n">
        <v>0.224</v>
      </c>
      <c r="J1407" s="34"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1" t="n">
        <v>0.448</v>
      </c>
      <c r="J1408" s="32"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3" t="n">
        <v>0.336</v>
      </c>
      <c r="J1409" s="34"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1" t="n">
        <v>0.336</v>
      </c>
      <c r="J1410" s="32"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3" t="n">
        <v>0.336</v>
      </c>
      <c r="J1411" s="34"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1" t="n">
        <v>0.336</v>
      </c>
      <c r="J1412" s="32"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3" t="n">
        <v>1.35</v>
      </c>
      <c r="J1413" s="34"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1" t="n">
        <v>0.032</v>
      </c>
      <c r="J1414" s="32"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3" t="n">
        <v>0.224</v>
      </c>
      <c r="J1415" s="34"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1" t="n">
        <v>0.112</v>
      </c>
      <c r="J1416" s="32"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3" t="n">
        <v>0.224</v>
      </c>
      <c r="J1417" s="34"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1" t="n">
        <v>0.448</v>
      </c>
      <c r="J1418" s="32"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3" t="n">
        <v>0.336</v>
      </c>
      <c r="J1419" s="34"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1" t="n">
        <v>0.336</v>
      </c>
      <c r="J1420" s="32"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3" t="n">
        <v>0.336</v>
      </c>
      <c r="J1421" s="34"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1" t="n">
        <v>0.336</v>
      </c>
      <c r="J1422" s="32"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3" t="n">
        <v>1.35</v>
      </c>
      <c r="J1423" s="34"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1" t="n">
        <v>0.032</v>
      </c>
      <c r="J1424" s="32"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3" t="n">
        <v>0.224</v>
      </c>
      <c r="J1425" s="34"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1" t="n">
        <v>0.112</v>
      </c>
      <c r="J1426" s="32"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3" t="n">
        <v>0.224</v>
      </c>
      <c r="J1427" s="34"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1" t="n">
        <v>0.448</v>
      </c>
      <c r="J1428" s="32"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3" t="n">
        <v>0.336</v>
      </c>
      <c r="J1429" s="34"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1" t="n">
        <v>0.336</v>
      </c>
      <c r="J1430" s="32"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3" t="n">
        <v>0.336</v>
      </c>
      <c r="J1431" s="34"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1" t="n">
        <v>0.336</v>
      </c>
      <c r="J1432" s="32"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3" t="n">
        <v>1.35</v>
      </c>
      <c r="J1433" s="34"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1" t="n">
        <v>0.032</v>
      </c>
      <c r="J1434" s="32"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3" t="n">
        <v>0.224</v>
      </c>
      <c r="J1435" s="34"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1" t="n">
        <v>0.112</v>
      </c>
      <c r="J1436" s="32"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3" t="n">
        <v>0.224</v>
      </c>
      <c r="J1437" s="34"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1" t="n">
        <v>0.448</v>
      </c>
      <c r="J1438" s="32"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3" t="n">
        <v>0.336</v>
      </c>
      <c r="J1439" s="34"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1" t="n">
        <v>0.336</v>
      </c>
      <c r="J1440" s="32"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3" t="n">
        <v>0.336</v>
      </c>
      <c r="J1441" s="34"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1" t="n">
        <v>0.336</v>
      </c>
      <c r="J1442" s="32"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3" t="n">
        <v>1.35</v>
      </c>
      <c r="J1443" s="34"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1" t="n">
        <v>0.032</v>
      </c>
      <c r="J1444" s="32"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3" t="n">
        <v>0.224</v>
      </c>
      <c r="J1445" s="34"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1" t="n">
        <v>0.112</v>
      </c>
      <c r="J1446" s="32"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3" t="n">
        <v>0.224</v>
      </c>
      <c r="J1447" s="34"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1" t="n">
        <v>0.448</v>
      </c>
      <c r="J1448" s="32"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3" t="n">
        <v>0.336</v>
      </c>
      <c r="J1449" s="34"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1" t="n">
        <v>0.336</v>
      </c>
      <c r="J1450" s="32"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3" t="n">
        <v>0.336</v>
      </c>
      <c r="J1451" s="34"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1" t="n">
        <v>0.336</v>
      </c>
      <c r="J1452" s="32"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3" t="n">
        <v>2.7</v>
      </c>
      <c r="J1453" s="34"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1" t="n">
        <v>0.064</v>
      </c>
      <c r="J1454" s="32"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3" t="n">
        <v>0.448</v>
      </c>
      <c r="J1455" s="34"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1" t="n">
        <v>0.224</v>
      </c>
      <c r="J1456" s="32"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3" t="n">
        <v>0.448</v>
      </c>
      <c r="J1457" s="34"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1" t="n">
        <v>0.448</v>
      </c>
      <c r="J1458" s="32"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3" t="n">
        <v>0.336</v>
      </c>
      <c r="J1459" s="34"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1" t="n">
        <v>0.336</v>
      </c>
      <c r="J1460" s="32"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3" t="n">
        <v>0.336</v>
      </c>
      <c r="J1461" s="34"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1" t="n">
        <v>0.336</v>
      </c>
      <c r="J1462" s="32"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3" t="n">
        <v>2.7</v>
      </c>
      <c r="J1463" s="34"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1" t="n">
        <v>0.064</v>
      </c>
      <c r="J1464" s="32"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3" t="n">
        <v>0.448</v>
      </c>
      <c r="J1465" s="34"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1" t="n">
        <v>0.224</v>
      </c>
      <c r="J1466" s="32"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3" t="n">
        <v>0.448</v>
      </c>
      <c r="J1467" s="34"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1" t="n">
        <v>0.448</v>
      </c>
      <c r="J1468" s="32"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3" t="n">
        <v>0.336</v>
      </c>
      <c r="J1469" s="34"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1" t="n">
        <v>0.336</v>
      </c>
      <c r="J1470" s="32"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3" t="n">
        <v>0.336</v>
      </c>
      <c r="J1471" s="34"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1" t="n">
        <v>0.336</v>
      </c>
      <c r="J1472" s="32"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3" t="n">
        <v>2.7</v>
      </c>
      <c r="J1473" s="34"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1" t="n">
        <v>0.064</v>
      </c>
      <c r="J1474" s="32"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3" t="n">
        <v>0.448</v>
      </c>
      <c r="J1475" s="34"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1" t="n">
        <v>0.224</v>
      </c>
      <c r="J1476" s="32"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3" t="n">
        <v>0.448</v>
      </c>
      <c r="J1477" s="34"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1" t="n">
        <v>0.448</v>
      </c>
      <c r="J1478" s="32"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3" t="n">
        <v>0.336</v>
      </c>
      <c r="J1479" s="34"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1" t="n">
        <v>0.336</v>
      </c>
      <c r="J1480" s="32"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3" t="n">
        <v>0.336</v>
      </c>
      <c r="J1481" s="34"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1" t="n">
        <v>0.336</v>
      </c>
      <c r="J1482" s="32"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3" t="n">
        <v>2.7</v>
      </c>
      <c r="J1483" s="34"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1" t="n">
        <v>0.064</v>
      </c>
      <c r="J1484" s="32"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3" t="n">
        <v>0.448</v>
      </c>
      <c r="J1485" s="34"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1" t="n">
        <v>0.224</v>
      </c>
      <c r="J1486" s="32"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3" t="n">
        <v>0.448</v>
      </c>
      <c r="J1487" s="34"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1" t="n">
        <v>0.448</v>
      </c>
      <c r="J1488" s="32"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3" t="n">
        <v>0.336</v>
      </c>
      <c r="J1489" s="34"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1" t="n">
        <v>0.336</v>
      </c>
      <c r="J1490" s="32"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3" t="n">
        <v>0.336</v>
      </c>
      <c r="J1491" s="34"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1" t="n">
        <v>0.336</v>
      </c>
      <c r="J1492" s="32"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3" t="n">
        <v>2.7</v>
      </c>
      <c r="J1493" s="34"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1" t="n">
        <v>0.064</v>
      </c>
      <c r="J1494" s="32"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3" t="n">
        <v>0.448</v>
      </c>
      <c r="J1495" s="34"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1" t="n">
        <v>0.224</v>
      </c>
      <c r="J1496" s="32"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3" t="n">
        <v>0.448</v>
      </c>
      <c r="J1497" s="34"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1" t="n">
        <v>0.448</v>
      </c>
      <c r="J1498" s="32"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3" t="n">
        <v>0.336</v>
      </c>
      <c r="J1499" s="34"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1" t="n">
        <v>0.336</v>
      </c>
      <c r="J1500" s="32"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3" t="n">
        <v>0.336</v>
      </c>
      <c r="J1501" s="34"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1" t="n">
        <v>0.336</v>
      </c>
      <c r="J1502" s="32"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3" t="n">
        <v>0.448</v>
      </c>
      <c r="J1503" s="34"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1" t="n">
        <v>0.336</v>
      </c>
      <c r="J1504" s="32"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3" t="n">
        <v>0.336</v>
      </c>
      <c r="J1505" s="34"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1" t="n">
        <v>0.336</v>
      </c>
      <c r="J1506" s="32"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3" t="n">
        <v>0.336</v>
      </c>
      <c r="J1507" s="34"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1" t="n">
        <v>0.448</v>
      </c>
      <c r="J1508" s="32"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3" t="n">
        <v>0.336</v>
      </c>
      <c r="J1509" s="34"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1" t="n">
        <v>0.336</v>
      </c>
      <c r="J1510" s="32"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3" t="n">
        <v>0.336</v>
      </c>
      <c r="J1511" s="34"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1" t="n">
        <v>0.336</v>
      </c>
      <c r="J1512" s="32"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3" t="n">
        <v>0.25</v>
      </c>
      <c r="J1513" s="34"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1" t="n">
        <v>0.25</v>
      </c>
      <c r="J1514" s="32"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3" t="n">
        <v>0.5</v>
      </c>
      <c r="J1515" s="34"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1" t="n">
        <v>0.03</v>
      </c>
      <c r="J1516" s="32"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3" t="n">
        <v>6.5</v>
      </c>
      <c r="J1517" s="34"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1" t="n">
        <v>6.5</v>
      </c>
      <c r="J1518" s="32"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3" t="n">
        <v>4.3</v>
      </c>
      <c r="J1519" s="34"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1" t="n">
        <v>10.8</v>
      </c>
      <c r="J1520" s="32"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3" t="n">
        <v>0.3</v>
      </c>
      <c r="J1521" s="34"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1" t="n">
        <v>0.3</v>
      </c>
      <c r="J1522" s="32"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3" t="n">
        <v>0.15</v>
      </c>
      <c r="J1523" s="34"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1" t="n">
        <v>0.448</v>
      </c>
      <c r="J1524" s="32"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3" t="n">
        <v>0.336</v>
      </c>
      <c r="J1525" s="34"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1" t="n">
        <v>0.336</v>
      </c>
      <c r="J1526" s="32"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3" t="n">
        <v>0.336</v>
      </c>
      <c r="J1527" s="34"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1" t="n">
        <v>0.448</v>
      </c>
      <c r="J1528" s="32"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3" t="n">
        <v>0.336</v>
      </c>
      <c r="J1529" s="34"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1" t="n">
        <v>0.336</v>
      </c>
      <c r="J1530" s="32"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3" t="n">
        <v>0.336</v>
      </c>
      <c r="J1531" s="34"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1" t="n">
        <v>0.26</v>
      </c>
      <c r="J1532" s="32"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3" t="n">
        <v>0.26</v>
      </c>
      <c r="J1533" s="34"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1" t="n">
        <v>2</v>
      </c>
      <c r="J1534" s="32"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3" t="n">
        <v>1.34</v>
      </c>
      <c r="J1535" s="34"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1" t="n">
        <v>0.67</v>
      </c>
      <c r="J1536" s="32"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3" t="n">
        <v>4.92</v>
      </c>
      <c r="J1537" s="34"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1" t="n">
        <v>0.1</v>
      </c>
      <c r="J1538" s="32"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3" t="n">
        <v>1</v>
      </c>
      <c r="J1539" s="34"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1" t="n">
        <v>1.1</v>
      </c>
      <c r="J1540" s="32"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3" t="n">
        <v>0.75</v>
      </c>
      <c r="J1541" s="34"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1" t="n">
        <v>0.75</v>
      </c>
      <c r="J1542" s="32"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3" t="n">
        <v>0.75</v>
      </c>
      <c r="J1543" s="34"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1" t="n">
        <v>2.15</v>
      </c>
      <c r="J1544" s="32"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3" t="n">
        <v>1.62</v>
      </c>
      <c r="J1545" s="34"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1" t="n">
        <v>2.15</v>
      </c>
      <c r="J1546" s="32"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3" t="n">
        <v>1.62</v>
      </c>
      <c r="J1547" s="34"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1" t="n">
        <v>1.08</v>
      </c>
      <c r="J1548" s="32"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3" t="n">
        <v>0.8</v>
      </c>
      <c r="J1549" s="34"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1" t="n">
        <v>1.08</v>
      </c>
      <c r="J1550" s="32"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3" t="n">
        <v>1.08</v>
      </c>
      <c r="J1551" s="34"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1" t="n">
        <v>0.8</v>
      </c>
      <c r="J1552" s="32"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3" t="n">
        <v>1.08</v>
      </c>
      <c r="J1553" s="34"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1" t="n">
        <v>1.28</v>
      </c>
      <c r="J1554" s="32"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3" t="n">
        <v>1.43</v>
      </c>
      <c r="J1555" s="34"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1" t="n">
        <v>1.28</v>
      </c>
      <c r="J1556" s="32"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3" t="n">
        <v>1.43</v>
      </c>
      <c r="J1557" s="34"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1" t="n">
        <v>1.28</v>
      </c>
      <c r="J1558" s="32"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3" t="n">
        <v>1.43</v>
      </c>
      <c r="J1559" s="34"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1" t="n">
        <v>1</v>
      </c>
      <c r="J1560" s="32"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3" t="n">
        <v>0.25</v>
      </c>
      <c r="J1561" s="34"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1" t="n">
        <v>3.8</v>
      </c>
      <c r="J1562" s="32"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3" t="n">
        <v>4.6</v>
      </c>
      <c r="J1563" s="34"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1" t="n">
        <v>0.6</v>
      </c>
      <c r="J1564" s="32"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3" t="n">
        <v>3.8</v>
      </c>
      <c r="J1565" s="34"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1" t="n">
        <v>4.6</v>
      </c>
      <c r="J1566" s="32"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3" t="n">
        <v>0.6</v>
      </c>
      <c r="J1567" s="34"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1" t="n">
        <v>0.77</v>
      </c>
      <c r="J1568" s="32"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3" t="n">
        <v>0.86</v>
      </c>
      <c r="J1569" s="34"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1" t="n">
        <v>0.77</v>
      </c>
      <c r="J1570" s="32"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3" t="n">
        <v>0.86</v>
      </c>
      <c r="J1571" s="34"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1" t="n">
        <v>0.25</v>
      </c>
      <c r="J1572" s="32"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3" t="n">
        <v>0.25</v>
      </c>
      <c r="J1573" s="34"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1" t="n">
        <v>0.72</v>
      </c>
      <c r="J1574" s="32"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3" t="n">
        <v>0.07000000000000001</v>
      </c>
      <c r="J1575" s="34"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1" t="n">
        <v>0.72</v>
      </c>
      <c r="J1576" s="32"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3" t="n">
        <v>0.07000000000000001</v>
      </c>
      <c r="J1577" s="34"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1" t="n">
        <v>0.72</v>
      </c>
      <c r="J1578" s="32"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3" t="n">
        <v>0.07000000000000001</v>
      </c>
      <c r="J1579" s="34"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1" t="n">
        <v>0.2</v>
      </c>
      <c r="J1580" s="32"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3" t="n">
        <v>0.2</v>
      </c>
      <c r="J1581" s="34"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1" t="n">
        <v>0.2</v>
      </c>
      <c r="J1582" s="32"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3" t="n">
        <v>1</v>
      </c>
      <c r="J1583" s="34"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1" t="n">
        <v>1</v>
      </c>
      <c r="J1584" s="32"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3" t="n">
        <v>1</v>
      </c>
      <c r="J1585" s="34"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1" t="n">
        <v>1</v>
      </c>
      <c r="J1586" s="32"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3" t="n">
        <v>0.07199999999999999</v>
      </c>
      <c r="J1587" s="34"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1" t="n">
        <v>0.007</v>
      </c>
      <c r="J1588" s="32"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3" t="n">
        <v>0.07199999999999999</v>
      </c>
      <c r="J1589" s="34"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1" t="n">
        <v>0.007</v>
      </c>
      <c r="J1590" s="32"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3" t="n">
        <v>0.07199999999999999</v>
      </c>
      <c r="J1591" s="34"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1" t="n">
        <v>0.007</v>
      </c>
      <c r="J1592" s="32"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3" t="n">
        <v>1.83</v>
      </c>
      <c r="J1593" s="34"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1" t="n">
        <v>0.76</v>
      </c>
      <c r="J1594" s="32"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3" t="n">
        <v>1.83</v>
      </c>
      <c r="J1595" s="34"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1" t="n">
        <v>0.76</v>
      </c>
      <c r="J1596" s="32"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3" t="n">
        <v>1.83</v>
      </c>
      <c r="J1597" s="34"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1" t="n">
        <v>0.76</v>
      </c>
      <c r="J1598" s="32"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3" t="n">
        <v>1.83</v>
      </c>
      <c r="J1599" s="34"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1" t="n">
        <v>0.76</v>
      </c>
      <c r="J1600" s="32"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3" t="n">
        <v>1.83</v>
      </c>
      <c r="J1601" s="34"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1" t="n">
        <v>0.76</v>
      </c>
      <c r="J1602" s="32"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3" t="n">
        <v>1.83</v>
      </c>
      <c r="J1603" s="34"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1" t="n">
        <v>0.76</v>
      </c>
      <c r="J1604" s="32"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3" t="n">
        <v>0.52</v>
      </c>
      <c r="J1605" s="34"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1" t="n">
        <v>0.6</v>
      </c>
      <c r="J1606" s="32"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3" t="n">
        <v>0.52</v>
      </c>
      <c r="J1607" s="34"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1" t="n">
        <v>0.6</v>
      </c>
      <c r="J1608" s="32"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3" t="n">
        <v>0.52</v>
      </c>
      <c r="J1609" s="34"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1" t="n">
        <v>0.6</v>
      </c>
      <c r="J1610" s="32"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3" t="n">
        <v>0.57</v>
      </c>
      <c r="J1611" s="34"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1" t="n">
        <v>0.57</v>
      </c>
      <c r="J1612" s="32"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3" t="n">
        <v>0.57</v>
      </c>
      <c r="J1613" s="34"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1" t="n">
        <v>0.57</v>
      </c>
      <c r="J1614" s="32"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3" t="n">
        <v>0.57</v>
      </c>
      <c r="J1615" s="34"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1" t="n">
        <v>0.57</v>
      </c>
      <c r="J1616" s="32"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3" t="n">
        <v>0.57</v>
      </c>
      <c r="J1617" s="34"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1" t="n">
        <v>0.57</v>
      </c>
      <c r="J1618" s="32"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3" t="n">
        <v>0.57</v>
      </c>
      <c r="J1619" s="34"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1" t="n">
        <v>0.57</v>
      </c>
      <c r="J1620" s="32"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3" t="n">
        <v>0.57</v>
      </c>
      <c r="J1621" s="34"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1" t="n">
        <v>0.15</v>
      </c>
      <c r="J1622" s="32"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3" t="n">
        <v>0.15</v>
      </c>
      <c r="J1623" s="34"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1" t="n">
        <v>0.57</v>
      </c>
      <c r="J1624" s="32"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3" t="n">
        <v>0.15</v>
      </c>
      <c r="J1625" s="34"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1" t="n">
        <v>0.15</v>
      </c>
      <c r="J1626" s="32"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3" t="n">
        <v>0.57</v>
      </c>
      <c r="J1627" s="34"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1" t="n">
        <v>1.83</v>
      </c>
      <c r="J1628" s="32"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3" t="n">
        <v>0.23</v>
      </c>
      <c r="J1629" s="34"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1" t="n">
        <v>0.77</v>
      </c>
      <c r="J1630" s="32"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3" t="n">
        <v>1.83</v>
      </c>
      <c r="J1631" s="34"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1" t="n">
        <v>0.23</v>
      </c>
      <c r="J1632" s="32"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3" t="n">
        <v>0.77</v>
      </c>
      <c r="J1633" s="34"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1" t="n">
        <v>1.83</v>
      </c>
      <c r="J1634" s="32"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3" t="n">
        <v>0.23</v>
      </c>
      <c r="J1635" s="34"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1" t="n">
        <v>0.77</v>
      </c>
      <c r="J1636" s="32"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3" t="n">
        <v>1.83</v>
      </c>
      <c r="J1637" s="34"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1" t="n">
        <v>0.23</v>
      </c>
      <c r="J1638" s="32"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3" t="n">
        <v>0.77</v>
      </c>
      <c r="J1639" s="34"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1" t="n">
        <v>1.83</v>
      </c>
      <c r="J1640" s="32"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3" t="n">
        <v>0.23</v>
      </c>
      <c r="J1641" s="34"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1" t="n">
        <v>0.77</v>
      </c>
      <c r="J1642" s="32"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3" t="n">
        <v>1.83</v>
      </c>
      <c r="J1643" s="34"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1" t="n">
        <v>0.23</v>
      </c>
      <c r="J1644" s="32"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3" t="n">
        <v>0.77</v>
      </c>
      <c r="J1645" s="34"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1" t="n">
        <v>0.52</v>
      </c>
      <c r="J1646" s="32"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3" t="n">
        <v>0.6</v>
      </c>
      <c r="J1647" s="34"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1" t="n">
        <v>2.4</v>
      </c>
      <c r="J1648" s="32"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3" t="n">
        <v>0.18</v>
      </c>
      <c r="J1649" s="34"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1" t="n">
        <v>0.77</v>
      </c>
      <c r="J1650" s="32"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3" t="n">
        <v>2.4</v>
      </c>
      <c r="J1651" s="34"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1" t="n">
        <v>0.18</v>
      </c>
      <c r="J1652" s="32"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3" t="n">
        <v>0.77</v>
      </c>
      <c r="J1653" s="34"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1" t="n">
        <v>1.83</v>
      </c>
      <c r="J1654" s="32"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3" t="n">
        <v>0.23</v>
      </c>
      <c r="J1655" s="34"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1" t="n">
        <v>0.77</v>
      </c>
      <c r="J1656" s="32"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3" t="n">
        <v>1.83</v>
      </c>
      <c r="J1657" s="34"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1" t="n">
        <v>0.23</v>
      </c>
      <c r="J1658" s="32"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3" t="n">
        <v>0.77</v>
      </c>
      <c r="J1659" s="34"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1" t="n">
        <v>0.9</v>
      </c>
      <c r="J1660" s="32"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3" t="n">
        <v>1</v>
      </c>
      <c r="J1661" s="34"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1" t="n">
        <v>0.9</v>
      </c>
      <c r="J1662" s="32"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3" t="n">
        <v>1</v>
      </c>
      <c r="J1663" s="34"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1" t="n">
        <v>0.11</v>
      </c>
      <c r="J1664" s="32"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3" t="n">
        <v>0.06</v>
      </c>
      <c r="J1665" s="34"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1" t="n">
        <v>0.11</v>
      </c>
      <c r="J1666" s="32"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3" t="n">
        <v>0.06</v>
      </c>
      <c r="J1667" s="34"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1" t="n">
        <v>0.55</v>
      </c>
      <c r="J1668" s="32"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3" t="n">
        <v>0.55</v>
      </c>
      <c r="J1669" s="34"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1" t="n">
        <v>0.55</v>
      </c>
      <c r="J1670" s="32"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3" t="n">
        <v>0.55</v>
      </c>
      <c r="J1671" s="34"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1" t="n">
        <v>0.55</v>
      </c>
      <c r="J1672" s="32"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3" t="n">
        <v>0.55</v>
      </c>
      <c r="J1673" s="34"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1" t="n">
        <v>0.55</v>
      </c>
      <c r="J1674" s="32"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3" t="n">
        <v>0.55</v>
      </c>
      <c r="J1675" s="34"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1" t="n">
        <v>0.55</v>
      </c>
      <c r="J1676" s="32"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3" t="n">
        <v>0.55</v>
      </c>
      <c r="J1677" s="34"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1" t="n">
        <v>0.55</v>
      </c>
      <c r="J1678" s="32"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3" t="n">
        <v>0.55</v>
      </c>
      <c r="J1679" s="34"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1" t="n">
        <v>1.3</v>
      </c>
      <c r="J1680" s="32"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3" t="n">
        <v>0.9</v>
      </c>
      <c r="J1681" s="34"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1" t="n">
        <v>1.05</v>
      </c>
      <c r="J1682" s="32"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3" t="n">
        <v>0.105</v>
      </c>
      <c r="J1683" s="34"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1" t="n">
        <v>1.3</v>
      </c>
      <c r="J1684" s="32"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3" t="n">
        <v>0.9</v>
      </c>
      <c r="J1685" s="34"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1" t="n">
        <v>1.05</v>
      </c>
      <c r="J1686" s="32"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3" t="n">
        <v>0.105</v>
      </c>
      <c r="J1687" s="34"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1" t="n">
        <v>1.3</v>
      </c>
      <c r="J1688" s="32"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3" t="n">
        <v>0.9</v>
      </c>
      <c r="J1689" s="34"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1" t="n">
        <v>1.05</v>
      </c>
      <c r="J1690" s="32"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3" t="n">
        <v>0.105</v>
      </c>
      <c r="J1691" s="34"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1" t="n">
        <v>1.3</v>
      </c>
      <c r="J1692" s="32"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3" t="n">
        <v>0.9</v>
      </c>
      <c r="J1693" s="34"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1" t="n">
        <v>1.05</v>
      </c>
      <c r="J1694" s="32"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3" t="n">
        <v>0.105</v>
      </c>
      <c r="J1695" s="34"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1" t="n">
        <v>1.3</v>
      </c>
      <c r="J1696" s="32"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3" t="n">
        <v>0.9</v>
      </c>
      <c r="J1697" s="34"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1" t="n">
        <v>1.05</v>
      </c>
      <c r="J1698" s="32"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3" t="n">
        <v>0.105</v>
      </c>
      <c r="J1699" s="34"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1" t="n">
        <v>1.3</v>
      </c>
      <c r="J1700" s="32"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3" t="n">
        <v>0.9</v>
      </c>
      <c r="J1701" s="34"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1" t="n">
        <v>1.05</v>
      </c>
      <c r="J1702" s="32"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3" t="n">
        <v>0.105</v>
      </c>
      <c r="J1703" s="34"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1" t="n">
        <v>1.2</v>
      </c>
      <c r="J1704" s="32"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3" t="n">
        <v>0.8</v>
      </c>
      <c r="J1705" s="34"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1" t="n">
        <v>1</v>
      </c>
      <c r="J1706" s="32"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3" t="n">
        <v>0.1</v>
      </c>
      <c r="J1707" s="34"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1" t="n">
        <v>1.2</v>
      </c>
      <c r="J1708" s="32"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3" t="n">
        <v>0.8</v>
      </c>
      <c r="J1709" s="34"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1" t="n">
        <v>1</v>
      </c>
      <c r="J1710" s="32"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3" t="n">
        <v>0.1</v>
      </c>
      <c r="J1711" s="34"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1" t="n">
        <v>1.2</v>
      </c>
      <c r="J1712" s="32"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3" t="n">
        <v>0.8</v>
      </c>
      <c r="J1713" s="34"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1" t="n">
        <v>1</v>
      </c>
      <c r="J1714" s="32"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3" t="n">
        <v>0.1</v>
      </c>
      <c r="J1715" s="34"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1" t="n">
        <v>1.2</v>
      </c>
      <c r="J1716" s="32"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3" t="n">
        <v>0.8</v>
      </c>
      <c r="J1717" s="34"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1" t="n">
        <v>1</v>
      </c>
      <c r="J1718" s="32"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3" t="n">
        <v>0.1</v>
      </c>
      <c r="J1719" s="34"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1" t="n">
        <v>1.2</v>
      </c>
      <c r="J1720" s="32"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3" t="n">
        <v>0.8</v>
      </c>
      <c r="J1721" s="34"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1" t="n">
        <v>1</v>
      </c>
      <c r="J1722" s="32"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3" t="n">
        <v>0.1</v>
      </c>
      <c r="J1723" s="34"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1" t="n">
        <v>1.2</v>
      </c>
      <c r="J1724" s="32"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3" t="n">
        <v>0.8</v>
      </c>
      <c r="J1725" s="34"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1" t="n">
        <v>1</v>
      </c>
      <c r="J1726" s="32"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3" t="n">
        <v>0.1</v>
      </c>
      <c r="J1727" s="34"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1" t="n">
        <v>0.52</v>
      </c>
      <c r="J1728" s="32"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3" t="n">
        <v>0.6</v>
      </c>
      <c r="J1729" s="34"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1" t="n">
        <v>0.52</v>
      </c>
      <c r="J1730" s="32"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3" t="n">
        <v>0.6</v>
      </c>
      <c r="J1731" s="34"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1" t="n">
        <v>0.53</v>
      </c>
      <c r="J1732" s="32"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3" t="n">
        <v>0.53</v>
      </c>
      <c r="J1733" s="34"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1" t="n">
        <v>0.53</v>
      </c>
      <c r="J1734" s="32"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3" t="n">
        <v>0.53</v>
      </c>
      <c r="J1735" s="34"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1" t="n">
        <v>0.75</v>
      </c>
      <c r="J1736" s="32"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3" t="n">
        <v>1</v>
      </c>
      <c r="J1737" s="34"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1" t="n">
        <v>0.5</v>
      </c>
      <c r="J1738" s="32"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3" t="n">
        <v>0.1</v>
      </c>
      <c r="J1739" s="34"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1" t="n">
        <v>0.18</v>
      </c>
      <c r="J1740" s="32"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3" t="n">
        <v>0.18</v>
      </c>
      <c r="J1741" s="34"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1" t="n">
        <v>0.11</v>
      </c>
      <c r="J1742" s="32"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3" t="n">
        <v>0.18</v>
      </c>
      <c r="J1743" s="34"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1" t="n">
        <v>0.18</v>
      </c>
      <c r="J1744" s="32"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3" t="n">
        <v>0.11</v>
      </c>
      <c r="J1745" s="34"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1" t="n">
        <v>0.25</v>
      </c>
      <c r="J1746" s="32"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3" t="n">
        <v>0.25</v>
      </c>
      <c r="J1747" s="34"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1" t="n">
        <v>0.86</v>
      </c>
      <c r="J1748" s="32"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3" t="n">
        <v>1.1</v>
      </c>
      <c r="J1749" s="34"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1" t="n">
        <v>0.86</v>
      </c>
      <c r="J1750" s="32"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3" t="n">
        <v>1.1</v>
      </c>
      <c r="J1751" s="34"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1" t="n">
        <v>0.33</v>
      </c>
      <c r="J1752" s="32"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3" t="n">
        <v>0.25</v>
      </c>
      <c r="J1753" s="34"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1" t="n">
        <v>0.33</v>
      </c>
      <c r="J1754" s="32"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3" t="n">
        <v>0.25</v>
      </c>
      <c r="J1755" s="34"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1" t="n">
        <v>0.33</v>
      </c>
      <c r="J1756" s="32"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3" t="n">
        <v>0.25</v>
      </c>
      <c r="J1757" s="34"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1" t="n">
        <v>0.33</v>
      </c>
      <c r="J1758" s="32"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3" t="n">
        <v>0.25</v>
      </c>
      <c r="J1759" s="34"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1" t="n">
        <v>0.03</v>
      </c>
      <c r="J1760" s="32"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3" t="n">
        <v>0.03</v>
      </c>
      <c r="J1761" s="34"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1" t="n">
        <v>0.03</v>
      </c>
      <c r="J1762" s="32"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3" t="n">
        <v>0.7</v>
      </c>
      <c r="J1763" s="34"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1" t="n">
        <v>1.45</v>
      </c>
      <c r="J1764" s="32"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3" t="n">
        <v>0.7</v>
      </c>
      <c r="J1765" s="34"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1" t="n">
        <v>0.7</v>
      </c>
      <c r="J1766" s="32"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3" t="n">
        <v>1.45</v>
      </c>
      <c r="J1767" s="34"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1" t="n">
        <v>0.7</v>
      </c>
      <c r="J1768" s="32"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3" t="n">
        <v>0.14</v>
      </c>
      <c r="J1769" s="34"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1" t="n">
        <v>0.09</v>
      </c>
      <c r="J1770" s="32"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3" t="n">
        <v>0.14</v>
      </c>
      <c r="J1771" s="34"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1" t="n">
        <v>0.09</v>
      </c>
      <c r="J1772" s="32"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3" t="n">
        <v>0.14</v>
      </c>
      <c r="J1773" s="34"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1" t="n">
        <v>0.09</v>
      </c>
      <c r="J1774" s="32"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3" t="n">
        <v>0.08</v>
      </c>
      <c r="J1775" s="34"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1" t="n">
        <v>0.14</v>
      </c>
      <c r="J1776" s="32"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3" t="n">
        <v>0.09</v>
      </c>
      <c r="J1777" s="34"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1" t="n">
        <v>0.14</v>
      </c>
      <c r="J1778" s="32"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3" t="n">
        <v>0.09</v>
      </c>
      <c r="J1779" s="34"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1" t="n">
        <v>0.14</v>
      </c>
      <c r="J1780" s="32"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3" t="n">
        <v>0.09</v>
      </c>
      <c r="J1781" s="34"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1" t="n">
        <v>0.08</v>
      </c>
      <c r="J1782" s="32"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3" t="n">
        <v>0.14</v>
      </c>
      <c r="J1783" s="34"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1" t="n">
        <v>0.09</v>
      </c>
      <c r="J1784" s="32"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3" t="n">
        <v>0.14</v>
      </c>
      <c r="J1785" s="34"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1" t="n">
        <v>0.09</v>
      </c>
      <c r="J1786" s="32"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3" t="n">
        <v>0.14</v>
      </c>
      <c r="J1787" s="34"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1" t="n">
        <v>0.09</v>
      </c>
      <c r="J1788" s="32"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3" t="n">
        <v>0.08</v>
      </c>
      <c r="J1789" s="34"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1" t="n">
        <v>0.14</v>
      </c>
      <c r="J1790" s="32"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3" t="n">
        <v>0.14</v>
      </c>
      <c r="J1791" s="34"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1" t="n">
        <v>0.14</v>
      </c>
      <c r="J1792" s="32"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3" t="n">
        <v>0.14</v>
      </c>
      <c r="J1793" s="34"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1" t="n">
        <v>0.14</v>
      </c>
      <c r="J1794" s="32"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3" t="n">
        <v>0.14</v>
      </c>
      <c r="J1795" s="34"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1" t="n">
        <v>0.14</v>
      </c>
      <c r="J1796" s="32"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3" t="n">
        <v>0.14</v>
      </c>
      <c r="J1797" s="34"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1" t="n">
        <v>0.4</v>
      </c>
      <c r="J1798" s="32"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3" t="n">
        <v>0.2</v>
      </c>
      <c r="J1799" s="34"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1" t="n">
        <v>0.4</v>
      </c>
      <c r="J1800" s="32"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3" t="n">
        <v>0.2</v>
      </c>
      <c r="J1801" s="34"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1" t="n">
        <v>0.4</v>
      </c>
      <c r="J1802" s="32"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3" t="n">
        <v>0.2</v>
      </c>
      <c r="J1803" s="34"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1" t="n">
        <v>0.4</v>
      </c>
      <c r="J1804" s="32"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3" t="n">
        <v>0.2</v>
      </c>
      <c r="J1805" s="34"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1" t="n">
        <v>0.4</v>
      </c>
      <c r="J1806" s="32"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3" t="n">
        <v>0.2</v>
      </c>
      <c r="J1807" s="34"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1" t="n">
        <v>0.4</v>
      </c>
      <c r="J1808" s="32"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3" t="n">
        <v>0.2</v>
      </c>
      <c r="J1809" s="34"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1" t="n">
        <v>0.14</v>
      </c>
      <c r="J1810" s="32"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3" t="n">
        <v>0.09</v>
      </c>
      <c r="J1811" s="34"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1" t="n">
        <v>0.14</v>
      </c>
      <c r="J1812" s="32"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3" t="n">
        <v>0.09</v>
      </c>
      <c r="J1813" s="34"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1" t="n">
        <v>0.14</v>
      </c>
      <c r="J1814" s="32"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3" t="n">
        <v>0.09</v>
      </c>
      <c r="J1815" s="34"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1" t="n">
        <v>0.25</v>
      </c>
      <c r="J1816" s="32"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3" t="n">
        <v>0.25</v>
      </c>
      <c r="J1817" s="34"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1" t="n">
        <v>0.1</v>
      </c>
      <c r="J1818" s="32"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3" t="n">
        <v>0.1</v>
      </c>
      <c r="J1819" s="34"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1" t="n">
        <v>0.1</v>
      </c>
      <c r="J1820" s="32"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3" t="n">
        <v>0.08</v>
      </c>
      <c r="J1821" s="34"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1" t="n">
        <v>0.25</v>
      </c>
      <c r="J1822" s="32"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3" t="n">
        <v>0.12</v>
      </c>
      <c r="J1823" s="34"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1" t="n">
        <v>0.12</v>
      </c>
      <c r="J1824" s="32"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3" t="n">
        <v>0.06</v>
      </c>
      <c r="J1825" s="34"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1" t="n">
        <v>0.06</v>
      </c>
      <c r="J1826" s="32"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3" t="n">
        <v>0.06</v>
      </c>
      <c r="J1827" s="34"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1" t="n">
        <v>0.08</v>
      </c>
      <c r="J1828" s="32"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3" t="n">
        <v>0.08</v>
      </c>
      <c r="J1829" s="34"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1" t="n">
        <v>0.08</v>
      </c>
      <c r="J1830" s="32"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3" t="n">
        <v>0.1</v>
      </c>
      <c r="J1831" s="34"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1" t="n">
        <v>0.1</v>
      </c>
      <c r="J1832" s="32"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3" t="n">
        <v>0.1</v>
      </c>
      <c r="J1833" s="34"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1" t="n">
        <v>0.1</v>
      </c>
      <c r="J1834" s="32"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3" t="n">
        <v>0.14</v>
      </c>
      <c r="J1835" s="34"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1" t="n">
        <v>0.09</v>
      </c>
      <c r="J1836" s="32"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3" t="n">
        <v>0.14</v>
      </c>
      <c r="J1837" s="34"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1" t="n">
        <v>0.09</v>
      </c>
      <c r="J1838" s="32"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3" t="n">
        <v>0.14</v>
      </c>
      <c r="J1839" s="34"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1" t="n">
        <v>0.09</v>
      </c>
      <c r="J1840" s="32"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3" t="n">
        <v>0.08</v>
      </c>
      <c r="J1841" s="34"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1" t="n">
        <v>0.14</v>
      </c>
      <c r="J1842" s="32"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3" t="n">
        <v>0.09</v>
      </c>
      <c r="J1843" s="34"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1" t="n">
        <v>0.14</v>
      </c>
      <c r="J1844" s="32"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3" t="n">
        <v>0.09</v>
      </c>
      <c r="J1845" s="34"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1" t="n">
        <v>0.14</v>
      </c>
      <c r="J1846" s="32"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3" t="n">
        <v>0.09</v>
      </c>
      <c r="J1847" s="34"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1" t="n">
        <v>0.14</v>
      </c>
      <c r="J1848" s="32"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3" t="n">
        <v>0.1</v>
      </c>
      <c r="J1849" s="34"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1" t="n">
        <v>0.14</v>
      </c>
      <c r="J1850" s="32"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3" t="n">
        <v>0.1</v>
      </c>
      <c r="J1851" s="34"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1" t="n">
        <v>0.14</v>
      </c>
      <c r="J1852" s="32"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3" t="n">
        <v>0.1</v>
      </c>
      <c r="J1853" s="34"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1" t="n">
        <v>0.14</v>
      </c>
      <c r="J1854" s="32"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3" t="n">
        <v>0.1</v>
      </c>
      <c r="J1855" s="34"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1" t="n">
        <v>0.14</v>
      </c>
      <c r="J1856" s="32"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3" t="n">
        <v>0.1</v>
      </c>
      <c r="J1857" s="34"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1" t="n">
        <v>0.14</v>
      </c>
      <c r="J1858" s="32"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3" t="n">
        <v>0.1</v>
      </c>
      <c r="J1859" s="34"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1" t="n">
        <v>0.08</v>
      </c>
      <c r="J1860" s="32"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3" t="n">
        <v>0.14</v>
      </c>
      <c r="J1861" s="34"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1" t="n">
        <v>0.14</v>
      </c>
      <c r="J1862" s="32"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3" t="n">
        <v>0.14</v>
      </c>
      <c r="J1863" s="34"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1" t="n">
        <v>0.14</v>
      </c>
      <c r="J1864" s="32"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3" t="n">
        <v>0.14</v>
      </c>
      <c r="J1865" s="34"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1" t="n">
        <v>0.14</v>
      </c>
      <c r="J1866" s="32"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3" t="n">
        <v>0.14</v>
      </c>
      <c r="J1867" s="34"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1" t="n">
        <v>0.14</v>
      </c>
      <c r="J1868" s="32"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3" t="n">
        <v>0.1</v>
      </c>
      <c r="J1869" s="34"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1" t="n">
        <v>0.1</v>
      </c>
      <c r="J1870" s="32"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3" t="n">
        <v>0.1</v>
      </c>
      <c r="J1871" s="34"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1" t="n">
        <v>0.1</v>
      </c>
      <c r="J1872" s="32"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3" t="n">
        <v>0.12</v>
      </c>
      <c r="J1873" s="34"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1" t="n">
        <v>0.12</v>
      </c>
      <c r="J1874" s="32"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3" t="n">
        <v>0.17</v>
      </c>
      <c r="J1875" s="34"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1" t="n">
        <v>0.17</v>
      </c>
      <c r="J1876" s="32"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3" t="n">
        <v>0.17</v>
      </c>
      <c r="J1877" s="34"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1" t="n">
        <v>0.17</v>
      </c>
      <c r="J1878" s="32"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3" t="n">
        <v>0.17</v>
      </c>
      <c r="J1879" s="34"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1" t="n">
        <v>0.17</v>
      </c>
      <c r="J1880" s="32"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3" t="n">
        <v>0.17</v>
      </c>
      <c r="J1881" s="34"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1" t="n">
        <v>0.14</v>
      </c>
      <c r="J1882" s="32"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3" t="n">
        <v>0.06</v>
      </c>
      <c r="J1883" s="34"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1" t="n">
        <v>0.06</v>
      </c>
      <c r="J1884" s="32"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3" t="n">
        <v>0.06</v>
      </c>
      <c r="J1885" s="34"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1" t="n">
        <v>0.03</v>
      </c>
      <c r="J1886" s="32"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3" t="n">
        <v>1</v>
      </c>
      <c r="J1887" s="34"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1" t="n">
        <v>1</v>
      </c>
      <c r="J1888" s="32"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3" t="n">
        <v>0.1</v>
      </c>
      <c r="J1889" s="34"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1" t="n">
        <v>0.1</v>
      </c>
      <c r="J1890" s="32"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3" t="n">
        <v>0.1</v>
      </c>
      <c r="J1891" s="34"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1" t="n">
        <v>0.1</v>
      </c>
      <c r="J1892" s="32"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3" t="n">
        <v>0.08</v>
      </c>
      <c r="J1893" s="34"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1" t="n">
        <v>0.08</v>
      </c>
      <c r="J1894" s="32"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3" t="n">
        <v>0.08</v>
      </c>
      <c r="J1895" s="34"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1" t="n">
        <v>0.17</v>
      </c>
      <c r="J1896" s="32"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3" t="n">
        <v>0.17</v>
      </c>
      <c r="J1897" s="34"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1" t="n">
        <v>0.17</v>
      </c>
      <c r="J1898" s="32"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3" t="n">
        <v>0.17</v>
      </c>
      <c r="J1899" s="34"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1" t="n">
        <v>0.17</v>
      </c>
      <c r="J1900" s="32"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3" t="n">
        <v>0.17</v>
      </c>
      <c r="J1901" s="34"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1" t="n">
        <v>0.14</v>
      </c>
      <c r="J1902" s="32"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3" t="n">
        <v>0.06</v>
      </c>
      <c r="J1903" s="34"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1" t="n">
        <v>0.06</v>
      </c>
      <c r="J1904" s="32"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3" t="n">
        <v>0.06</v>
      </c>
      <c r="J1905" s="34"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1" t="n">
        <v>0.1</v>
      </c>
      <c r="J1906" s="32"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3" t="n">
        <v>0.1</v>
      </c>
      <c r="J1907" s="34"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1" t="n">
        <v>0.1</v>
      </c>
      <c r="J1908" s="32"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3" t="n">
        <v>0.1</v>
      </c>
      <c r="J1909" s="34"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1" t="n">
        <v>0.14</v>
      </c>
      <c r="J1910" s="32"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3" t="n">
        <v>0.09</v>
      </c>
      <c r="J1911" s="34"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1" t="n">
        <v>0.14</v>
      </c>
      <c r="J1912" s="32"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3" t="n">
        <v>0.09</v>
      </c>
      <c r="J1913" s="34"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1" t="n">
        <v>0.14</v>
      </c>
      <c r="J1914" s="32"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3" t="n">
        <v>0.09</v>
      </c>
      <c r="J1915" s="34"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1" t="n">
        <v>0.14</v>
      </c>
      <c r="J1916" s="32"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3" t="n">
        <v>0.09</v>
      </c>
      <c r="J1917" s="34"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1" t="n">
        <v>0.14</v>
      </c>
      <c r="J1918" s="32"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3" t="n">
        <v>0.09</v>
      </c>
      <c r="J1919" s="34"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1" t="n">
        <v>0.14</v>
      </c>
      <c r="J1920" s="32"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3" t="n">
        <v>0.09</v>
      </c>
      <c r="J1921" s="34"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1" t="n">
        <v>0.14</v>
      </c>
      <c r="J1922" s="32"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3" t="n">
        <v>0.09</v>
      </c>
      <c r="J1923" s="34"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1" t="n">
        <v>0.14</v>
      </c>
      <c r="J1924" s="32"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3" t="n">
        <v>0.09</v>
      </c>
      <c r="J1925" s="34"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1" t="n">
        <v>0.5</v>
      </c>
      <c r="J1926" s="32"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3" t="n">
        <v>0.5</v>
      </c>
      <c r="J1927" s="34"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1" t="n">
        <v>0.125</v>
      </c>
      <c r="J1928" s="32"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3" t="n">
        <v>0.125</v>
      </c>
      <c r="J1929" s="34"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1" t="n">
        <v>0.125</v>
      </c>
      <c r="J1930" s="32"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3" t="n">
        <v>0.08</v>
      </c>
      <c r="J1931" s="34"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1" t="n">
        <v>0.08</v>
      </c>
      <c r="J1932" s="32"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3" t="n">
        <v>0.25</v>
      </c>
      <c r="J1933" s="34"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1" t="n">
        <v>0.07000000000000001</v>
      </c>
      <c r="J1934" s="32"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3" t="n">
        <v>0.05</v>
      </c>
      <c r="J1935" s="34"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1" t="n">
        <v>0.06</v>
      </c>
      <c r="J1936" s="32"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3" t="n">
        <v>0.06</v>
      </c>
      <c r="J1937" s="34"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1" t="n">
        <v>0.06</v>
      </c>
      <c r="J1938" s="32"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3" t="n">
        <v>0.03</v>
      </c>
      <c r="J1939" s="34"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1" t="n">
        <v>0.03</v>
      </c>
      <c r="J1940" s="32"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3" t="n">
        <v>0.1</v>
      </c>
      <c r="J1941" s="34"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1" t="n">
        <v>0.17</v>
      </c>
      <c r="J1942" s="32"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3" t="n">
        <v>6.57</v>
      </c>
      <c r="J1943" s="34"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1" t="n">
        <v>2.847</v>
      </c>
      <c r="J1944" s="32"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3" t="n">
        <v>1.095</v>
      </c>
      <c r="J1945" s="34"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1" t="n">
        <v>7.665</v>
      </c>
      <c r="J1946" s="32"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3" t="n">
        <v>6.57</v>
      </c>
      <c r="J1947" s="34"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1" t="n">
        <v>2.847</v>
      </c>
      <c r="J1948" s="32"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3" t="n">
        <v>1.095</v>
      </c>
      <c r="J1949" s="34"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1" t="n">
        <v>7.665</v>
      </c>
      <c r="J1950" s="32"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3" t="n">
        <v>6.57</v>
      </c>
      <c r="J1951" s="34"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1" t="n">
        <v>2.847</v>
      </c>
      <c r="J1952" s="32"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3" t="n">
        <v>1.095</v>
      </c>
      <c r="J1953" s="34"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1" t="n">
        <v>7.665</v>
      </c>
      <c r="J1954" s="32"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3" t="n">
        <v>6.57</v>
      </c>
      <c r="J1955" s="34"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1" t="n">
        <v>2.847</v>
      </c>
      <c r="J1956" s="32"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3" t="n">
        <v>1.095</v>
      </c>
      <c r="J1957" s="34"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1" t="n">
        <v>7.665</v>
      </c>
      <c r="J1958" s="32"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3" t="n">
        <v>6.57</v>
      </c>
      <c r="J1959" s="34"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1" t="n">
        <v>2.847</v>
      </c>
      <c r="J1960" s="32"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3" t="n">
        <v>1.095</v>
      </c>
      <c r="J1961" s="34"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1" t="n">
        <v>7.665</v>
      </c>
      <c r="J1962" s="32"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3" t="n">
        <v>0.06</v>
      </c>
      <c r="J1963" s="34"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1" t="n">
        <v>0.06</v>
      </c>
      <c r="J1964" s="32"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3" t="n">
        <v>0.14</v>
      </c>
      <c r="J1965" s="34"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1" t="n">
        <v>0.09</v>
      </c>
      <c r="J1966" s="32"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3" t="n">
        <v>0.14</v>
      </c>
      <c r="J1967" s="34"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1" t="n">
        <v>0.09</v>
      </c>
      <c r="J1968" s="32"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3" t="n">
        <v>0.08</v>
      </c>
      <c r="J1969" s="34"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1" t="n">
        <v>0.1</v>
      </c>
      <c r="J1970" s="32"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3" t="n">
        <v>0.03</v>
      </c>
      <c r="J1971" s="34"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1" t="n">
        <v>0.25</v>
      </c>
      <c r="J1972" s="32"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3" t="n">
        <v>0.25</v>
      </c>
      <c r="J1973" s="34"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1" t="n">
        <v>0.75</v>
      </c>
      <c r="J1974" s="32"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3" t="n">
        <v>0.25</v>
      </c>
      <c r="J1975" s="34"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1" t="n">
        <v>0.25</v>
      </c>
      <c r="J1976" s="32"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3" t="n">
        <v>0.13</v>
      </c>
      <c r="J1977" s="34"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1" t="n">
        <v>0.15</v>
      </c>
      <c r="J1978" s="32"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3" t="n">
        <v>0.15</v>
      </c>
      <c r="J1979" s="34"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1" t="n">
        <v>0.15</v>
      </c>
      <c r="J1980" s="32"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3" t="n">
        <v>0.15</v>
      </c>
      <c r="J1981" s="34"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1" t="n">
        <v>0.4</v>
      </c>
      <c r="J1982" s="32"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3" t="n">
        <v>0.4</v>
      </c>
      <c r="J1983" s="34"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1" t="n">
        <v>0.4</v>
      </c>
      <c r="J1984" s="32"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3" t="n">
        <v>0.4</v>
      </c>
      <c r="J1985" s="34"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1" t="n">
        <v>0.4</v>
      </c>
      <c r="J1986" s="32"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3" t="n">
        <v>0.4</v>
      </c>
      <c r="J1987" s="34"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1" t="n">
        <v>0.15</v>
      </c>
      <c r="J1988" s="32"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3" t="n">
        <v>0.15</v>
      </c>
      <c r="J1989" s="34"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1" t="n">
        <v>0.4</v>
      </c>
      <c r="J1990" s="32"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3" t="n">
        <v>0.4</v>
      </c>
      <c r="J1991" s="34"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1" t="n">
        <v>0.4</v>
      </c>
      <c r="J1992" s="32"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3" t="n">
        <v>0.4</v>
      </c>
      <c r="J1993" s="34"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1" t="n">
        <v>0.15</v>
      </c>
      <c r="J1994" s="32"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3" t="n">
        <v>0.15</v>
      </c>
      <c r="J1995" s="34"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1" t="n">
        <v>0.4</v>
      </c>
      <c r="J1996" s="32"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3" t="n">
        <v>0.4</v>
      </c>
      <c r="J1997" s="34"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1" t="n">
        <v>0.4</v>
      </c>
      <c r="J1998" s="32"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3" t="n">
        <v>0.4</v>
      </c>
      <c r="J1999" s="34"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1" t="n">
        <v>0.15</v>
      </c>
      <c r="J2000" s="32"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3" t="n">
        <v>0.15</v>
      </c>
      <c r="J2001" s="34"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1" t="n">
        <v>0.4</v>
      </c>
      <c r="J2002" s="32"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3" t="n">
        <v>0.4</v>
      </c>
      <c r="J2003" s="34"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1" t="n">
        <v>0.4</v>
      </c>
      <c r="J2004" s="32"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3" t="n">
        <v>0.4</v>
      </c>
      <c r="J2005" s="34"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1" t="n">
        <v>0.11</v>
      </c>
      <c r="J2006" s="32"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3" t="n">
        <v>0.14</v>
      </c>
      <c r="J2007" s="34"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1" t="n">
        <v>0.02</v>
      </c>
      <c r="J2008" s="32"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3" t="n">
        <v>0.57</v>
      </c>
      <c r="J2009" s="34"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1" t="n">
        <v>0.57</v>
      </c>
      <c r="J2010" s="32"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3" t="n">
        <v>0.5</v>
      </c>
      <c r="J2011" s="34"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1" t="n">
        <v>0.5</v>
      </c>
      <c r="J2012" s="32"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3" t="n">
        <v>0.5</v>
      </c>
      <c r="J2013" s="34"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1" t="n">
        <v>0.5</v>
      </c>
      <c r="J2014" s="32"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3" t="n">
        <v>0.5</v>
      </c>
      <c r="J2015" s="34"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1" t="n">
        <v>0.5</v>
      </c>
      <c r="J2016" s="32"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3" t="n">
        <v>0.07000000000000001</v>
      </c>
      <c r="J2017" s="34"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1" t="n">
        <v>0.5</v>
      </c>
      <c r="J2018" s="32"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3" t="n">
        <v>0.5</v>
      </c>
      <c r="J2019" s="34"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1" t="n">
        <v>0.07000000000000001</v>
      </c>
      <c r="J2020" s="32"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3" t="n">
        <v>0.5</v>
      </c>
      <c r="J2021" s="34"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1" t="n">
        <v>0.5</v>
      </c>
      <c r="J2022" s="32"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3" t="n">
        <v>0.07000000000000001</v>
      </c>
      <c r="J2023" s="34"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1" t="n">
        <v>0.27</v>
      </c>
      <c r="J2024" s="32"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3" t="n">
        <v>0.3</v>
      </c>
      <c r="J2025" s="34"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1" t="n">
        <v>3.8</v>
      </c>
      <c r="J2026" s="32"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3" t="n">
        <v>4.6</v>
      </c>
      <c r="J2027" s="34"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1" t="n">
        <v>3.8</v>
      </c>
      <c r="J2028" s="32"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3" t="n">
        <v>4.6</v>
      </c>
      <c r="J2029" s="34"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1" t="n">
        <v>3.8</v>
      </c>
      <c r="J2030" s="32"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3" t="n">
        <v>4.6</v>
      </c>
      <c r="J2031" s="34"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1" t="n">
        <v>3.8</v>
      </c>
      <c r="J2032" s="32"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3" t="n">
        <v>4.6</v>
      </c>
      <c r="J2033" s="34"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1" t="n">
        <v>1.3</v>
      </c>
      <c r="J2034" s="32"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3" t="n">
        <v>0.9</v>
      </c>
      <c r="J2035" s="34"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1" t="n">
        <v>1.05</v>
      </c>
      <c r="J2036" s="32"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3" t="n">
        <v>0.105</v>
      </c>
      <c r="J2037" s="34"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1" t="n">
        <v>1.3</v>
      </c>
      <c r="J2038" s="32"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3" t="n">
        <v>0.9</v>
      </c>
      <c r="J2039" s="34"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1" t="n">
        <v>1.05</v>
      </c>
      <c r="J2040" s="32"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3" t="n">
        <v>0.105</v>
      </c>
      <c r="J2041" s="34"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1" t="n">
        <v>1.3</v>
      </c>
      <c r="J2042" s="32"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3" t="n">
        <v>0.9</v>
      </c>
      <c r="J2043" s="34"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1" t="n">
        <v>1.05</v>
      </c>
      <c r="J2044" s="32"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3" t="n">
        <v>0.105</v>
      </c>
      <c r="J2045" s="34"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1" t="n">
        <v>1.3</v>
      </c>
      <c r="J2046" s="32"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3" t="n">
        <v>0.9</v>
      </c>
      <c r="J2047" s="34"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1" t="n">
        <v>1.05</v>
      </c>
      <c r="J2048" s="32"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3" t="n">
        <v>0.105</v>
      </c>
      <c r="J2049" s="34"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1" t="n">
        <v>1.3</v>
      </c>
      <c r="J2050" s="32"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3" t="n">
        <v>0.9</v>
      </c>
      <c r="J2051" s="34"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1" t="n">
        <v>1.05</v>
      </c>
      <c r="J2052" s="32"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3" t="n">
        <v>0.105</v>
      </c>
      <c r="J2053" s="34"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1" t="n">
        <v>1.3</v>
      </c>
      <c r="J2054" s="32"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3" t="n">
        <v>0.9</v>
      </c>
      <c r="J2055" s="34"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1" t="n">
        <v>1.05</v>
      </c>
      <c r="J2056" s="32"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3" t="n">
        <v>0.105</v>
      </c>
      <c r="J2057" s="34"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1" t="n">
        <v>1.2</v>
      </c>
      <c r="J2058" s="32"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3" t="n">
        <v>0.8</v>
      </c>
      <c r="J2059" s="34"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1" t="n">
        <v>1</v>
      </c>
      <c r="J2060" s="32"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3" t="n">
        <v>0.1</v>
      </c>
      <c r="J2061" s="34"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1" t="n">
        <v>1.2</v>
      </c>
      <c r="J2062" s="32"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3" t="n">
        <v>0.8</v>
      </c>
      <c r="J2063" s="34"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1" t="n">
        <v>1</v>
      </c>
      <c r="J2064" s="32"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3" t="n">
        <v>0.1</v>
      </c>
      <c r="J2065" s="34"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1" t="n">
        <v>1.2</v>
      </c>
      <c r="J2066" s="32"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3" t="n">
        <v>0.8</v>
      </c>
      <c r="J2067" s="34"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1" t="n">
        <v>1</v>
      </c>
      <c r="J2068" s="32"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3" t="n">
        <v>0.1</v>
      </c>
      <c r="J2069" s="34"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1" t="n">
        <v>1.2</v>
      </c>
      <c r="J2070" s="32"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3" t="n">
        <v>0.8</v>
      </c>
      <c r="J2071" s="34"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1" t="n">
        <v>1</v>
      </c>
      <c r="J2072" s="32"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3" t="n">
        <v>0.1</v>
      </c>
      <c r="J2073" s="34"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1" t="n">
        <v>1.2</v>
      </c>
      <c r="J2074" s="32"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3" t="n">
        <v>0.8</v>
      </c>
      <c r="J2075" s="34"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1" t="n">
        <v>1</v>
      </c>
      <c r="J2076" s="32"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3" t="n">
        <v>0.1</v>
      </c>
      <c r="J2077" s="34"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1" t="n">
        <v>1.2</v>
      </c>
      <c r="J2078" s="32"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3" t="n">
        <v>0.8</v>
      </c>
      <c r="J2079" s="34"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1" t="n">
        <v>1</v>
      </c>
      <c r="J2080" s="32"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3" t="n">
        <v>0.1</v>
      </c>
      <c r="J2081" s="34"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1" t="n">
        <v>0.33</v>
      </c>
      <c r="J2082" s="32"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3" t="n">
        <v>0.25</v>
      </c>
      <c r="J2083" s="34"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1" t="n">
        <v>0.33</v>
      </c>
      <c r="J2084" s="32"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3" t="n">
        <v>0.25</v>
      </c>
      <c r="J2085" s="34"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1" t="n">
        <v>0.17</v>
      </c>
      <c r="J2086" s="32"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3" t="n">
        <v>1.28</v>
      </c>
      <c r="J2087" s="34"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1" t="n">
        <v>1.43</v>
      </c>
      <c r="J2088" s="32"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3" t="n">
        <v>0.15</v>
      </c>
      <c r="J2089" s="34"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1" t="n">
        <v>0.15</v>
      </c>
      <c r="J2090" s="32"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3" t="n">
        <v>0.4</v>
      </c>
      <c r="J2091" s="34"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1" t="n">
        <v>0.4</v>
      </c>
      <c r="J2092" s="32"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3" t="n">
        <v>0.4</v>
      </c>
      <c r="J2093" s="34"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1" t="n">
        <v>0.4</v>
      </c>
      <c r="J2094" s="32"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3" t="n">
        <v>0.15</v>
      </c>
      <c r="J2095" s="34"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1" t="n">
        <v>0.15</v>
      </c>
      <c r="J2096" s="32"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3" t="n">
        <v>0.4</v>
      </c>
      <c r="J2097" s="34"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1" t="n">
        <v>0.4</v>
      </c>
      <c r="J2098" s="32"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3" t="n">
        <v>0.15</v>
      </c>
      <c r="J2099" s="34"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1" t="n">
        <v>0.15</v>
      </c>
      <c r="J2100" s="32"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3" t="n">
        <v>0.4</v>
      </c>
      <c r="J2101" s="34"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1" t="n">
        <v>0.4</v>
      </c>
      <c r="J2102" s="32"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3" t="n">
        <v>0.68</v>
      </c>
      <c r="J2103" s="34"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1" t="n">
        <v>0.68</v>
      </c>
      <c r="J2104" s="32"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3" t="n">
        <v>1.35</v>
      </c>
      <c r="J2105" s="34"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1" t="n">
        <v>1.35</v>
      </c>
      <c r="J2106" s="32"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3" t="n">
        <v>2.16</v>
      </c>
      <c r="J2107" s="34"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1" t="n">
        <v>2.16</v>
      </c>
      <c r="J2108" s="32"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3" t="n">
        <v>0.95</v>
      </c>
      <c r="J2109" s="34"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1" t="n">
        <v>0.95</v>
      </c>
      <c r="J2110" s="32"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3" t="n">
        <v>1.62</v>
      </c>
      <c r="J2111" s="34"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1" t="n">
        <v>1.62</v>
      </c>
      <c r="J2112" s="32"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3" t="n">
        <v>4</v>
      </c>
      <c r="J2113" s="34"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1" t="n">
        <v>4</v>
      </c>
      <c r="J2114" s="32"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3" t="n">
        <v>0.6</v>
      </c>
      <c r="J2115" s="34"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1" t="n">
        <v>0.6</v>
      </c>
      <c r="J2116" s="32"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3" t="n">
        <v>1.89</v>
      </c>
      <c r="J2117" s="34"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1" t="n">
        <v>1.89</v>
      </c>
      <c r="J2118" s="32"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3" t="n">
        <v>2.43</v>
      </c>
      <c r="J2119" s="34"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1" t="n">
        <v>2.43</v>
      </c>
      <c r="J2120" s="32"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3" t="n">
        <v>1.62</v>
      </c>
      <c r="J2121" s="34"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1" t="n">
        <v>1.62</v>
      </c>
      <c r="J2122" s="32"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3" t="n">
        <v>1.62</v>
      </c>
      <c r="J2123" s="34"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1" t="n">
        <v>1.62</v>
      </c>
      <c r="J2124" s="32"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3" t="n">
        <v>2.03</v>
      </c>
      <c r="J2125" s="34"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1" t="n">
        <v>2.03</v>
      </c>
      <c r="J2126" s="32"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3" t="n">
        <v>2.43</v>
      </c>
      <c r="J2127" s="34"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1" t="n">
        <v>2.43</v>
      </c>
      <c r="J2128" s="32"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3" t="n">
        <v>2.43</v>
      </c>
      <c r="J2129" s="34"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1" t="n">
        <v>2.43</v>
      </c>
      <c r="J2130" s="32"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3" t="n">
        <v>3.6</v>
      </c>
      <c r="J2131" s="34"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1" t="n">
        <v>3.6</v>
      </c>
      <c r="J2132" s="32"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3" t="n">
        <v>7.2</v>
      </c>
      <c r="J2133" s="34"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1" t="n">
        <v>7.2</v>
      </c>
      <c r="J2134" s="32"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3" t="n">
        <v>4.2</v>
      </c>
      <c r="J2135" s="34"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1" t="n">
        <v>4.2</v>
      </c>
      <c r="J2136" s="32"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3" t="n">
        <v>8.4</v>
      </c>
      <c r="J2137" s="34"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1" t="n">
        <v>8.4</v>
      </c>
      <c r="J2138" s="32"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3" t="n">
        <v>6.3</v>
      </c>
      <c r="J2139" s="34"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1" t="n">
        <v>6.3</v>
      </c>
      <c r="J2140" s="32"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3" t="n">
        <v>4.2</v>
      </c>
      <c r="J2141" s="34"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1" t="n">
        <v>4.2</v>
      </c>
      <c r="J2142" s="32"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3" t="n">
        <v>0.14</v>
      </c>
      <c r="J2143" s="34"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1" t="n">
        <v>0.14</v>
      </c>
      <c r="J2144" s="32"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3" t="n">
        <v>0.14</v>
      </c>
      <c r="J2145" s="34"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1" t="n">
        <v>0.14</v>
      </c>
      <c r="J2146" s="32"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3" t="n">
        <v>0.14</v>
      </c>
      <c r="J2147" s="34"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1" t="n">
        <v>0.14</v>
      </c>
      <c r="J2148" s="32"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3" t="n">
        <v>0.14</v>
      </c>
      <c r="J2149" s="34"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1" t="n">
        <v>0.14</v>
      </c>
      <c r="J2150" s="32"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3" t="n">
        <v>0.14</v>
      </c>
      <c r="J2151" s="34"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1" t="n">
        <v>0.14</v>
      </c>
      <c r="J2152" s="32"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3" t="n">
        <v>0.125</v>
      </c>
      <c r="J2153" s="34"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1" t="n">
        <v>0.125</v>
      </c>
      <c r="J2154" s="32"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3" t="n">
        <v>0.125</v>
      </c>
      <c r="J2155" s="34"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1" t="n">
        <v>0.125</v>
      </c>
      <c r="J2156" s="32"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3" t="n">
        <v>0.125</v>
      </c>
      <c r="J2157" s="34"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1" t="n">
        <v>0.4</v>
      </c>
      <c r="J2158" s="32"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3" t="n">
        <v>0.53</v>
      </c>
      <c r="J2159" s="34"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1" t="n">
        <v>1.23</v>
      </c>
      <c r="J2160" s="32"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3" t="n">
        <v>0.06</v>
      </c>
      <c r="J2161" s="34"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1" t="n">
        <v>0.57</v>
      </c>
      <c r="J2162" s="32"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3" t="n">
        <v>0.9</v>
      </c>
      <c r="J2163" s="34"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1" t="n">
        <v>1</v>
      </c>
      <c r="J2164" s="32"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3" t="n">
        <v>0.9</v>
      </c>
      <c r="J2165" s="34"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1" t="n">
        <v>1</v>
      </c>
      <c r="J2166" s="32"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3" t="n">
        <v>0.11</v>
      </c>
      <c r="J2167" s="34"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1" t="n">
        <v>0.06</v>
      </c>
      <c r="J2168" s="32"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3" t="n">
        <v>0.11</v>
      </c>
      <c r="J2169" s="34"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1" t="n">
        <v>0.06</v>
      </c>
      <c r="J2170" s="32"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3" t="n">
        <v>1.28</v>
      </c>
      <c r="J2171" s="34"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1" t="n">
        <v>1.43</v>
      </c>
      <c r="J2172" s="32"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3" t="n">
        <v>1.28</v>
      </c>
      <c r="J2173" s="34"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1" t="n">
        <v>1.43</v>
      </c>
      <c r="J2174" s="32"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3" t="n">
        <v>1.28</v>
      </c>
      <c r="J2175" s="34"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1" t="n">
        <v>1.43</v>
      </c>
      <c r="J2176" s="32"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3" t="n">
        <v>0.55</v>
      </c>
      <c r="J2177" s="34"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1" t="n">
        <v>0.55</v>
      </c>
      <c r="J2178" s="32"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3" t="n">
        <v>0.77</v>
      </c>
      <c r="J2179" s="34"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1" t="n">
        <v>0.86</v>
      </c>
      <c r="J2180" s="32"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3" t="n">
        <v>0.77</v>
      </c>
      <c r="J2181" s="34"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1" t="n">
        <v>0.86</v>
      </c>
      <c r="J2182" s="32"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3" t="n">
        <v>0.06</v>
      </c>
      <c r="J2183" s="34"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1" t="n">
        <v>0.06</v>
      </c>
      <c r="J2184" s="32"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3" t="n">
        <v>0.06</v>
      </c>
      <c r="J2185" s="34"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1" t="n">
        <v>0.5</v>
      </c>
      <c r="J2186" s="32"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3" t="n">
        <v>0.75</v>
      </c>
      <c r="J2187" s="34"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1" t="n">
        <v>1</v>
      </c>
      <c r="J2188" s="32"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3" t="n">
        <v>2.7</v>
      </c>
      <c r="J2189" s="34"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1" t="n">
        <v>3.6</v>
      </c>
      <c r="J2190" s="32"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3" t="n">
        <v>5.4</v>
      </c>
      <c r="J2191" s="34"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1" t="n">
        <v>3.6</v>
      </c>
      <c r="J2192" s="32"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3" t="n">
        <v>0.44</v>
      </c>
      <c r="J2193" s="34"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1" t="n">
        <v>3</v>
      </c>
      <c r="J2194" s="32"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3" t="n">
        <v>6</v>
      </c>
      <c r="J2195" s="34"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1" t="n">
        <v>6</v>
      </c>
      <c r="J2196" s="32"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3" t="n">
        <v>0.5</v>
      </c>
      <c r="J2197" s="34"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1" t="n">
        <v>0.5</v>
      </c>
      <c r="J2198" s="32"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3" t="n">
        <v>8</v>
      </c>
      <c r="J2199" s="34"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1" t="n">
        <v>2</v>
      </c>
      <c r="J2200" s="32"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3" t="n">
        <v>3</v>
      </c>
      <c r="J2201" s="34"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1" t="n">
        <v>4</v>
      </c>
      <c r="J2202" s="32"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3" t="n">
        <v>4</v>
      </c>
      <c r="J2203" s="34"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1" t="n">
        <v>0.06</v>
      </c>
      <c r="J2204" s="32"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3" t="n">
        <v>0.06</v>
      </c>
      <c r="J2205" s="34"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1" t="n">
        <v>2</v>
      </c>
      <c r="J2206" s="32"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3" t="n">
        <v>3</v>
      </c>
      <c r="J2207" s="34"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1" t="n">
        <v>4</v>
      </c>
      <c r="J2208" s="32"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3" t="n">
        <v>0.06</v>
      </c>
      <c r="J2209" s="34"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1" t="n">
        <v>0.06</v>
      </c>
      <c r="J2210" s="32"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3" t="n">
        <v>5</v>
      </c>
      <c r="J2211" s="34"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1" t="n">
        <v>2</v>
      </c>
      <c r="J2212" s="32"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3" t="n">
        <v>3</v>
      </c>
      <c r="J2213" s="34"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1" t="n">
        <v>4</v>
      </c>
      <c r="J2214" s="32"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3" t="n">
        <v>0.06</v>
      </c>
      <c r="J2215" s="34"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1" t="n">
        <v>0.06</v>
      </c>
      <c r="J2216" s="32"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3" t="n">
        <v>5</v>
      </c>
      <c r="J2217" s="34"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1" t="n">
        <v>2.55</v>
      </c>
      <c r="J2218" s="32"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3" t="n">
        <v>2.55</v>
      </c>
      <c r="J2219" s="34"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1" t="n">
        <v>0.12</v>
      </c>
      <c r="J2220" s="32"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3" t="n">
        <v>0.12</v>
      </c>
      <c r="J2221" s="34"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1" t="n">
        <v>2.55</v>
      </c>
      <c r="J2222" s="32"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3" t="n">
        <v>2.55</v>
      </c>
      <c r="J2223" s="34"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1" t="n">
        <v>0.12</v>
      </c>
      <c r="J2224" s="32"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3" t="n">
        <v>0.12</v>
      </c>
      <c r="J2225" s="34"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1" t="n">
        <v>2.55</v>
      </c>
      <c r="J2226" s="32"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3" t="n">
        <v>2.55</v>
      </c>
      <c r="J2227" s="34"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1" t="n">
        <v>0.12</v>
      </c>
      <c r="J2228" s="32"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3" t="n">
        <v>0.12</v>
      </c>
      <c r="J2229" s="34"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1" t="n">
        <v>0.17</v>
      </c>
      <c r="J2230" s="32"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3" t="n">
        <v>0.08</v>
      </c>
      <c r="J2231" s="34"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1" t="n">
        <v>0.08</v>
      </c>
      <c r="J2232" s="32"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3" t="n">
        <v>0.5</v>
      </c>
      <c r="J2233" s="34"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1" t="n">
        <v>0.17</v>
      </c>
      <c r="J2234" s="32"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3" t="n">
        <v>0.17</v>
      </c>
      <c r="J2235" s="34"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1" t="n">
        <v>0.17</v>
      </c>
      <c r="J2236" s="32"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3" t="n">
        <v>0.26</v>
      </c>
      <c r="J2237" s="34"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1" t="n">
        <v>0.34</v>
      </c>
      <c r="J2238" s="32"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3" t="n">
        <v>0.17</v>
      </c>
      <c r="J2239" s="34"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1" t="n">
        <v>0.26</v>
      </c>
      <c r="J2240" s="32"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3" t="n">
        <v>0.34</v>
      </c>
      <c r="J2241" s="34"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1" t="n">
        <v>0.027</v>
      </c>
      <c r="J2242" s="32"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3" t="n">
        <v>0.0195</v>
      </c>
      <c r="J2243" s="34"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1" t="n">
        <v>0.008399999999999999</v>
      </c>
      <c r="J2244" s="32"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3" t="n">
        <v>0.0012</v>
      </c>
      <c r="J2245" s="34"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1" t="n">
        <v>0.1</v>
      </c>
      <c r="J2246" s="32"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3" t="n">
        <v>0.15</v>
      </c>
      <c r="J2247" s="34"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1" t="n">
        <v>0.2</v>
      </c>
      <c r="J2248" s="32"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3" t="n">
        <v>0.1</v>
      </c>
      <c r="J2249" s="34"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1" t="n">
        <v>0.15</v>
      </c>
      <c r="J2250" s="32"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3" t="n">
        <v>0.2</v>
      </c>
      <c r="J2251" s="34"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1" t="n">
        <v>0.15</v>
      </c>
      <c r="J2252" s="32"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3" t="n">
        <v>0.2</v>
      </c>
      <c r="J2253" s="34"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1" t="n">
        <v>0.15</v>
      </c>
      <c r="J2254" s="32"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3" t="n">
        <v>0.2</v>
      </c>
      <c r="J2255" s="34"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1" t="n">
        <v>0.15</v>
      </c>
      <c r="J2256" s="32"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3" t="n">
        <v>0.2</v>
      </c>
      <c r="J2257" s="34"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1" t="n">
        <v>0.15</v>
      </c>
      <c r="J2258" s="32"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3" t="n">
        <v>0.2</v>
      </c>
      <c r="J2259" s="34"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1" t="n">
        <v>0.15</v>
      </c>
      <c r="J2260" s="32"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3" t="n">
        <v>0.2</v>
      </c>
      <c r="J2261" s="34"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1" t="n">
        <v>0.15</v>
      </c>
      <c r="J2262" s="32"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3" t="n">
        <v>0.2</v>
      </c>
      <c r="J2263" s="34"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1" t="n">
        <v>0.04</v>
      </c>
      <c r="J2264" s="32"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3" t="n">
        <v>0.06</v>
      </c>
      <c r="J2265" s="34"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1" t="n">
        <v>0.08</v>
      </c>
      <c r="J2266" s="32"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3" t="n">
        <v>0.04</v>
      </c>
      <c r="J2267" s="34"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1" t="n">
        <v>0.06</v>
      </c>
      <c r="J2268" s="32"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3" t="n">
        <v>0.08</v>
      </c>
      <c r="J2269" s="34"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1" t="n">
        <v>1.5</v>
      </c>
      <c r="J2270" s="32"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3" t="n">
        <v>0.75</v>
      </c>
      <c r="J2271" s="34"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1" t="n">
        <v>5.5</v>
      </c>
      <c r="J2272" s="32"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3" t="n">
        <v>1.5</v>
      </c>
      <c r="J2273" s="34"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1" t="n">
        <v>0.75</v>
      </c>
      <c r="J2274" s="32"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3" t="n">
        <v>5.5</v>
      </c>
      <c r="J2275" s="34"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1" t="n">
        <v>1.5</v>
      </c>
      <c r="J2276" s="32"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3" t="n">
        <v>0.75</v>
      </c>
      <c r="J2277" s="34"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1" t="n">
        <v>5.5</v>
      </c>
      <c r="J2278" s="32"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3" t="n">
        <v>0.04</v>
      </c>
      <c r="J2279" s="34"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1" t="n">
        <v>0.04</v>
      </c>
      <c r="J2280" s="32"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3" t="n">
        <v>0.03</v>
      </c>
      <c r="J2281" s="34"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1" t="n">
        <v>0.03</v>
      </c>
      <c r="J2282" s="32"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3" t="n">
        <v>0.03</v>
      </c>
      <c r="J2283" s="34"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1" t="n">
        <v>0.38</v>
      </c>
      <c r="J2284" s="32"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3" t="n">
        <v>0.38</v>
      </c>
      <c r="J2285" s="34"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1" t="n">
        <v>0.83</v>
      </c>
      <c r="J2286" s="32"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3" t="n">
        <v>0.83</v>
      </c>
      <c r="J2287" s="34"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1" t="n">
        <v>1.85</v>
      </c>
      <c r="J2288" s="32"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3" t="n">
        <v>1.25</v>
      </c>
      <c r="J2289" s="34"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1" t="n">
        <v>0.6</v>
      </c>
      <c r="J2290" s="32"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3" t="n">
        <v>0.7</v>
      </c>
      <c r="J2291" s="34"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1" t="n">
        <v>0.5</v>
      </c>
      <c r="J2292" s="32"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3" t="n">
        <v>0.25</v>
      </c>
      <c r="J2293" s="34"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1" t="n">
        <v>0.24</v>
      </c>
      <c r="J2294" s="32"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3" t="n">
        <v>0.9</v>
      </c>
      <c r="J2295" s="34"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1" t="n">
        <v>0.12</v>
      </c>
      <c r="J2296" s="32"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3" t="n">
        <v>0.24</v>
      </c>
      <c r="J2297" s="34"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1" t="n">
        <v>0.9</v>
      </c>
      <c r="J2298" s="32"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3" t="n">
        <v>0.12</v>
      </c>
      <c r="J2299" s="34"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1" t="n">
        <v>0.24</v>
      </c>
      <c r="J2300" s="32"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3" t="n">
        <v>0.9</v>
      </c>
      <c r="J2301" s="34"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1" t="n">
        <v>0.12</v>
      </c>
      <c r="J2302" s="32"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3" t="n">
        <v>0.4</v>
      </c>
      <c r="J2303" s="34"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1" t="n">
        <v>0.4</v>
      </c>
      <c r="J2304" s="32"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3" t="n">
        <v>0.4</v>
      </c>
      <c r="J2305" s="34"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1" t="n">
        <v>0.4</v>
      </c>
      <c r="J2306" s="32"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3" t="n">
        <v>0.5</v>
      </c>
      <c r="J2307" s="34"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1" t="n">
        <v>0.5</v>
      </c>
      <c r="J2308" s="32"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3" t="n">
        <v>0.5</v>
      </c>
      <c r="J2309" s="34"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1" t="n">
        <v>0.5</v>
      </c>
      <c r="J2310" s="32"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3" t="n">
        <v>0.6</v>
      </c>
      <c r="J2311" s="34"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1" t="n">
        <v>0.6</v>
      </c>
      <c r="J2312" s="32"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3" t="n">
        <v>0.06</v>
      </c>
      <c r="J2313" s="34"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1" t="n">
        <v>0.2</v>
      </c>
      <c r="J2314" s="32"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3" t="n">
        <v>0.02</v>
      </c>
      <c r="J2315" s="34"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1" t="n">
        <v>0.17</v>
      </c>
      <c r="J2316" s="32"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3" t="n">
        <v>0.17</v>
      </c>
      <c r="J2317" s="34"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1" t="n">
        <v>0.06</v>
      </c>
      <c r="J2318" s="32"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3" t="n">
        <v>0.17</v>
      </c>
      <c r="J2319" s="34"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1" t="n">
        <v>0.17</v>
      </c>
      <c r="J2320" s="32"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3" t="n">
        <v>0.06</v>
      </c>
      <c r="J2321" s="34"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1" t="n">
        <v>0.13</v>
      </c>
      <c r="J2322" s="32"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3" t="n">
        <v>0.13</v>
      </c>
      <c r="J2323" s="34"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1" t="n">
        <v>0.1</v>
      </c>
      <c r="J2324" s="32"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3" t="n">
        <v>0.15</v>
      </c>
      <c r="J2325" s="34"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1" t="n">
        <v>0.2</v>
      </c>
      <c r="J2326" s="32"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3" t="n">
        <v>1.08</v>
      </c>
      <c r="J2327" s="34"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1" t="n">
        <v>0.25</v>
      </c>
      <c r="J2328" s="32"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3" t="n">
        <v>1.62</v>
      </c>
      <c r="J2329" s="34"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1" t="n">
        <v>0.27</v>
      </c>
      <c r="J2330" s="32"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3" t="n">
        <v>1.08</v>
      </c>
      <c r="J2331" s="34"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1" t="n">
        <v>0.25</v>
      </c>
      <c r="J2332" s="32"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3" t="n">
        <v>1.62</v>
      </c>
      <c r="J2333" s="34"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1" t="n">
        <v>0.27</v>
      </c>
      <c r="J2334" s="32"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3" t="n">
        <v>0.9</v>
      </c>
      <c r="J2335" s="34"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1" t="n">
        <v>1.98</v>
      </c>
      <c r="J2336" s="32"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3" t="n">
        <v>0.05</v>
      </c>
      <c r="J2337" s="34"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1" t="n">
        <v>0.8</v>
      </c>
      <c r="J2338" s="32"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3" t="n">
        <v>1.4</v>
      </c>
      <c r="J2339" s="34"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1" t="n">
        <v>1.04</v>
      </c>
      <c r="J2340" s="32"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3" t="n">
        <v>0.03</v>
      </c>
      <c r="J2341" s="34"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1" t="n">
        <v>0.03</v>
      </c>
      <c r="J2342" s="32"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3" t="n">
        <v>2.15</v>
      </c>
      <c r="J2343" s="34"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1" t="n">
        <v>1.6</v>
      </c>
      <c r="J2344" s="32"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3" t="n">
        <v>1.88</v>
      </c>
      <c r="J2345" s="34"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1" t="n">
        <v>0.27</v>
      </c>
      <c r="J2346" s="32"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3" t="n">
        <v>2.15</v>
      </c>
      <c r="J2347" s="34"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1" t="n">
        <v>1.86</v>
      </c>
      <c r="J2348" s="32"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3" t="n">
        <v>1.88</v>
      </c>
      <c r="J2349" s="34"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1" t="n">
        <v>0.27</v>
      </c>
      <c r="J2350" s="32"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3" t="n">
        <v>1.88</v>
      </c>
      <c r="J2351" s="34"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1" t="n">
        <v>1.88</v>
      </c>
      <c r="J2352" s="32"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3" t="n">
        <v>0.54</v>
      </c>
      <c r="J2353" s="34"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1" t="n">
        <v>0.35</v>
      </c>
      <c r="J2354" s="32"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3" t="n">
        <v>0.18</v>
      </c>
      <c r="J2355" s="34"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1" t="n">
        <v>0.05</v>
      </c>
      <c r="J2356" s="32"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3" t="n">
        <v>0.36</v>
      </c>
      <c r="J2357" s="34"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1" t="n">
        <v>0.36</v>
      </c>
      <c r="J2358" s="32"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3" t="n">
        <v>1.79</v>
      </c>
      <c r="J2359" s="34"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1" t="n">
        <v>1.99</v>
      </c>
      <c r="J2360" s="32"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3" t="n">
        <v>1.04</v>
      </c>
      <c r="J2361" s="34"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1" t="n">
        <v>1</v>
      </c>
      <c r="J2362" s="32"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3" t="n">
        <v>0.03</v>
      </c>
      <c r="J2363" s="34"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1" t="n">
        <v>0.03</v>
      </c>
      <c r="J2364" s="32"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3" t="n">
        <v>1.6</v>
      </c>
      <c r="J2365" s="34"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1" t="n">
        <v>1.79</v>
      </c>
      <c r="J2366" s="32"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3" t="n">
        <v>1.99</v>
      </c>
      <c r="J2367" s="34"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1" t="n">
        <v>1.04</v>
      </c>
      <c r="J2368" s="32"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3" t="n">
        <v>1</v>
      </c>
      <c r="J2369" s="34"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1" t="n">
        <v>0.03</v>
      </c>
      <c r="J2370" s="32"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3" t="n">
        <v>0.03</v>
      </c>
      <c r="J2371" s="34"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1" t="n">
        <v>1.6</v>
      </c>
      <c r="J2372" s="32"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3" t="n">
        <v>1.79</v>
      </c>
      <c r="J2373" s="34"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1" t="n">
        <v>1.99</v>
      </c>
      <c r="J2374" s="32"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3" t="n">
        <v>1.04</v>
      </c>
      <c r="J2375" s="34"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1" t="n">
        <v>1</v>
      </c>
      <c r="J2376" s="32"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3" t="n">
        <v>0.03</v>
      </c>
      <c r="J2377" s="34"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1" t="n">
        <v>0.03</v>
      </c>
      <c r="J2378" s="32"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3" t="n">
        <v>1.6</v>
      </c>
      <c r="J2379" s="34"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1" t="n">
        <v>1.79</v>
      </c>
      <c r="J2380" s="32"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3" t="n">
        <v>1.99</v>
      </c>
      <c r="J2381" s="34"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1" t="n">
        <v>1.04</v>
      </c>
      <c r="J2382" s="32"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3" t="n">
        <v>1</v>
      </c>
      <c r="J2383" s="34"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1" t="n">
        <v>0.03</v>
      </c>
      <c r="J2384" s="32"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3" t="n">
        <v>0.03</v>
      </c>
      <c r="J2385" s="34"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1" t="n">
        <v>1.6</v>
      </c>
      <c r="J2386" s="32"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3" t="n">
        <v>1.79</v>
      </c>
      <c r="J2387" s="34"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1" t="n">
        <v>1.99</v>
      </c>
      <c r="J2388" s="32"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3" t="n">
        <v>1.04</v>
      </c>
      <c r="J2389" s="34"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1" t="n">
        <v>1</v>
      </c>
      <c r="J2390" s="32"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3" t="n">
        <v>0.03</v>
      </c>
      <c r="J2391" s="34"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1" t="n">
        <v>0.03</v>
      </c>
      <c r="J2392" s="32"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3" t="n">
        <v>1.6</v>
      </c>
      <c r="J2393" s="34"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1" t="n">
        <v>1.79</v>
      </c>
      <c r="J2394" s="32"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3" t="n">
        <v>1.99</v>
      </c>
      <c r="J2395" s="34"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1" t="n">
        <v>1.04</v>
      </c>
      <c r="J2396" s="32"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3" t="n">
        <v>1</v>
      </c>
      <c r="J2397" s="34"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1" t="n">
        <v>0.03</v>
      </c>
      <c r="J2398" s="32"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3" t="n">
        <v>0.03</v>
      </c>
      <c r="J2399" s="34"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1" t="n">
        <v>1.6</v>
      </c>
      <c r="J2400" s="32"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3" t="n">
        <v>1.79</v>
      </c>
      <c r="J2401" s="34"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1" t="n">
        <v>1.99</v>
      </c>
      <c r="J2402" s="32"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3" t="n">
        <v>1.04</v>
      </c>
      <c r="J2403" s="34"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1" t="n">
        <v>1</v>
      </c>
      <c r="J2404" s="32"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3" t="n">
        <v>0.03</v>
      </c>
      <c r="J2405" s="34"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1" t="n">
        <v>0.03</v>
      </c>
      <c r="J2406" s="32"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3" t="n">
        <v>1.6</v>
      </c>
      <c r="J2407" s="34"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1" t="n">
        <v>1.79</v>
      </c>
      <c r="J2408" s="32"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3" t="n">
        <v>1.99</v>
      </c>
      <c r="J2409" s="34"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1" t="n">
        <v>1.04</v>
      </c>
      <c r="J2410" s="32"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3" t="n">
        <v>1</v>
      </c>
      <c r="J2411" s="34"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1" t="n">
        <v>0.03</v>
      </c>
      <c r="J2412" s="32"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3" t="n">
        <v>0.03</v>
      </c>
      <c r="J2413" s="34"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1" t="n">
        <v>1.6</v>
      </c>
      <c r="J2414" s="32"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3" t="n">
        <v>3</v>
      </c>
      <c r="J2415" s="34"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1" t="n">
        <v>3</v>
      </c>
      <c r="J2416" s="32"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3" t="n">
        <v>1</v>
      </c>
      <c r="J2417" s="34"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1" t="n">
        <v>7</v>
      </c>
      <c r="J2418" s="32"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3" t="n">
        <v>3</v>
      </c>
      <c r="J2419" s="34"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1" t="n">
        <v>3</v>
      </c>
      <c r="J2420" s="32"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3" t="n">
        <v>1</v>
      </c>
      <c r="J2421" s="34"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1" t="n">
        <v>7</v>
      </c>
      <c r="J2422" s="32"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3" t="n">
        <v>0.25</v>
      </c>
      <c r="J2423" s="34"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1" t="n">
        <v>0.25</v>
      </c>
      <c r="J2424" s="32"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3" t="n">
        <v>0.3</v>
      </c>
      <c r="J2425" s="34"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1" t="n">
        <v>0.3</v>
      </c>
      <c r="J2426" s="32"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3" t="n">
        <v>0.3</v>
      </c>
      <c r="J2427" s="34"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1" t="n">
        <v>0.5</v>
      </c>
      <c r="J2428" s="32"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3" t="n">
        <v>1.2</v>
      </c>
      <c r="J2429" s="34"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1" t="n">
        <v>1</v>
      </c>
      <c r="J2430" s="32"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3" t="n">
        <v>1</v>
      </c>
      <c r="J2431" s="34"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1" t="n">
        <v>5</v>
      </c>
      <c r="J2432" s="32"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3" t="n">
        <v>0.54</v>
      </c>
      <c r="J2433" s="34"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1" t="n">
        <v>4</v>
      </c>
      <c r="J2434" s="32"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3" t="n">
        <v>1.6</v>
      </c>
      <c r="J2435" s="34"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1" t="n">
        <v>2</v>
      </c>
      <c r="J2436" s="32"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3" t="n">
        <v>1</v>
      </c>
      <c r="J2437" s="34"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1" t="n">
        <v>1</v>
      </c>
      <c r="J2438" s="32"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3" t="n">
        <v>1.6</v>
      </c>
      <c r="J2439" s="34"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1" t="n">
        <v>1.6</v>
      </c>
      <c r="J2440" s="32"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3" t="n">
        <v>2</v>
      </c>
      <c r="J2441" s="34"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1" t="n">
        <v>1</v>
      </c>
      <c r="J2442" s="32"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3" t="n">
        <v>1</v>
      </c>
      <c r="J2443" s="34"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1" t="n">
        <v>1.6</v>
      </c>
      <c r="J2444" s="32"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3" t="n">
        <v>1.6</v>
      </c>
      <c r="J2445" s="34"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1" t="n">
        <v>2</v>
      </c>
      <c r="J2446" s="32"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3" t="n">
        <v>1</v>
      </c>
      <c r="J2447" s="34"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1" t="n">
        <v>1</v>
      </c>
      <c r="J2448" s="32"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3" t="n">
        <v>1.6</v>
      </c>
      <c r="J2449" s="34"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1" t="n">
        <v>1.6</v>
      </c>
      <c r="J2450" s="32"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3" t="n">
        <v>2</v>
      </c>
      <c r="J2451" s="34"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1" t="n">
        <v>1</v>
      </c>
      <c r="J2452" s="32"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3" t="n">
        <v>1</v>
      </c>
      <c r="J2453" s="34"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1" t="n">
        <v>1.6</v>
      </c>
      <c r="J2454" s="32"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3" t="n">
        <v>0.22</v>
      </c>
      <c r="J2455" s="34"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1" t="n">
        <v>0.22</v>
      </c>
      <c r="J2456" s="32"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3" t="n">
        <v>0.65</v>
      </c>
      <c r="J2457" s="34"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1" t="n">
        <v>3.25</v>
      </c>
      <c r="J2458" s="32"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3" t="n">
        <v>3.25</v>
      </c>
      <c r="J2459" s="34"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1" t="n">
        <v>7.6</v>
      </c>
      <c r="J2460" s="32"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3" t="n">
        <v>3.25</v>
      </c>
      <c r="J2461" s="34"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1" t="n">
        <v>3.25</v>
      </c>
      <c r="J2462" s="32"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3" t="n">
        <v>7.6</v>
      </c>
      <c r="J2463" s="34"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1" t="n">
        <v>3.25</v>
      </c>
      <c r="J2464" s="32"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3" t="n">
        <v>3.25</v>
      </c>
      <c r="J2465" s="34"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1" t="n">
        <v>7.6</v>
      </c>
      <c r="J2466" s="32"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3" t="n">
        <v>3.25</v>
      </c>
      <c r="J2467" s="34"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1" t="n">
        <v>3.25</v>
      </c>
      <c r="J2468" s="32"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3" t="n">
        <v>7.6</v>
      </c>
      <c r="J2469" s="34"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1" t="n">
        <v>1.6</v>
      </c>
      <c r="J2470" s="32"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3" t="n">
        <v>2</v>
      </c>
      <c r="J2471" s="34"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1" t="n">
        <v>1</v>
      </c>
      <c r="J2472" s="32"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3" t="n">
        <v>1</v>
      </c>
      <c r="J2473" s="34"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1" t="n">
        <v>1.6</v>
      </c>
      <c r="J2474" s="32"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3" t="n">
        <v>1.6</v>
      </c>
      <c r="J2475" s="34"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1" t="n">
        <v>2</v>
      </c>
      <c r="J2476" s="32"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3" t="n">
        <v>1</v>
      </c>
      <c r="J2477" s="34"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1" t="n">
        <v>1</v>
      </c>
      <c r="J2478" s="32"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3" t="n">
        <v>1.6</v>
      </c>
      <c r="J2479" s="34"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1" t="n">
        <v>1.6</v>
      </c>
      <c r="J2480" s="32"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3" t="n">
        <v>2</v>
      </c>
      <c r="J2481" s="34"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1" t="n">
        <v>1</v>
      </c>
      <c r="J2482" s="32"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3" t="n">
        <v>1</v>
      </c>
      <c r="J2483" s="34"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1" t="n">
        <v>1.6</v>
      </c>
      <c r="J2484" s="32"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3" t="n">
        <v>1.6</v>
      </c>
      <c r="J2485" s="34"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1" t="n">
        <v>2</v>
      </c>
      <c r="J2486" s="32"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3" t="n">
        <v>1</v>
      </c>
      <c r="J2487" s="34"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1" t="n">
        <v>1</v>
      </c>
      <c r="J2488" s="32"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3" t="n">
        <v>1.6</v>
      </c>
      <c r="J2489" s="34"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1" t="n">
        <v>1.6</v>
      </c>
      <c r="J2490" s="32"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3" t="n">
        <v>2</v>
      </c>
      <c r="J2491" s="34"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1" t="n">
        <v>1</v>
      </c>
      <c r="J2492" s="32"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3" t="n">
        <v>1.6</v>
      </c>
      <c r="J2493" s="34"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1" t="n">
        <v>2</v>
      </c>
      <c r="J2494" s="32"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3" t="n">
        <v>1</v>
      </c>
      <c r="J2495" s="34"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1" t="n">
        <v>1.6</v>
      </c>
      <c r="J2496" s="32"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3" t="n">
        <v>2</v>
      </c>
      <c r="J2497" s="34"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1" t="n">
        <v>1</v>
      </c>
      <c r="J2498" s="32"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3" t="n">
        <v>1.6</v>
      </c>
      <c r="J2499" s="34"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1" t="n">
        <v>2</v>
      </c>
      <c r="J2500" s="32"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3" t="n">
        <v>1</v>
      </c>
      <c r="J2501" s="34"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1" t="n">
        <v>0.2</v>
      </c>
      <c r="J2502" s="32"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3" t="n">
        <v>0.2</v>
      </c>
      <c r="J2503" s="34"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1" t="n">
        <v>0.25</v>
      </c>
      <c r="J2504" s="32"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3" t="n">
        <v>0.25</v>
      </c>
      <c r="J2505" s="34"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1" t="n">
        <v>0.25</v>
      </c>
      <c r="J2506" s="32"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3" t="n">
        <v>0.25</v>
      </c>
      <c r="J2507" s="34"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1" t="n">
        <v>1.2</v>
      </c>
      <c r="J2508" s="32"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3" t="n">
        <v>1</v>
      </c>
      <c r="J2509" s="34"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1" t="n">
        <v>1</v>
      </c>
      <c r="J2510" s="32"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3" t="n">
        <v>5</v>
      </c>
      <c r="J2511" s="34"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1" t="n">
        <v>4</v>
      </c>
      <c r="J2512" s="32"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3" t="n">
        <v>1.2</v>
      </c>
      <c r="J2513" s="34"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1" t="n">
        <v>1</v>
      </c>
      <c r="J2514" s="32"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3" t="n">
        <v>1</v>
      </c>
      <c r="J2515" s="34"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1" t="n">
        <v>5</v>
      </c>
      <c r="J2516" s="32"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3" t="n">
        <v>4</v>
      </c>
      <c r="J2517" s="34"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1" t="n">
        <v>1.2</v>
      </c>
      <c r="J2518" s="32"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3" t="n">
        <v>1</v>
      </c>
      <c r="J2519" s="34"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1" t="n">
        <v>1</v>
      </c>
      <c r="J2520" s="32"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3" t="n">
        <v>5</v>
      </c>
      <c r="J2521" s="34"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1" t="n">
        <v>4</v>
      </c>
      <c r="J2522" s="32"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3" t="n">
        <v>1.2</v>
      </c>
      <c r="J2523" s="34"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1" t="n">
        <v>1</v>
      </c>
      <c r="J2524" s="32"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3" t="n">
        <v>1</v>
      </c>
      <c r="J2525" s="34"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1" t="n">
        <v>5</v>
      </c>
      <c r="J2526" s="32"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3" t="n">
        <v>4</v>
      </c>
      <c r="J2527" s="34"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1" t="n">
        <v>1.2</v>
      </c>
      <c r="J2528" s="32"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3" t="n">
        <v>1</v>
      </c>
      <c r="J2529" s="34"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1" t="n">
        <v>1</v>
      </c>
      <c r="J2530" s="32"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3" t="n">
        <v>5</v>
      </c>
      <c r="J2531" s="34"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1" t="n">
        <v>4</v>
      </c>
      <c r="J2532" s="32"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3" t="n">
        <v>1.2</v>
      </c>
      <c r="J2533" s="34"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1" t="n">
        <v>1</v>
      </c>
      <c r="J2534" s="32"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3" t="n">
        <v>1</v>
      </c>
      <c r="J2535" s="34"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1" t="n">
        <v>5</v>
      </c>
      <c r="J2536" s="32"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3" t="n">
        <v>4</v>
      </c>
      <c r="J2537" s="34"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1" t="n">
        <v>2</v>
      </c>
      <c r="J2538" s="32"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3" t="n">
        <v>1.5</v>
      </c>
      <c r="J2539" s="34"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1" t="n">
        <v>2.5</v>
      </c>
      <c r="J2540" s="32"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3" t="n">
        <v>1.95</v>
      </c>
      <c r="J2541" s="34"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1" t="n">
        <v>1.4</v>
      </c>
      <c r="J2542" s="32"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3" t="n">
        <v>0.75</v>
      </c>
      <c r="J2543" s="34"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1" t="n">
        <v>3.18</v>
      </c>
      <c r="J2544" s="32"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3" t="n">
        <v>1.2</v>
      </c>
      <c r="J2545" s="34"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1" t="n">
        <v>1</v>
      </c>
      <c r="J2546" s="32"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3" t="n">
        <v>1</v>
      </c>
      <c r="J2547" s="34"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1" t="n">
        <v>5</v>
      </c>
      <c r="J2548" s="32"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3" t="n">
        <v>4</v>
      </c>
      <c r="J2549" s="34"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1" t="n">
        <v>3</v>
      </c>
      <c r="J2550" s="32"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3" t="n">
        <v>3</v>
      </c>
      <c r="J2551" s="34"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1" t="n">
        <v>1</v>
      </c>
      <c r="J2552" s="32"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3" t="n">
        <v>7</v>
      </c>
      <c r="J2553" s="34"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1" t="n">
        <v>3.1</v>
      </c>
      <c r="J2554" s="32"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3" t="n">
        <v>1.1</v>
      </c>
      <c r="J2555" s="34"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1" t="n">
        <v>0.55</v>
      </c>
      <c r="J2556" s="32"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3" t="n">
        <v>0.27</v>
      </c>
      <c r="J2557" s="34"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1" t="n">
        <v>3.1</v>
      </c>
      <c r="J2558" s="32"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3" t="n">
        <v>1.1</v>
      </c>
      <c r="J2559" s="34"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1" t="n">
        <v>0.55</v>
      </c>
      <c r="J2560" s="32"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3" t="n">
        <v>0.27</v>
      </c>
      <c r="J2561" s="34"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1" t="n">
        <v>3.9</v>
      </c>
      <c r="J2562" s="32"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3" t="n">
        <v>1.1</v>
      </c>
      <c r="J2563" s="34"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1" t="n">
        <v>1.4</v>
      </c>
      <c r="J2564" s="32"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3" t="n">
        <v>0.55</v>
      </c>
      <c r="J2565" s="34"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1" t="n">
        <v>3.9</v>
      </c>
      <c r="J2566" s="32"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3" t="n">
        <v>1.1</v>
      </c>
      <c r="J2567" s="34"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1" t="n">
        <v>1.4</v>
      </c>
      <c r="J2568" s="32"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3" t="n">
        <v>0.55</v>
      </c>
      <c r="J2569" s="34"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1" t="n">
        <v>3.9</v>
      </c>
      <c r="J2570" s="32"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3" t="n">
        <v>1.1</v>
      </c>
      <c r="J2571" s="34"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1" t="n">
        <v>1.4</v>
      </c>
      <c r="J2572" s="32"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3" t="n">
        <v>0.55</v>
      </c>
      <c r="J2573" s="34"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1" t="n">
        <v>0.618</v>
      </c>
      <c r="J2574" s="32"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3" t="n">
        <v>0.988</v>
      </c>
      <c r="J2575" s="34"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1" t="n">
        <v>3.9</v>
      </c>
      <c r="J2576" s="32"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3" t="n">
        <v>1.1</v>
      </c>
      <c r="J2577" s="34"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1" t="n">
        <v>1.4</v>
      </c>
      <c r="J2578" s="32"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3" t="n">
        <v>0.55</v>
      </c>
      <c r="J2579" s="34"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1" t="n">
        <v>0.618</v>
      </c>
      <c r="J2580" s="32"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3" t="n">
        <v>0.988</v>
      </c>
      <c r="J2581" s="34"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1" t="n">
        <v>1.5</v>
      </c>
      <c r="J2582" s="32"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3" t="n">
        <v>0.2</v>
      </c>
      <c r="J2583" s="34"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1" t="n">
        <v>0.2</v>
      </c>
      <c r="J2584" s="32"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3" t="n">
        <v>2.68</v>
      </c>
      <c r="J2585" s="34"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1" t="n">
        <v>1.35</v>
      </c>
      <c r="J2586" s="32"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3" t="n">
        <v>2.16</v>
      </c>
      <c r="J2587" s="34"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1" t="n">
        <v>1.08</v>
      </c>
      <c r="J2588" s="32"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3" t="n">
        <v>1.75</v>
      </c>
      <c r="J2589" s="34"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1" t="n">
        <v>2.25</v>
      </c>
      <c r="J2590" s="32"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3" t="n">
        <v>1.5</v>
      </c>
      <c r="J2591" s="34"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1" t="n">
        <v>0.1</v>
      </c>
      <c r="J2592" s="32"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3" t="n">
        <v>0.09</v>
      </c>
      <c r="J2593" s="34"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1" t="n">
        <v>0.45</v>
      </c>
      <c r="J2594" s="32"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3" t="n">
        <v>0.25</v>
      </c>
      <c r="J2595" s="34"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1" t="n">
        <v>0.2</v>
      </c>
      <c r="J2596" s="32"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3" t="n">
        <v>0.2</v>
      </c>
      <c r="J2597" s="34"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1" t="n">
        <v>0.25</v>
      </c>
      <c r="J2598" s="32"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3" t="n">
        <v>0.25</v>
      </c>
      <c r="J2599" s="34"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1" t="n">
        <v>0.2</v>
      </c>
      <c r="J2600" s="32"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3" t="n">
        <v>0.2</v>
      </c>
      <c r="J2601" s="34"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1" t="n">
        <v>0.2</v>
      </c>
      <c r="J2602" s="32"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3" t="n">
        <v>0.2</v>
      </c>
      <c r="J2603" s="34"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1" t="n">
        <v>0.2</v>
      </c>
      <c r="J2604" s="32"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3" t="n">
        <v>0.2</v>
      </c>
      <c r="J2605" s="34"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1" t="n">
        <v>0.2</v>
      </c>
      <c r="J2606" s="32"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3" t="n">
        <v>0.2</v>
      </c>
      <c r="J2607" s="34"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1" t="n">
        <v>0.2</v>
      </c>
      <c r="J2608" s="32"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3" t="n">
        <v>0.2</v>
      </c>
      <c r="J2609" s="34"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1" t="n">
        <v>0.2</v>
      </c>
      <c r="J2610" s="32"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3" t="n">
        <v>0.2</v>
      </c>
      <c r="J2611" s="34"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1" t="n">
        <v>0.2</v>
      </c>
      <c r="J2612" s="32"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3" t="n">
        <v>0.2</v>
      </c>
      <c r="J2613" s="34"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1" t="n">
        <v>0.2</v>
      </c>
      <c r="J2614" s="32"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3" t="n">
        <v>0.2</v>
      </c>
      <c r="J2615" s="34"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1" t="n">
        <v>0.2</v>
      </c>
      <c r="J2616" s="32"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3" t="n">
        <v>0.2</v>
      </c>
      <c r="J2617" s="34"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1" t="n">
        <v>0.67</v>
      </c>
      <c r="J2618" s="32"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3" t="n">
        <v>0.75</v>
      </c>
      <c r="J2619" s="34"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1" t="n">
        <v>0.92</v>
      </c>
      <c r="J2620" s="32"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3" t="n">
        <v>0.5</v>
      </c>
      <c r="J2621" s="34"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1" t="n">
        <v>1.2</v>
      </c>
      <c r="J2622" s="32"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3" t="n">
        <v>1</v>
      </c>
      <c r="J2623" s="34"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1" t="n">
        <v>1</v>
      </c>
      <c r="J2624" s="32"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3" t="n">
        <v>0.54</v>
      </c>
      <c r="J2625" s="34"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1" t="n">
        <v>0.7</v>
      </c>
      <c r="J2626" s="32"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3" t="n">
        <v>0.52</v>
      </c>
      <c r="J2627" s="34"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1" t="n">
        <v>0.36</v>
      </c>
      <c r="J2628" s="32"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3" t="n">
        <v>0.5</v>
      </c>
      <c r="J2629" s="34"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1" t="n">
        <v>1</v>
      </c>
      <c r="J2630" s="32"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3" t="n">
        <v>0.25</v>
      </c>
      <c r="J2631" s="34"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1" t="n">
        <v>0.25</v>
      </c>
      <c r="J2632" s="32"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3" t="n">
        <v>0.25</v>
      </c>
      <c r="J2633" s="34"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1" t="n">
        <v>0.25</v>
      </c>
      <c r="J2634" s="32"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3" t="n">
        <v>0.25</v>
      </c>
      <c r="J2635" s="34"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1" t="n">
        <v>0.25</v>
      </c>
      <c r="J2636" s="32"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3" t="n">
        <v>0.25</v>
      </c>
      <c r="J2637" s="34"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1" t="n">
        <v>0.25</v>
      </c>
      <c r="J2638" s="32"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3" t="n">
        <v>0.25</v>
      </c>
      <c r="J2639" s="34"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1" t="n">
        <v>0.25</v>
      </c>
      <c r="J2640" s="32"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3" t="n">
        <v>0.25</v>
      </c>
      <c r="J2641" s="34"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1" t="n">
        <v>0.5</v>
      </c>
      <c r="J2642" s="32"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3" t="n">
        <v>0.25</v>
      </c>
      <c r="J2643" s="34"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1" t="n">
        <v>0.5</v>
      </c>
      <c r="J2644" s="32"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3" t="n">
        <v>0.25</v>
      </c>
      <c r="J2645" s="34"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1" t="n">
        <v>0.5</v>
      </c>
      <c r="J2646" s="32"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3" t="n">
        <v>0.25</v>
      </c>
      <c r="J2647" s="34"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1" t="n">
        <v>0.5</v>
      </c>
      <c r="J2648" s="32"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3" t="n">
        <v>0.1</v>
      </c>
      <c r="J2649" s="34"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1" t="n">
        <v>0.1</v>
      </c>
      <c r="J2650" s="32"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3" t="n">
        <v>0.08</v>
      </c>
      <c r="J2651" s="34"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1" t="n">
        <v>0.08</v>
      </c>
      <c r="J2652" s="32"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3" t="n">
        <v>0.06</v>
      </c>
      <c r="J2653" s="34"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1" t="n">
        <v>0.06</v>
      </c>
      <c r="J2654" s="32"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3" t="n">
        <v>0.04</v>
      </c>
      <c r="J2655" s="34"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1" t="n">
        <v>0.04</v>
      </c>
      <c r="J2656" s="32"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3" t="n">
        <v>0.2</v>
      </c>
      <c r="J2657" s="34"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1" t="n">
        <v>0.4</v>
      </c>
      <c r="J2658" s="32"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3" t="n">
        <v>0.2</v>
      </c>
      <c r="J2659" s="34"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1" t="n">
        <v>0.4</v>
      </c>
      <c r="J2660" s="32"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3" t="n">
        <v>0.2</v>
      </c>
      <c r="J2661" s="34"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1" t="n">
        <v>0.4</v>
      </c>
      <c r="J2662" s="32"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3" t="n">
        <v>0.2</v>
      </c>
      <c r="J2663" s="34"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1" t="n">
        <v>0.4</v>
      </c>
      <c r="J2664" s="32"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3" t="n">
        <v>1.2</v>
      </c>
      <c r="J2665" s="34"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1" t="n">
        <v>1</v>
      </c>
      <c r="J2666" s="32"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3" t="n">
        <v>1</v>
      </c>
      <c r="J2667" s="34"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1" t="n">
        <v>5</v>
      </c>
      <c r="J2668" s="32"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3" t="n">
        <v>4</v>
      </c>
      <c r="J2669" s="34"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1" t="n">
        <v>1.75</v>
      </c>
      <c r="J2670" s="32"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3" t="n">
        <v>1.25</v>
      </c>
      <c r="J2671" s="34"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1" t="n">
        <v>1</v>
      </c>
      <c r="J2672" s="32"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3" t="n">
        <v>5</v>
      </c>
      <c r="J2673" s="34"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1" t="n">
        <v>4</v>
      </c>
      <c r="J2674" s="32"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3" t="n">
        <v>1.6</v>
      </c>
      <c r="J2675" s="34"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1" t="n">
        <v>1.6</v>
      </c>
      <c r="J2676" s="32"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3" t="n">
        <v>25</v>
      </c>
      <c r="J2677" s="34"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1" t="n">
        <v>25</v>
      </c>
      <c r="J2678" s="32"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3" t="n">
        <v>25</v>
      </c>
      <c r="J2679" s="34"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1" t="n">
        <v>25</v>
      </c>
      <c r="J2680" s="32"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3" t="n">
        <v>1.2</v>
      </c>
      <c r="J2681" s="34"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1" t="n">
        <v>1</v>
      </c>
      <c r="J2682" s="32"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3" t="n">
        <v>1</v>
      </c>
      <c r="J2683" s="34"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1" t="n">
        <v>5</v>
      </c>
      <c r="J2684" s="32"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3" t="n">
        <v>1.2</v>
      </c>
      <c r="J2685" s="34"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1" t="n">
        <v>1</v>
      </c>
      <c r="J2686" s="32"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3" t="n">
        <v>1</v>
      </c>
      <c r="J2687" s="34"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1" t="n">
        <v>2</v>
      </c>
      <c r="J2688" s="32"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3" t="n">
        <v>2</v>
      </c>
      <c r="J2689" s="34"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1" t="n">
        <v>1.3</v>
      </c>
      <c r="J2690" s="32"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3" t="n">
        <v>15.5</v>
      </c>
      <c r="J2691" s="34"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1" t="n">
        <v>15.5</v>
      </c>
      <c r="J2692" s="32"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3" t="n">
        <v>1.13</v>
      </c>
      <c r="J2693" s="34"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1" t="n">
        <v>1.13</v>
      </c>
      <c r="J2694" s="32"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3" t="n">
        <v>2.53</v>
      </c>
      <c r="J2695" s="34"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1" t="n">
        <v>2.53</v>
      </c>
      <c r="J2696" s="32"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3" t="n">
        <v>1.3</v>
      </c>
      <c r="J2697" s="34"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1" t="n">
        <v>15.5</v>
      </c>
      <c r="J2698" s="32"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3" t="n">
        <v>15.5</v>
      </c>
      <c r="J2699" s="34"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1" t="n">
        <v>1.13</v>
      </c>
      <c r="J2700" s="32"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3" t="n">
        <v>1.13</v>
      </c>
      <c r="J2701" s="34"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1" t="n">
        <v>2.53</v>
      </c>
      <c r="J2702" s="32"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3" t="n">
        <v>2.53</v>
      </c>
      <c r="J2703" s="34"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1" t="n">
        <v>1.3</v>
      </c>
      <c r="J2704" s="32"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3" t="n">
        <v>15.5</v>
      </c>
      <c r="J2705" s="34"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1" t="n">
        <v>15.5</v>
      </c>
      <c r="J2706" s="32"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3" t="n">
        <v>1.13</v>
      </c>
      <c r="J2707" s="34"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1" t="n">
        <v>1.13</v>
      </c>
      <c r="J2708" s="32"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3" t="n">
        <v>2.53</v>
      </c>
      <c r="J2709" s="34"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1" t="n">
        <v>2.53</v>
      </c>
      <c r="J2710" s="32"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3" t="n">
        <v>0.15</v>
      </c>
      <c r="J2711" s="34"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1" t="n">
        <v>0.15</v>
      </c>
      <c r="J2712" s="32"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3" t="n">
        <v>0.12</v>
      </c>
      <c r="J2713" s="34"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1" t="n">
        <v>0.12</v>
      </c>
      <c r="J2714" s="32"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3" t="n">
        <v>0.12</v>
      </c>
      <c r="J2715" s="34"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1" t="n">
        <v>0.12</v>
      </c>
      <c r="J2716" s="32"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3" t="n">
        <v>3.13</v>
      </c>
      <c r="J2717" s="34"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1" t="n">
        <v>6.26</v>
      </c>
      <c r="J2718" s="32"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3" t="n">
        <v>2.5</v>
      </c>
      <c r="J2719" s="34"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1" t="n">
        <v>5</v>
      </c>
      <c r="J2720" s="32"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3" t="n">
        <v>2.5</v>
      </c>
      <c r="J2721" s="34"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1" t="n">
        <v>5</v>
      </c>
      <c r="J2722" s="32"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3" t="n">
        <v>0.4</v>
      </c>
      <c r="J2723" s="34"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1" t="n">
        <v>1.2</v>
      </c>
      <c r="J2724" s="32"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3" t="n">
        <v>0.8</v>
      </c>
      <c r="J2725" s="34"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1" t="n">
        <v>2.4</v>
      </c>
      <c r="J2726" s="32"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3" t="n">
        <v>0.4</v>
      </c>
      <c r="J2727" s="34"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1" t="n">
        <v>1.2</v>
      </c>
      <c r="J2728" s="32"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3" t="n">
        <v>0.8</v>
      </c>
      <c r="J2729" s="34"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1" t="n">
        <v>2.4</v>
      </c>
      <c r="J2730" s="32"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3" t="n">
        <v>0.4</v>
      </c>
      <c r="J2731" s="34"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1" t="n">
        <v>1.2</v>
      </c>
      <c r="J2732" s="32"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3" t="n">
        <v>0.8</v>
      </c>
      <c r="J2733" s="34"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1" t="n">
        <v>2.4</v>
      </c>
      <c r="J2734" s="32"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3" t="n">
        <v>0.5</v>
      </c>
      <c r="J2735" s="34"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1" t="n">
        <v>1.48</v>
      </c>
      <c r="J2736" s="32"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3" t="n">
        <v>1</v>
      </c>
      <c r="J2737" s="34"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1" t="n">
        <v>3</v>
      </c>
      <c r="J2738" s="32"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3" t="n">
        <v>0.5</v>
      </c>
      <c r="J2739" s="34"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1" t="n">
        <v>0.5</v>
      </c>
      <c r="J2740" s="32"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3" t="n">
        <v>0.28</v>
      </c>
      <c r="J2741" s="34"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1" t="n">
        <v>0.84</v>
      </c>
      <c r="J2742" s="32"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3" t="n">
        <v>0.62</v>
      </c>
      <c r="J2743" s="34"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1" t="n">
        <v>1.68</v>
      </c>
      <c r="J2744" s="32"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3" t="n">
        <v>0.5</v>
      </c>
      <c r="J2745" s="34"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1" t="n">
        <v>0.5</v>
      </c>
      <c r="J2746" s="32"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3" t="n">
        <v>0.28</v>
      </c>
      <c r="J2747" s="34"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1" t="n">
        <v>0.84</v>
      </c>
      <c r="J2748" s="32"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3" t="n">
        <v>0.62</v>
      </c>
      <c r="J2749" s="34"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1" t="n">
        <v>1.68</v>
      </c>
      <c r="J2750" s="32"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3" t="n">
        <v>2.34</v>
      </c>
      <c r="J2751" s="34"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1" t="n">
        <v>9.34</v>
      </c>
      <c r="J2752" s="32"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3" t="n">
        <v>9.34</v>
      </c>
      <c r="J2753" s="34"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1" t="n">
        <v>0.12</v>
      </c>
      <c r="J2754" s="32"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3" t="n">
        <v>0.12</v>
      </c>
      <c r="J2755" s="34"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1" t="n">
        <v>1</v>
      </c>
      <c r="J2756" s="32"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3" t="n">
        <v>1</v>
      </c>
      <c r="J2757" s="34"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1" t="n">
        <v>0.5</v>
      </c>
      <c r="J2758" s="32"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3" t="n">
        <v>0.5</v>
      </c>
      <c r="J2759" s="34"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1" t="n">
        <v>0.14</v>
      </c>
      <c r="J2760" s="32"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3" t="n">
        <v>0.55</v>
      </c>
      <c r="J2761" s="34"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1" t="n">
        <v>1.64</v>
      </c>
      <c r="J2762" s="32"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3" t="n">
        <v>0.14</v>
      </c>
      <c r="J2763" s="34"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1" t="n">
        <v>0.55</v>
      </c>
      <c r="J2764" s="32"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3" t="n">
        <v>1.64</v>
      </c>
      <c r="J2765" s="34"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1" t="n">
        <v>0.14</v>
      </c>
      <c r="J2766" s="32"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3" t="n">
        <v>0.55</v>
      </c>
      <c r="J2767" s="34"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1" t="n">
        <v>1.64</v>
      </c>
      <c r="J2768" s="32"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3" t="n">
        <v>0.14</v>
      </c>
      <c r="J2769" s="34"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1" t="n">
        <v>0.55</v>
      </c>
      <c r="J2770" s="32"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3" t="n">
        <v>1.64</v>
      </c>
      <c r="J2771" s="34"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1" t="n">
        <v>0.07000000000000001</v>
      </c>
      <c r="J2772" s="32"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3" t="n">
        <v>0.28</v>
      </c>
      <c r="J2773" s="34"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1" t="n">
        <v>0.82</v>
      </c>
      <c r="J2774" s="32"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3" t="n">
        <v>0.07000000000000001</v>
      </c>
      <c r="J2775" s="34"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1" t="n">
        <v>0.28</v>
      </c>
      <c r="J2776" s="32"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3" t="n">
        <v>0.82</v>
      </c>
      <c r="J2777" s="34"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1" t="n">
        <v>0.1</v>
      </c>
      <c r="J2778" s="32"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3" t="n">
        <v>0.3</v>
      </c>
      <c r="J2779" s="34"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1" t="n">
        <v>1</v>
      </c>
      <c r="J2780" s="32"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3" t="n">
        <v>0.1</v>
      </c>
      <c r="J2781" s="34"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1" t="n">
        <v>0.3</v>
      </c>
      <c r="J2782" s="32"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3" t="n">
        <v>1</v>
      </c>
      <c r="J2783" s="34"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1" t="n">
        <v>0.04</v>
      </c>
      <c r="J2784" s="32"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3" t="n">
        <v>0.06</v>
      </c>
      <c r="J2785" s="34"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1" t="n">
        <v>0.4</v>
      </c>
      <c r="J2786" s="32"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3" t="n">
        <v>0.1</v>
      </c>
      <c r="J2787" s="34"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1" t="n">
        <v>0.3</v>
      </c>
      <c r="J2788" s="32"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3" t="n">
        <v>1</v>
      </c>
      <c r="J2789" s="34"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1" t="n">
        <v>1</v>
      </c>
      <c r="J2790" s="32"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3" t="n">
        <v>1</v>
      </c>
      <c r="J2791" s="34"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1" t="n">
        <v>0.12</v>
      </c>
      <c r="J2792" s="32"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3" t="n">
        <v>0.38</v>
      </c>
      <c r="J2793" s="34"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1" t="n">
        <v>0.38</v>
      </c>
      <c r="J2794" s="32"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3" t="n">
        <v>0.38</v>
      </c>
      <c r="J2795" s="34"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1" t="n">
        <v>0.15</v>
      </c>
      <c r="J2796" s="32"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3" t="n">
        <v>1.3</v>
      </c>
      <c r="J2797" s="34"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1" t="n">
        <v>3.75</v>
      </c>
      <c r="J2798" s="32"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3" t="n">
        <v>1.1</v>
      </c>
      <c r="J2799" s="34"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1" t="n">
        <v>1.3</v>
      </c>
      <c r="J2800" s="32"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3" t="n">
        <v>3.75</v>
      </c>
      <c r="J2801" s="34"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1" t="n">
        <v>1.1</v>
      </c>
      <c r="J2802" s="32"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3" t="n">
        <v>0.07000000000000001</v>
      </c>
      <c r="J2803" s="34"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1" t="n">
        <v>0.04</v>
      </c>
      <c r="J2804" s="32"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3" t="n">
        <v>0.8100000000000001</v>
      </c>
      <c r="J2805" s="34"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1" t="n">
        <v>1.08</v>
      </c>
      <c r="J2806" s="32"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3" t="n">
        <v>0.27</v>
      </c>
      <c r="J2807" s="34"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1" t="n">
        <v>0.6</v>
      </c>
      <c r="J2808" s="32"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3" t="n">
        <v>2.6</v>
      </c>
      <c r="J2809" s="34"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1" t="n">
        <v>0.08500000000000001</v>
      </c>
      <c r="J2810" s="32"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3" t="n">
        <v>0.056</v>
      </c>
      <c r="J2811" s="34"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1" t="n">
        <v>0.025</v>
      </c>
      <c r="J2812" s="32"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3" t="n">
        <v>0.005</v>
      </c>
      <c r="J2813" s="34"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1" t="n">
        <v>0.005</v>
      </c>
      <c r="J2814" s="32"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3" t="n">
        <v>0.0037</v>
      </c>
      <c r="J2815" s="34"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1" t="n">
        <v>0.15</v>
      </c>
      <c r="J2816" s="32"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3" t="n">
        <v>0.15</v>
      </c>
      <c r="J2817" s="34"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1" t="n">
        <v>0.25</v>
      </c>
      <c r="J2818" s="32"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3" t="n">
        <v>0.25</v>
      </c>
      <c r="J2819" s="34"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1" t="n">
        <v>1</v>
      </c>
      <c r="J2820" s="32"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3" t="n">
        <v>0.081</v>
      </c>
      <c r="J2821" s="34"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1" t="n">
        <v>0.101</v>
      </c>
      <c r="J2822" s="32"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3" t="n">
        <v>0.033</v>
      </c>
      <c r="J2823" s="34"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1" t="n">
        <v>0.008999999999999999</v>
      </c>
      <c r="J2824" s="32"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3" t="n">
        <v>0.006</v>
      </c>
      <c r="J2825" s="34"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1" t="n">
        <v>0.0027</v>
      </c>
      <c r="J2826" s="32"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3" t="n">
        <v>0.0005</v>
      </c>
      <c r="J2827" s="34"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1" t="n">
        <v>0.0005</v>
      </c>
      <c r="J2828" s="32"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3" t="n">
        <v>0.0004</v>
      </c>
      <c r="J2829" s="34"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1" t="n">
        <v>0.0235</v>
      </c>
      <c r="J2830" s="32"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3" t="n">
        <v>0.0235</v>
      </c>
      <c r="J2831" s="34"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1" t="n">
        <v>0.0078</v>
      </c>
      <c r="J2832" s="32"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3" t="n">
        <v>0.008</v>
      </c>
      <c r="J2833" s="34"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1" t="n">
        <v>0.008</v>
      </c>
      <c r="J2834" s="32"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3" t="n">
        <v>1.52</v>
      </c>
      <c r="J2835" s="34"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1" t="n">
        <v>1.82</v>
      </c>
      <c r="J2836" s="32"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3" t="n">
        <v>1.52</v>
      </c>
      <c r="J2837" s="34"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1" t="n">
        <v>0.3</v>
      </c>
      <c r="J2838" s="32"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3" t="n">
        <v>1.52</v>
      </c>
      <c r="J2839" s="34"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1" t="n">
        <v>1.82</v>
      </c>
      <c r="J2840" s="32"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3" t="n">
        <v>1.52</v>
      </c>
      <c r="J2841" s="34"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1" t="n">
        <v>0.3</v>
      </c>
      <c r="J2842" s="32"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3" t="n">
        <v>2.5</v>
      </c>
      <c r="J2843" s="34"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1" t="n">
        <v>2</v>
      </c>
      <c r="J2844" s="32"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3" t="n">
        <v>2.5</v>
      </c>
      <c r="J2845" s="34"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1" t="n">
        <v>2</v>
      </c>
      <c r="J2846" s="32"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3" t="n">
        <v>2.5</v>
      </c>
      <c r="J2847" s="34"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1" t="n">
        <v>2</v>
      </c>
      <c r="J2848" s="32"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3" t="n">
        <v>2.5</v>
      </c>
      <c r="J2849" s="34"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1" t="n">
        <v>2</v>
      </c>
      <c r="J2850" s="32"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3" t="n">
        <v>2.5</v>
      </c>
      <c r="J2851" s="34"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1" t="n">
        <v>2</v>
      </c>
      <c r="J2852" s="32"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3" t="n">
        <v>2.5</v>
      </c>
      <c r="J2853" s="34"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1" t="n">
        <v>2</v>
      </c>
      <c r="J2854" s="32"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3" t="n">
        <v>2.65</v>
      </c>
      <c r="J2855" s="34"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1" t="n">
        <v>0.145</v>
      </c>
      <c r="J2856" s="32"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3" t="n">
        <v>2.79</v>
      </c>
      <c r="J2857" s="34"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1" t="n">
        <v>0.49</v>
      </c>
      <c r="J2858" s="32"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3" t="n">
        <v>0.39</v>
      </c>
      <c r="J2859" s="34"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1" t="n">
        <v>2.5</v>
      </c>
      <c r="J2860" s="32"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3" t="n">
        <v>2.5</v>
      </c>
      <c r="J2861" s="34"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1" t="n">
        <v>0.49</v>
      </c>
      <c r="J2862" s="32"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3" t="n">
        <v>0.39</v>
      </c>
      <c r="J2863" s="34"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1" t="n">
        <v>2.5</v>
      </c>
      <c r="J2864" s="32"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3" t="n">
        <v>2.5</v>
      </c>
      <c r="J2865" s="34"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1" t="n">
        <v>0.49</v>
      </c>
      <c r="J2866" s="32"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3" t="n">
        <v>0.39</v>
      </c>
      <c r="J2867" s="34"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1" t="n">
        <v>2.5</v>
      </c>
      <c r="J2868" s="32"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3" t="n">
        <v>2.5</v>
      </c>
      <c r="J2869" s="34"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1" t="n">
        <v>0.49</v>
      </c>
      <c r="J2870" s="32"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3" t="n">
        <v>0.39</v>
      </c>
      <c r="J2871" s="34"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1" t="n">
        <v>2.5</v>
      </c>
      <c r="J2872" s="32"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3" t="n">
        <v>2.5</v>
      </c>
      <c r="J2873" s="34"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1" t="n">
        <v>0.49</v>
      </c>
      <c r="J2874" s="32"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3" t="n">
        <v>0.39</v>
      </c>
      <c r="J2875" s="34"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1" t="n">
        <v>2.5</v>
      </c>
      <c r="J2876" s="32"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3" t="n">
        <v>2.5</v>
      </c>
      <c r="J2877" s="34"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1" t="n">
        <v>1</v>
      </c>
      <c r="J2878" s="32"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3" t="n">
        <v>1</v>
      </c>
      <c r="J2879" s="34"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1" t="n">
        <v>2</v>
      </c>
      <c r="J2880" s="32"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3" t="n">
        <v>1.6</v>
      </c>
      <c r="J2881" s="34"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1" t="n">
        <v>1.6</v>
      </c>
      <c r="J2882" s="32"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3" t="n">
        <v>3.23</v>
      </c>
      <c r="J2883" s="34"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1" t="n">
        <v>3.23</v>
      </c>
      <c r="J2884" s="32"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3" t="n">
        <v>0.54</v>
      </c>
      <c r="J2885" s="34"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1" t="n">
        <v>1.6</v>
      </c>
      <c r="J2886" s="32"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3" t="n">
        <v>1.6</v>
      </c>
      <c r="J2887" s="34"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1" t="n">
        <v>3.23</v>
      </c>
      <c r="J2888" s="32"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3" t="n">
        <v>3.23</v>
      </c>
      <c r="J2889" s="34"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1" t="n">
        <v>0.54</v>
      </c>
      <c r="J2890" s="32"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3" t="n">
        <v>0.5</v>
      </c>
      <c r="J2891" s="34"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1" t="n">
        <v>1</v>
      </c>
      <c r="J2892" s="32"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3" t="n">
        <v>1.5</v>
      </c>
      <c r="J2893" s="34"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1" t="n">
        <v>2</v>
      </c>
      <c r="J2894" s="32"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3" t="n">
        <v>2</v>
      </c>
      <c r="J2895" s="34"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1" t="n">
        <v>0.25</v>
      </c>
      <c r="J2896" s="32"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3" t="n">
        <v>1</v>
      </c>
      <c r="J2897" s="34"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1" t="n">
        <v>1</v>
      </c>
      <c r="J2898" s="32"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3" t="n">
        <v>0.25</v>
      </c>
      <c r="J2899" s="34"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1" t="n">
        <v>1</v>
      </c>
      <c r="J2900" s="32"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3" t="n">
        <v>2</v>
      </c>
      <c r="J2901" s="34"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1" t="n">
        <v>0.5</v>
      </c>
      <c r="J2902" s="32"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3" t="n">
        <v>0.5</v>
      </c>
      <c r="J2903" s="34"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1" t="n">
        <v>0.5</v>
      </c>
      <c r="J2904" s="32"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3" t="n">
        <v>0.5</v>
      </c>
      <c r="J2905" s="34"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1" t="n">
        <v>0.5</v>
      </c>
      <c r="J2906" s="32"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3" t="n">
        <v>0.5</v>
      </c>
      <c r="J2907" s="34"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1" t="n">
        <v>0.4</v>
      </c>
      <c r="J2908" s="32"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3" t="n">
        <v>0.4</v>
      </c>
      <c r="J2909" s="34"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1" t="n">
        <v>0.125</v>
      </c>
      <c r="J2910" s="32"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3" t="n">
        <v>0.75</v>
      </c>
      <c r="J2911" s="34"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1" t="n">
        <v>0.5</v>
      </c>
      <c r="J2912" s="32"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3" t="n">
        <v>0.0045</v>
      </c>
      <c r="J2913" s="34"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1" t="n">
        <v>0.0032</v>
      </c>
      <c r="J2914" s="32"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3" t="n">
        <v>0.0014</v>
      </c>
      <c r="J2915" s="34"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1" t="n">
        <v>0.0003</v>
      </c>
      <c r="J2916" s="32"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3" t="n">
        <v>0.0003</v>
      </c>
      <c r="J2917" s="34"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1" t="n">
        <v>0.0002</v>
      </c>
      <c r="J2918" s="32"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3" t="n">
        <v>0.125</v>
      </c>
      <c r="J2919" s="34"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1" t="n">
        <v>0.75</v>
      </c>
      <c r="J2920" s="32"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3" t="n">
        <v>0.5</v>
      </c>
      <c r="J2921" s="34"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1" t="n">
        <v>0.0045</v>
      </c>
      <c r="J2922" s="32"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3" t="n">
        <v>0.0032</v>
      </c>
      <c r="J2923" s="34"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1" t="n">
        <v>0.0014</v>
      </c>
      <c r="J2924" s="32"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3" t="n">
        <v>0.0003</v>
      </c>
      <c r="J2925" s="34"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1" t="n">
        <v>0.0003</v>
      </c>
      <c r="J2926" s="32"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3" t="n">
        <v>0.0002</v>
      </c>
      <c r="J2927" s="34"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1" t="n">
        <v>0.06</v>
      </c>
      <c r="J2928" s="32"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3" t="n">
        <v>0.06</v>
      </c>
      <c r="J2929" s="34"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1" t="n">
        <v>0.12</v>
      </c>
      <c r="J2930" s="32"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3" t="n">
        <v>0.08</v>
      </c>
      <c r="J2931" s="34"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1" t="n">
        <v>0.08</v>
      </c>
      <c r="J2932" s="32"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3" t="n">
        <v>0.15</v>
      </c>
      <c r="J2933" s="34"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1" t="n">
        <v>0.19</v>
      </c>
      <c r="J2934" s="32"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3" t="n">
        <v>0.37</v>
      </c>
      <c r="J2935" s="34"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1" t="n">
        <v>0.08</v>
      </c>
      <c r="J2936" s="32"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3" t="n">
        <v>0.23</v>
      </c>
      <c r="J2937" s="34"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1" t="n">
        <v>0.45</v>
      </c>
      <c r="J2938" s="32"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3" t="n">
        <v>0.11</v>
      </c>
      <c r="J2939" s="34"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1" t="n">
        <v>0.125</v>
      </c>
      <c r="J2940" s="32"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3" t="n">
        <v>0.75</v>
      </c>
      <c r="J2941" s="34"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1" t="n">
        <v>0.5</v>
      </c>
      <c r="J2942" s="32"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3" t="n">
        <v>0.125</v>
      </c>
      <c r="J2943" s="34"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1" t="n">
        <v>0.75</v>
      </c>
      <c r="J2944" s="32"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3" t="n">
        <v>0.5</v>
      </c>
      <c r="J2945" s="34"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1" t="n">
        <v>31.104</v>
      </c>
      <c r="J2946" s="32"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3" t="n">
        <v>31.104</v>
      </c>
      <c r="J2947" s="34"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1" t="n">
        <v>10.368</v>
      </c>
      <c r="J2948" s="32"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3" t="n">
        <v>31.104</v>
      </c>
      <c r="J2949" s="34"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1" t="n">
        <v>31.104</v>
      </c>
      <c r="J2950" s="32"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3" t="n">
        <v>10.37</v>
      </c>
      <c r="J2951" s="34"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1" t="n">
        <v>31.104</v>
      </c>
      <c r="J2952" s="32"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3" t="n">
        <v>31.104</v>
      </c>
      <c r="J2953" s="34"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1" t="n">
        <v>10.37</v>
      </c>
      <c r="J2954" s="32"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3" t="n">
        <v>31.104</v>
      </c>
      <c r="J2955" s="34"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1" t="n">
        <v>31.104</v>
      </c>
      <c r="J2956" s="32"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3" t="n">
        <v>10.37</v>
      </c>
      <c r="J2957" s="34"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1" t="n">
        <v>1.3</v>
      </c>
      <c r="J2958" s="32"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3" t="n">
        <v>15.5</v>
      </c>
      <c r="J2959" s="34"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1" t="n">
        <v>15.5</v>
      </c>
      <c r="J2960" s="32"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3" t="n">
        <v>1.3</v>
      </c>
      <c r="J2961" s="34"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1" t="n">
        <v>15.5</v>
      </c>
      <c r="J2962" s="32"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3" t="n">
        <v>15.5</v>
      </c>
      <c r="J2963" s="34"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1" t="n">
        <v>0.3</v>
      </c>
      <c r="J2964" s="32"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3" t="n">
        <v>1.56</v>
      </c>
      <c r="J2965" s="34"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1" t="n">
        <v>0.01</v>
      </c>
      <c r="J2966" s="32"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3" t="n">
        <v>0.15</v>
      </c>
      <c r="J2967" s="34"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1" t="n">
        <v>2.34</v>
      </c>
      <c r="J2968" s="32"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3" t="n">
        <v>9.34</v>
      </c>
      <c r="J2969" s="34"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1" t="n">
        <v>9.34</v>
      </c>
      <c r="J2970" s="32"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3" t="n">
        <v>0.14</v>
      </c>
      <c r="J2971" s="34"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1" t="n">
        <v>0.55</v>
      </c>
      <c r="J2972" s="32"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3" t="n">
        <v>1.64</v>
      </c>
      <c r="J2973" s="34"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1" t="n">
        <v>0.07000000000000001</v>
      </c>
      <c r="J2974" s="32"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3" t="n">
        <v>0.28</v>
      </c>
      <c r="J2975" s="34"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1" t="n">
        <v>0.82</v>
      </c>
      <c r="J2976" s="32"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3" t="n">
        <v>0.1</v>
      </c>
      <c r="J2977" s="34"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1" t="n">
        <v>0.3</v>
      </c>
      <c r="J2978" s="32"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3" t="n">
        <v>1</v>
      </c>
      <c r="J2979" s="34"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1" t="n">
        <v>0.04</v>
      </c>
      <c r="J2980" s="32"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3" t="n">
        <v>0.06</v>
      </c>
      <c r="J2981" s="34"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1" t="n">
        <v>0.4</v>
      </c>
      <c r="J2982" s="32"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3" t="n">
        <v>0.1</v>
      </c>
      <c r="J2983" s="34"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1" t="n">
        <v>0.3</v>
      </c>
      <c r="J2984" s="32"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3" t="n">
        <v>1</v>
      </c>
      <c r="J2985" s="34"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1" t="n">
        <v>0.5</v>
      </c>
      <c r="J2986" s="32"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3" t="n">
        <v>0.5</v>
      </c>
      <c r="J2987" s="34"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1" t="n">
        <v>0.28</v>
      </c>
      <c r="J2988" s="32"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3" t="n">
        <v>0.84</v>
      </c>
      <c r="J2989" s="34"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1" t="n">
        <v>0.62</v>
      </c>
      <c r="J2990" s="32"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3" t="n">
        <v>1.68</v>
      </c>
      <c r="J2991" s="34"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1" t="n">
        <v>28</v>
      </c>
      <c r="J2992" s="32"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3" t="n">
        <v>23</v>
      </c>
      <c r="J2993" s="34"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1" t="n">
        <v>28</v>
      </c>
      <c r="J2994" s="32"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3" t="n">
        <v>23</v>
      </c>
      <c r="J2995" s="34"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1" t="n">
        <v>28</v>
      </c>
      <c r="J2996" s="32"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3" t="n">
        <v>23</v>
      </c>
      <c r="J2997" s="34"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1" t="n">
        <v>28</v>
      </c>
      <c r="J2998" s="32"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3" t="n">
        <v>23</v>
      </c>
      <c r="J2999" s="34"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1" t="n">
        <v>28</v>
      </c>
      <c r="J3000" s="32"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3" t="n">
        <v>23</v>
      </c>
      <c r="J3001" s="34"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1" t="n">
        <v>28</v>
      </c>
      <c r="J3002" s="32"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3" t="n">
        <v>23</v>
      </c>
      <c r="J3003" s="34"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1" t="n">
        <v>28</v>
      </c>
      <c r="J3004" s="32"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3" t="n">
        <v>23</v>
      </c>
      <c r="J3005" s="34"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1" t="n">
        <v>1.6</v>
      </c>
      <c r="J3006" s="32"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3" t="n">
        <v>2</v>
      </c>
      <c r="J3007" s="34"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1" t="n">
        <v>1</v>
      </c>
      <c r="J3008" s="32"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3" t="n">
        <v>1</v>
      </c>
      <c r="J3009" s="34"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1" t="n">
        <v>1.6</v>
      </c>
      <c r="J3010" s="32"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3" t="n">
        <v>0.5</v>
      </c>
      <c r="J3011" s="34"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1" t="n">
        <v>0.5</v>
      </c>
      <c r="J3012" s="32"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3" t="n">
        <v>28</v>
      </c>
      <c r="J3013" s="34"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1" t="n">
        <v>23</v>
      </c>
      <c r="J3014" s="32"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3" t="n">
        <v>31.1</v>
      </c>
      <c r="J3015" s="34"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1" t="n">
        <v>31.1</v>
      </c>
      <c r="J3016" s="32"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3" t="n">
        <v>10.37</v>
      </c>
      <c r="J3017" s="34"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1" t="n">
        <v>1</v>
      </c>
      <c r="J3018" s="32"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3" t="n">
        <v>2</v>
      </c>
      <c r="J3019" s="34"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1" t="n">
        <v>0.5</v>
      </c>
      <c r="J3020" s="32"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3" t="n">
        <v>0.5</v>
      </c>
      <c r="J3021" s="34"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1" t="n">
        <v>0.5</v>
      </c>
      <c r="J3022" s="32"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3" t="n">
        <v>0.5</v>
      </c>
      <c r="J3023" s="34"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1" t="n">
        <v>0.54</v>
      </c>
      <c r="J3024" s="32"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3" t="n">
        <v>0.54</v>
      </c>
      <c r="J3025" s="34"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5" t="n">
        <v>2.62</v>
      </c>
      <c r="G2" s="35"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6" t="n">
        <v>3.1</v>
      </c>
      <c r="G3" s="36"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5" t="n">
        <v>91.15000000000001</v>
      </c>
      <c r="G4" s="35"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6" t="n">
        <v>7.4</v>
      </c>
      <c r="G5" s="36"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5" t="n">
        <v>2.73</v>
      </c>
      <c r="G6" s="35"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6" t="n">
        <v>2.73</v>
      </c>
      <c r="G7" s="36"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5" t="n">
        <v>1.82</v>
      </c>
      <c r="G8" s="35"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6" t="n">
        <v>10.79</v>
      </c>
      <c r="G9" s="36"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5" t="n">
        <v>16.12</v>
      </c>
      <c r="G10" s="35"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6" t="n">
        <v>16.12</v>
      </c>
      <c r="G11" s="36"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5" t="n">
        <v>13.52</v>
      </c>
      <c r="G12" s="35"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6" t="n">
        <v>18.85</v>
      </c>
      <c r="G13" s="36"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5" t="n">
        <v>17.94</v>
      </c>
      <c r="G14" s="35"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6" t="n">
        <v>26.91</v>
      </c>
      <c r="G15" s="36"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5" t="n">
        <v>40.43</v>
      </c>
      <c r="G16" s="35"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6" t="n">
        <v>80.73</v>
      </c>
      <c r="G17" s="36"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5" t="n">
        <v>2.73</v>
      </c>
      <c r="G18" s="35"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6" t="n">
        <v>5.46</v>
      </c>
      <c r="G19" s="36"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5" t="n">
        <v>8.06</v>
      </c>
      <c r="G20" s="35"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6" t="n">
        <v>31.46</v>
      </c>
      <c r="G21" s="36"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5" t="n">
        <v>34.06</v>
      </c>
      <c r="G22" s="35"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6" t="n">
        <v>47.58</v>
      </c>
      <c r="G23" s="36"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5" t="n">
        <v>19.76</v>
      </c>
      <c r="G24" s="35"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6" t="n">
        <v>33.15</v>
      </c>
      <c r="G25" s="36"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5" t="n">
        <v>46.67</v>
      </c>
      <c r="G26" s="35"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6" t="n">
        <v>1.82</v>
      </c>
      <c r="G27" s="36"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5" t="n">
        <v>2.73</v>
      </c>
      <c r="G28" s="35"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6" t="n">
        <v>3.64</v>
      </c>
      <c r="G29" s="36"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5" t="n">
        <v>19.76</v>
      </c>
      <c r="G30" s="35"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6" t="n">
        <v>33.15</v>
      </c>
      <c r="G31" s="36"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5" t="n">
        <v>47.58</v>
      </c>
      <c r="G32" s="35"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6" t="n">
        <v>13.52</v>
      </c>
      <c r="G33" s="36"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5" t="n">
        <v>13.52</v>
      </c>
      <c r="G34" s="35"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6" t="n">
        <v>13.52</v>
      </c>
      <c r="G35" s="36"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5" t="n">
        <v>13.52</v>
      </c>
      <c r="G36" s="35"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6" t="n">
        <v>1.82</v>
      </c>
      <c r="G37" s="36"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5" t="n">
        <v>2.73</v>
      </c>
      <c r="G38" s="35"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6" t="n">
        <v>5.46</v>
      </c>
      <c r="G39" s="36"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5" t="n">
        <v>8.06</v>
      </c>
      <c r="G40" s="35"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6" t="n">
        <v>26.91</v>
      </c>
      <c r="G41" s="36"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5" t="n">
        <v>13.52</v>
      </c>
      <c r="G42" s="35"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6" t="n">
        <v>35.88</v>
      </c>
      <c r="G43" s="36"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5" t="n">
        <v>35.88</v>
      </c>
      <c r="G44" s="35"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6" t="n">
        <v>17.94</v>
      </c>
      <c r="G45" s="36"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5" t="n">
        <v>17.94</v>
      </c>
      <c r="G46" s="35"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6" t="n">
        <v>26.9</v>
      </c>
      <c r="G47" s="36"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5" t="n">
        <v>13.52</v>
      </c>
      <c r="G48" s="35"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6" t="n">
        <v>26.91</v>
      </c>
      <c r="G49" s="36"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5" t="n">
        <v>13.52</v>
      </c>
      <c r="G50" s="35"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6" t="n">
        <v>26.91</v>
      </c>
      <c r="G51" s="36"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5" t="n">
        <v>13.52</v>
      </c>
      <c r="G52" s="35"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6" t="n">
        <v>26.91</v>
      </c>
      <c r="G53" s="36"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5" t="n">
        <v>13.52</v>
      </c>
      <c r="G54" s="35"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6" t="n">
        <v>26.91</v>
      </c>
      <c r="G55" s="36"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5" t="n">
        <v>13.52</v>
      </c>
      <c r="G56" s="35"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6" t="n">
        <v>26.91</v>
      </c>
      <c r="G57" s="36"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5" t="n">
        <v>13.52</v>
      </c>
      <c r="G58" s="35"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6" t="n">
        <v>26.91</v>
      </c>
      <c r="G59" s="36"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5" t="n">
        <v>13.52</v>
      </c>
      <c r="G60" s="35"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6" t="n">
        <v>26.91</v>
      </c>
      <c r="G61" s="36"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5" t="n">
        <v>13.52</v>
      </c>
      <c r="G62" s="35"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6" t="n">
        <v>26.91</v>
      </c>
      <c r="G63" s="36"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5" t="n">
        <v>13.52</v>
      </c>
      <c r="G64" s="35"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6" t="n">
        <v>26.91</v>
      </c>
      <c r="G65" s="36"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5" t="n">
        <v>13.52</v>
      </c>
      <c r="G66" s="35"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6" t="n">
        <v>26.91</v>
      </c>
      <c r="G67" s="36"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5" t="n">
        <v>13.52</v>
      </c>
      <c r="G68" s="35"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6" t="n">
        <v>26.91</v>
      </c>
      <c r="G69" s="36"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5" t="n">
        <v>13.52</v>
      </c>
      <c r="G70" s="35"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6" t="n">
        <v>26.91</v>
      </c>
      <c r="G71" s="36"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5" t="n">
        <v>13.52</v>
      </c>
      <c r="G72" s="35"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6" t="n">
        <v>26.91</v>
      </c>
      <c r="G73" s="36"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5" t="n">
        <v>13.52</v>
      </c>
      <c r="G74" s="35"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6" t="n">
        <v>26.91</v>
      </c>
      <c r="G75" s="36"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5" t="n">
        <v>13.52</v>
      </c>
      <c r="G76" s="35"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6" t="n">
        <v>26.91</v>
      </c>
      <c r="G77" s="36"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5" t="n">
        <v>13.52</v>
      </c>
      <c r="G78" s="35"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6" t="n">
        <v>26.91</v>
      </c>
      <c r="G79" s="36"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5" t="n">
        <v>13.52</v>
      </c>
      <c r="G80" s="35"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6" t="n">
        <v>6.45</v>
      </c>
      <c r="G81" s="36"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5" t="n">
        <v>10.35</v>
      </c>
      <c r="G82" s="35"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6" t="n">
        <v>5.2</v>
      </c>
      <c r="G83" s="36"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5" t="n">
        <v>14.3</v>
      </c>
      <c r="G84" s="35"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6" t="n">
        <v>14.3</v>
      </c>
      <c r="G85" s="36"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5" t="n">
        <v>13.52</v>
      </c>
      <c r="G86" s="35"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6" t="n">
        <v>13.52</v>
      </c>
      <c r="G87" s="36"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5" t="n">
        <v>13.52</v>
      </c>
      <c r="G88" s="35"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6" t="n">
        <v>13.52</v>
      </c>
      <c r="G89" s="36"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5" t="n">
        <v>13.52</v>
      </c>
      <c r="G90" s="35"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6" t="n">
        <v>8.970000000000001</v>
      </c>
      <c r="G91" s="36"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5" t="n">
        <v>14.3</v>
      </c>
      <c r="G92" s="35"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6" t="n">
        <v>14.3</v>
      </c>
      <c r="G93" s="36"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5" t="n">
        <v>114.4</v>
      </c>
      <c r="G94" s="35"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6" t="n">
        <v>14.3</v>
      </c>
      <c r="G95" s="36"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5" t="n">
        <v>114.4</v>
      </c>
      <c r="G96" s="35"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6" t="n">
        <v>14.3</v>
      </c>
      <c r="G97" s="36"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5" t="n">
        <v>114.4</v>
      </c>
      <c r="G98" s="35"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6" t="n">
        <v>13.52</v>
      </c>
      <c r="G99" s="36"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5" t="n">
        <v>114.4</v>
      </c>
      <c r="G100" s="35"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6" t="n">
        <v>14.3</v>
      </c>
      <c r="G101" s="36"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5" t="n">
        <v>22.1</v>
      </c>
      <c r="G102" s="35"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6" t="n">
        <v>52</v>
      </c>
      <c r="G103" s="36"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5" t="n">
        <v>26</v>
      </c>
      <c r="G104" s="35"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6" t="n">
        <v>27.62</v>
      </c>
      <c r="G105" s="36"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5" t="n">
        <v>78</v>
      </c>
      <c r="G106" s="35"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6" t="n">
        <v>52</v>
      </c>
      <c r="G107" s="36"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5" t="n">
        <v>27.62</v>
      </c>
      <c r="G108" s="35"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6" t="n">
        <v>39</v>
      </c>
      <c r="G109" s="36"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5" t="n">
        <v>36.3</v>
      </c>
      <c r="G110" s="35"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6" t="n">
        <v>30.54</v>
      </c>
      <c r="G111" s="36"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5" t="n">
        <v>26.91</v>
      </c>
      <c r="G112" s="35"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6" t="n">
        <v>1.95</v>
      </c>
      <c r="G113" s="36"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5" t="n">
        <v>13.52</v>
      </c>
      <c r="G114" s="35"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6" t="n">
        <v>33.15</v>
      </c>
      <c r="G115" s="36"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5" t="n">
        <v>13.39</v>
      </c>
      <c r="G116" s="35"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6" t="n">
        <v>6.76</v>
      </c>
      <c r="G117" s="36"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5" t="n">
        <v>13</v>
      </c>
      <c r="G118" s="35"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6" t="n">
        <v>13</v>
      </c>
      <c r="G119" s="36"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5" t="n">
        <v>13</v>
      </c>
      <c r="G120" s="35"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6" t="n">
        <v>13</v>
      </c>
      <c r="G121" s="36"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5" t="n">
        <v>13</v>
      </c>
      <c r="G122" s="35"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6" t="n">
        <v>13</v>
      </c>
      <c r="G123" s="36"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5" t="n">
        <v>13</v>
      </c>
      <c r="G124" s="35"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6" t="n">
        <v>13</v>
      </c>
      <c r="G125" s="36"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5" t="n">
        <v>14.3</v>
      </c>
      <c r="G126" s="35"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6" t="n">
        <v>14.3</v>
      </c>
      <c r="G127" s="36"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5" t="n">
        <v>131.82</v>
      </c>
      <c r="G128" s="35"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6" t="n">
        <v>420.03</v>
      </c>
      <c r="G129" s="36"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5" t="n">
        <v>14.3</v>
      </c>
      <c r="G130" s="35"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6" t="n">
        <v>401.89</v>
      </c>
      <c r="G131" s="36"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5" t="n">
        <v>30.16</v>
      </c>
      <c r="G132" s="35"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6" t="n">
        <v>9.49</v>
      </c>
      <c r="G133" s="36"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5" t="n">
        <v>22.1</v>
      </c>
      <c r="G134" s="35"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6" t="n">
        <v>52</v>
      </c>
      <c r="G135" s="36"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5" t="n">
        <v>26</v>
      </c>
      <c r="G136" s="35"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6" t="n">
        <v>27.62</v>
      </c>
      <c r="G137" s="36"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5" t="n">
        <v>78</v>
      </c>
      <c r="G138" s="35"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6" t="n">
        <v>52</v>
      </c>
      <c r="G139" s="36"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5" t="n">
        <v>22.1</v>
      </c>
      <c r="G140" s="35"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6" t="n">
        <v>78</v>
      </c>
      <c r="G141" s="36"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5" t="n">
        <v>49.7</v>
      </c>
      <c r="G142" s="35"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6" t="n">
        <v>22.1</v>
      </c>
      <c r="G143" s="36"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5" t="n">
        <v>78</v>
      </c>
      <c r="G144" s="35"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6" t="n">
        <v>49.7</v>
      </c>
      <c r="G145" s="36"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5" t="n">
        <v>22.1</v>
      </c>
      <c r="G146" s="35"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6" t="n">
        <v>39</v>
      </c>
      <c r="G147" s="36"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5" t="n">
        <v>24.61</v>
      </c>
      <c r="G148" s="35"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6" t="n">
        <v>27.62</v>
      </c>
      <c r="G149" s="36"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5" t="n">
        <v>39</v>
      </c>
      <c r="G150" s="35"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6" t="n">
        <v>16.12</v>
      </c>
      <c r="G151" s="36"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5" t="n">
        <v>11.7</v>
      </c>
      <c r="G152" s="35"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6" t="n">
        <v>134.55</v>
      </c>
      <c r="G153" s="36"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5" t="n">
        <v>27.63</v>
      </c>
      <c r="G154" s="35"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6" t="n">
        <v>78</v>
      </c>
      <c r="G155" s="36"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5" t="n">
        <v>52</v>
      </c>
      <c r="G156" s="35"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6" t="n">
        <v>80.73</v>
      </c>
      <c r="G157" s="36"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5" t="n">
        <v>22.1</v>
      </c>
      <c r="G158" s="35"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6" t="n">
        <v>52</v>
      </c>
      <c r="G159" s="36"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5" t="n">
        <v>26</v>
      </c>
      <c r="G160" s="35"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6" t="n">
        <v>5.2</v>
      </c>
      <c r="G161" s="36"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5" t="n">
        <v>6.5</v>
      </c>
      <c r="G162" s="35"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6" t="n">
        <v>6.5</v>
      </c>
      <c r="G163" s="36"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5" t="n">
        <v>7.15</v>
      </c>
      <c r="G164" s="35"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6" t="n">
        <v>5.2</v>
      </c>
      <c r="G165" s="36"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5" t="n">
        <v>12.63</v>
      </c>
      <c r="G166" s="35"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6" t="n">
        <v>78</v>
      </c>
      <c r="G167" s="36"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5" t="n">
        <v>52</v>
      </c>
      <c r="G168" s="35"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6" t="n">
        <v>11.05</v>
      </c>
      <c r="G169" s="36"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5" t="n">
        <v>39</v>
      </c>
      <c r="G170" s="35"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6" t="n">
        <v>26</v>
      </c>
      <c r="G171" s="36"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5" t="n">
        <v>26</v>
      </c>
      <c r="G172" s="35"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6" t="n">
        <v>26</v>
      </c>
      <c r="G173" s="36"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5" t="n">
        <v>26</v>
      </c>
      <c r="G174" s="35"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6" t="n">
        <v>26</v>
      </c>
      <c r="G175" s="36"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5" t="n">
        <v>130</v>
      </c>
      <c r="G176" s="35"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6" t="n">
        <v>2.73</v>
      </c>
      <c r="G177" s="36"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5" t="n">
        <v>1.61</v>
      </c>
      <c r="G178" s="35"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6" t="n">
        <v>89.7</v>
      </c>
      <c r="G179" s="36"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5" t="n">
        <v>269.1</v>
      </c>
      <c r="G180" s="35"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6" t="n">
        <v>4.42</v>
      </c>
      <c r="G181" s="36"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5" t="n">
        <v>13.52</v>
      </c>
      <c r="G182" s="35"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6" t="n">
        <v>17.94</v>
      </c>
      <c r="G183" s="36"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5" t="n">
        <v>71.76000000000001</v>
      </c>
      <c r="G184" s="35"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6" t="n">
        <v>17.94</v>
      </c>
      <c r="G185" s="36"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5" t="n">
        <v>6.24</v>
      </c>
      <c r="G186" s="35"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6" t="n">
        <v>6.2</v>
      </c>
      <c r="G187" s="36"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5" t="n">
        <v>3.64</v>
      </c>
      <c r="G188" s="35"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6" t="n">
        <v>3.64</v>
      </c>
      <c r="G189" s="36"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5" t="n">
        <v>1.82</v>
      </c>
      <c r="G190" s="35"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6" t="n">
        <v>1.82</v>
      </c>
      <c r="G191" s="36"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5" t="n">
        <v>21.58</v>
      </c>
      <c r="G192" s="35"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6" t="n">
        <v>13.52</v>
      </c>
      <c r="G193" s="36"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5" t="n">
        <v>26</v>
      </c>
      <c r="G194" s="35"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6" t="n">
        <v>26.91</v>
      </c>
      <c r="G195" s="36"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5" t="n">
        <v>26.91</v>
      </c>
      <c r="G196" s="35"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6" t="n">
        <v>26</v>
      </c>
      <c r="G197" s="36"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5" t="n">
        <v>26.91</v>
      </c>
      <c r="G198" s="35"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6" t="n">
        <v>26</v>
      </c>
      <c r="G199" s="36"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5" t="n">
        <v>26.91</v>
      </c>
      <c r="G200" s="35"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6" t="n">
        <v>26</v>
      </c>
      <c r="G201" s="36"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5" t="n">
        <v>13.52</v>
      </c>
      <c r="G202" s="35"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6" t="n">
        <v>26</v>
      </c>
      <c r="G203" s="36"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5" t="n">
        <v>26.91</v>
      </c>
      <c r="G204" s="35"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6" t="n">
        <v>26</v>
      </c>
      <c r="G205" s="36"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5" t="n">
        <v>26.91</v>
      </c>
      <c r="G206" s="35"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6" t="n">
        <v>26.91</v>
      </c>
      <c r="G207" s="36"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5" t="n">
        <v>26</v>
      </c>
      <c r="G208" s="35"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6" t="n">
        <v>26.91</v>
      </c>
      <c r="G209" s="36"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5" t="n">
        <v>26</v>
      </c>
      <c r="G210" s="35"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6" t="n">
        <v>26.91</v>
      </c>
      <c r="G211" s="36"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5" t="n">
        <v>26</v>
      </c>
      <c r="G212" s="35"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6" t="n">
        <v>13.52</v>
      </c>
      <c r="G213" s="36"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5" t="n">
        <v>26</v>
      </c>
      <c r="G214" s="35"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6" t="n">
        <v>26.91</v>
      </c>
      <c r="G215" s="36"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5" t="n">
        <v>26</v>
      </c>
      <c r="G216" s="35"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6" t="n">
        <v>156</v>
      </c>
      <c r="G217" s="36"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5" t="n">
        <v>26.91</v>
      </c>
      <c r="G218" s="35"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6" t="n">
        <v>26</v>
      </c>
      <c r="G219" s="36"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5" t="n">
        <v>156</v>
      </c>
      <c r="G220" s="35"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6" t="n">
        <v>26.91</v>
      </c>
      <c r="G221" s="36"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5" t="n">
        <v>13.39</v>
      </c>
      <c r="G222" s="35"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6" t="n">
        <v>11.7</v>
      </c>
      <c r="G223" s="36"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5" t="n">
        <v>35.49</v>
      </c>
      <c r="G224" s="35"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6" t="n">
        <v>5.33</v>
      </c>
      <c r="G225" s="36"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5" t="n">
        <v>6.24</v>
      </c>
      <c r="G226" s="35"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6" t="n">
        <v>6.24</v>
      </c>
      <c r="G227" s="36"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5" t="n">
        <v>121.16</v>
      </c>
      <c r="G228" s="35"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6" t="n">
        <v>121.16</v>
      </c>
      <c r="G229" s="36"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5" t="n">
        <v>26.91</v>
      </c>
      <c r="G230" s="35"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6" t="n">
        <v>40.3</v>
      </c>
      <c r="G231" s="36"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5" t="n">
        <v>53.82</v>
      </c>
      <c r="G232" s="35"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6" t="n">
        <v>1.82</v>
      </c>
      <c r="G233" s="36"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5" t="n">
        <v>2.34</v>
      </c>
      <c r="G234" s="35"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6" t="n">
        <v>40.3</v>
      </c>
      <c r="G235" s="36"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5" t="n">
        <v>53.82</v>
      </c>
      <c r="G236" s="35"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6" t="n">
        <v>26.91</v>
      </c>
      <c r="G237" s="36"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5" t="n">
        <v>13</v>
      </c>
      <c r="G238" s="35"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6" t="n">
        <v>13</v>
      </c>
      <c r="G239" s="36"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5" t="n">
        <v>79.95</v>
      </c>
      <c r="G240" s="35"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6" t="n">
        <v>13</v>
      </c>
      <c r="G241" s="36"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5" t="n">
        <v>13</v>
      </c>
      <c r="G242" s="35"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6" t="n">
        <v>13</v>
      </c>
      <c r="G243" s="36"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5" t="n">
        <v>13</v>
      </c>
      <c r="G244" s="35"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6" t="n">
        <v>3</v>
      </c>
      <c r="G245" s="36"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5" t="n">
        <v>3.77</v>
      </c>
      <c r="G246" s="35"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6" t="n">
        <v>17.77</v>
      </c>
      <c r="G247" s="36"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5" t="n">
        <v>5.9</v>
      </c>
      <c r="G248" s="35"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6" t="n">
        <v>25.17</v>
      </c>
      <c r="G249" s="36"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5" t="n">
        <v>8.69</v>
      </c>
      <c r="G250" s="35"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6" t="n">
        <v>29.61</v>
      </c>
      <c r="G251" s="36"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5" t="n">
        <v>12.84</v>
      </c>
      <c r="G252" s="35"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6" t="n">
        <v>32.57</v>
      </c>
      <c r="G253" s="36"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5" t="n">
        <v>15.48</v>
      </c>
      <c r="G254" s="35"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6" t="n">
        <v>32.57</v>
      </c>
      <c r="G255" s="36"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5" t="n">
        <v>2.34</v>
      </c>
      <c r="G256" s="35"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6" t="n">
        <v>2.34</v>
      </c>
      <c r="G257" s="36"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5" t="n">
        <v>100.67</v>
      </c>
      <c r="G258" s="35"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6" t="n">
        <v>100.67</v>
      </c>
      <c r="G259" s="36"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5" t="n">
        <v>100.67</v>
      </c>
      <c r="G260" s="35"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6" t="n">
        <v>23530</v>
      </c>
      <c r="G261" s="36"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5" t="n">
        <v>1177</v>
      </c>
      <c r="G262" s="35"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6" t="n">
        <v>19200</v>
      </c>
      <c r="G263" s="36"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5" t="n">
        <v>2.73</v>
      </c>
      <c r="G264" s="35"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6" t="n">
        <v>2.73</v>
      </c>
      <c r="G265" s="36"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5" t="n">
        <v>2.73</v>
      </c>
      <c r="G266" s="35"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6" t="n">
        <v>2.73</v>
      </c>
      <c r="G267" s="36"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5" t="n">
        <v>2.73</v>
      </c>
      <c r="G268" s="35"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6" t="n">
        <v>22.36</v>
      </c>
      <c r="G269" s="36"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5" t="n">
        <v>2.73</v>
      </c>
      <c r="G270" s="35"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6" t="n">
        <v>16.38</v>
      </c>
      <c r="G271" s="36"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5" t="n">
        <v>2.73</v>
      </c>
      <c r="G272" s="35"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6" t="n">
        <v>22.36</v>
      </c>
      <c r="G273" s="36"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5" t="n">
        <v>2.73</v>
      </c>
      <c r="G274" s="35"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6" t="n">
        <v>22.36</v>
      </c>
      <c r="G275" s="36"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5" t="n">
        <v>13.52</v>
      </c>
      <c r="G276" s="35"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6" t="n">
        <v>4.55</v>
      </c>
      <c r="G277" s="36"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5" t="n">
        <v>7.15</v>
      </c>
      <c r="G278" s="35"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6" t="n">
        <v>2.73</v>
      </c>
      <c r="G279" s="36"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5" t="n">
        <v>18.85</v>
      </c>
      <c r="G280" s="35"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6" t="n">
        <v>2.73</v>
      </c>
      <c r="G281" s="36"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5" t="n">
        <v>18.85</v>
      </c>
      <c r="G282" s="35"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6" t="n">
        <v>134.55</v>
      </c>
      <c r="G283" s="36"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5" t="n">
        <v>13.52</v>
      </c>
      <c r="G284" s="35"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6" t="n">
        <v>13.52</v>
      </c>
      <c r="G285" s="36"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5" t="n">
        <v>13.52</v>
      </c>
      <c r="G286" s="35"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6" t="n">
        <v>13.52</v>
      </c>
      <c r="G287" s="36"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5" t="n">
        <v>1.82</v>
      </c>
      <c r="G288" s="35"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6" t="n">
        <v>4.55</v>
      </c>
      <c r="G289" s="36"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5" t="n">
        <v>4.55</v>
      </c>
      <c r="G290" s="35"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6" t="n">
        <v>4.55</v>
      </c>
      <c r="G291" s="36"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5" t="n">
        <v>4.55</v>
      </c>
      <c r="G292" s="35"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6" t="n">
        <v>33.8</v>
      </c>
      <c r="G293" s="36"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5" t="n">
        <v>5.46</v>
      </c>
      <c r="G294" s="35"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6" t="n">
        <v>18.85</v>
      </c>
      <c r="G295" s="36"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5" t="n">
        <v>5.46</v>
      </c>
      <c r="G296" s="35"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6" t="n">
        <v>18.85</v>
      </c>
      <c r="G297" s="36"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5" t="n">
        <v>8.06</v>
      </c>
      <c r="G298" s="35"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6" t="n">
        <v>20.67</v>
      </c>
      <c r="G299" s="36"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5" t="n">
        <v>16.38</v>
      </c>
      <c r="G300" s="35"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6" t="n">
        <v>16.38</v>
      </c>
      <c r="G301" s="36"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5" t="n">
        <v>22.36</v>
      </c>
      <c r="G302" s="35"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6" t="n">
        <v>16.38</v>
      </c>
      <c r="G303" s="36"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5" t="n">
        <v>16.38</v>
      </c>
      <c r="G304" s="35"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6" t="n">
        <v>22.36</v>
      </c>
      <c r="G305" s="36"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5" t="n">
        <v>16.38</v>
      </c>
      <c r="G306" s="35"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6" t="n">
        <v>16.38</v>
      </c>
      <c r="G307" s="36"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5" t="n">
        <v>22.36</v>
      </c>
      <c r="G308" s="35"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6" t="n">
        <v>16.38</v>
      </c>
      <c r="G309" s="36"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5" t="n">
        <v>16.38</v>
      </c>
      <c r="G310" s="35"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6" t="n">
        <v>22.36</v>
      </c>
      <c r="G311" s="36"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5" t="n">
        <v>16.38</v>
      </c>
      <c r="G312" s="35"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6" t="n">
        <v>16.38</v>
      </c>
      <c r="G313" s="36"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5" t="n">
        <v>22.36</v>
      </c>
      <c r="G314" s="35"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6" t="n">
        <v>16.38</v>
      </c>
      <c r="G315" s="36"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5" t="n">
        <v>16.38</v>
      </c>
      <c r="G316" s="35"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6" t="n">
        <v>22.36</v>
      </c>
      <c r="G317" s="36"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5" t="n">
        <v>2.73</v>
      </c>
      <c r="G318" s="35"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6" t="n">
        <v>8.970000000000001</v>
      </c>
      <c r="G319" s="36"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5" t="n">
        <v>2.73</v>
      </c>
      <c r="G320" s="35"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6" t="n">
        <v>8.970000000000001</v>
      </c>
      <c r="G321" s="36"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5" t="n">
        <v>2.73</v>
      </c>
      <c r="G322" s="35"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6" t="n">
        <v>22.36</v>
      </c>
      <c r="G323" s="36"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5" t="n">
        <v>2.73</v>
      </c>
      <c r="G324" s="35"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6" t="n">
        <v>22.36</v>
      </c>
      <c r="G325" s="36"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5" t="n">
        <v>2.73</v>
      </c>
      <c r="G326" s="35"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6" t="n">
        <v>22.36</v>
      </c>
      <c r="G327" s="36"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5" t="n">
        <v>2.73</v>
      </c>
      <c r="G328" s="35"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6" t="n">
        <v>22.36</v>
      </c>
      <c r="G329" s="36"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5" t="n">
        <v>2.73</v>
      </c>
      <c r="G330" s="35"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6" t="n">
        <v>2.73</v>
      </c>
      <c r="G331" s="36"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5" t="n">
        <v>2.73</v>
      </c>
      <c r="G332" s="35"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6" t="n">
        <v>13.52</v>
      </c>
      <c r="G333" s="36"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5" t="n">
        <v>2.73</v>
      </c>
      <c r="G334" s="35"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6" t="n">
        <v>2.73</v>
      </c>
      <c r="G335" s="36"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5" t="n">
        <v>13.52</v>
      </c>
      <c r="G336" s="35"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6" t="n">
        <v>13.52</v>
      </c>
      <c r="G337" s="36"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5" t="n">
        <v>2.73</v>
      </c>
      <c r="G338" s="35"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6" t="n">
        <v>45.76</v>
      </c>
      <c r="G339" s="36"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5" t="n">
        <v>4.42</v>
      </c>
      <c r="G340" s="35"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6" t="n">
        <v>56.55</v>
      </c>
      <c r="G341" s="36"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5" t="n">
        <v>15.21</v>
      </c>
      <c r="G342" s="35"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6" t="n">
        <v>13.52</v>
      </c>
      <c r="G343" s="36"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5" t="n">
        <v>13.52</v>
      </c>
      <c r="G344" s="35"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6" t="n">
        <v>37.7</v>
      </c>
      <c r="G345" s="36"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5" t="n">
        <v>37.7</v>
      </c>
      <c r="G346" s="35"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6" t="n">
        <v>2.73</v>
      </c>
      <c r="G347" s="36"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5" t="n">
        <v>8.06</v>
      </c>
      <c r="G348" s="35"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6" t="n">
        <v>2.73</v>
      </c>
      <c r="G349" s="36"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5" t="n">
        <v>8.06</v>
      </c>
      <c r="G350" s="35"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6" t="n">
        <v>2.73</v>
      </c>
      <c r="G351" s="36"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5" t="n">
        <v>8.06</v>
      </c>
      <c r="G352" s="35"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6" t="n">
        <v>2.73</v>
      </c>
      <c r="G353" s="36"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5" t="n">
        <v>8.06</v>
      </c>
      <c r="G354" s="35"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6" t="n">
        <v>2.73</v>
      </c>
      <c r="G355" s="36"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5" t="n">
        <v>8.06</v>
      </c>
      <c r="G356" s="35"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6" t="n">
        <v>13.52</v>
      </c>
      <c r="G357" s="36"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5" t="n">
        <v>8.06</v>
      </c>
      <c r="G358" s="35"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6" t="n">
        <v>2.73</v>
      </c>
      <c r="G359" s="36"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5" t="n">
        <v>8.06</v>
      </c>
      <c r="G360" s="35"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6" t="n">
        <v>13.52</v>
      </c>
      <c r="G361" s="36"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5" t="n">
        <v>8.06</v>
      </c>
      <c r="G362" s="35"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6" t="n">
        <v>2.73</v>
      </c>
      <c r="G363" s="36"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5" t="n">
        <v>8.06</v>
      </c>
      <c r="G364" s="35"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6" t="n">
        <v>13.52</v>
      </c>
      <c r="G365" s="36"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5" t="n">
        <v>8.06</v>
      </c>
      <c r="G366" s="35"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6" t="n">
        <v>2.73</v>
      </c>
      <c r="G367" s="36"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5" t="n">
        <v>8.06</v>
      </c>
      <c r="G368" s="35"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6" t="n">
        <v>13.52</v>
      </c>
      <c r="G369" s="36"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5" t="n">
        <v>8.06</v>
      </c>
      <c r="G370" s="35"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6" t="n">
        <v>2.73</v>
      </c>
      <c r="G371" s="36"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5" t="n">
        <v>8.06</v>
      </c>
      <c r="G372" s="35"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6" t="n">
        <v>33.15</v>
      </c>
      <c r="G373" s="36"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5" t="n">
        <v>8.06</v>
      </c>
      <c r="G374" s="35"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6" t="n">
        <v>2.73</v>
      </c>
      <c r="G375" s="36"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5" t="n">
        <v>8.06</v>
      </c>
      <c r="G376" s="35"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6" t="n">
        <v>33.15</v>
      </c>
      <c r="G377" s="36"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5" t="n">
        <v>8.06</v>
      </c>
      <c r="G378" s="35"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6" t="n">
        <v>2.73</v>
      </c>
      <c r="G379" s="36"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5" t="n">
        <v>8.06</v>
      </c>
      <c r="G380" s="35"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6" t="n">
        <v>33.15</v>
      </c>
      <c r="G381" s="36"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5" t="n">
        <v>8.06</v>
      </c>
      <c r="G382" s="35"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6" t="n">
        <v>2.73</v>
      </c>
      <c r="G383" s="36"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5" t="n">
        <v>8.06</v>
      </c>
      <c r="G384" s="35"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6" t="n">
        <v>33.15</v>
      </c>
      <c r="G385" s="36"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5" t="n">
        <v>8.06</v>
      </c>
      <c r="G386" s="35"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6" t="n">
        <v>2.73</v>
      </c>
      <c r="G387" s="36"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5" t="n">
        <v>8.06</v>
      </c>
      <c r="G388" s="35"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6" t="n">
        <v>2.73</v>
      </c>
      <c r="G389" s="36"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5" t="n">
        <v>8.06</v>
      </c>
      <c r="G390" s="35"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6" t="n">
        <v>2.73</v>
      </c>
      <c r="G391" s="36"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5" t="n">
        <v>8.06</v>
      </c>
      <c r="G392" s="35"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6" t="n">
        <v>2.73</v>
      </c>
      <c r="G393" s="36"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5" t="n">
        <v>8.06</v>
      </c>
      <c r="G394" s="35"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6" t="n">
        <v>8.970000000000001</v>
      </c>
      <c r="G395" s="36"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5" t="n">
        <v>6.24</v>
      </c>
      <c r="G396" s="35"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6" t="n">
        <v>134.55</v>
      </c>
      <c r="G397" s="36"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5" t="n">
        <v>8.06</v>
      </c>
      <c r="G398" s="35"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6" t="n">
        <v>2.73</v>
      </c>
      <c r="G399" s="36"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5" t="n">
        <v>8.06</v>
      </c>
      <c r="G400" s="35"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6" t="n">
        <v>8.06</v>
      </c>
      <c r="G401" s="36"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5" t="n">
        <v>2.73</v>
      </c>
      <c r="G402" s="35"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6" t="n">
        <v>8.06</v>
      </c>
      <c r="G403" s="36"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5" t="n">
        <v>11.7</v>
      </c>
      <c r="G404" s="35"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6" t="n">
        <v>33.15</v>
      </c>
      <c r="G405" s="36"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5" t="n">
        <v>8.970000000000001</v>
      </c>
      <c r="G406" s="35"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6" t="n">
        <v>9.1</v>
      </c>
      <c r="G407" s="36"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5" t="n">
        <v>5.33</v>
      </c>
      <c r="G408" s="35"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6" t="n">
        <v>67.34</v>
      </c>
      <c r="G409" s="36"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5" t="n">
        <v>6.24</v>
      </c>
      <c r="G410" s="35"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6" t="n">
        <v>26.91</v>
      </c>
      <c r="G411" s="36"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5" t="n">
        <v>16.12</v>
      </c>
      <c r="G412" s="35"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6" t="n">
        <v>104</v>
      </c>
      <c r="G413" s="36"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5" t="n">
        <v>67.34</v>
      </c>
      <c r="G414" s="35"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6" t="n">
        <v>6.24</v>
      </c>
      <c r="G415" s="36"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5" t="n">
        <v>26.91</v>
      </c>
      <c r="G416" s="35"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6" t="n">
        <v>16.12</v>
      </c>
      <c r="G417" s="36"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5" t="n">
        <v>104</v>
      </c>
      <c r="G418" s="35"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6" t="n">
        <v>53.82</v>
      </c>
      <c r="G419" s="36"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5" t="n">
        <v>6.24</v>
      </c>
      <c r="G420" s="35"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6" t="n">
        <v>26.91</v>
      </c>
      <c r="G421" s="36"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5" t="n">
        <v>13.52</v>
      </c>
      <c r="G422" s="35"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6" t="n">
        <v>53.82</v>
      </c>
      <c r="G423" s="36"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5" t="n">
        <v>6.24</v>
      </c>
      <c r="G424" s="35"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6" t="n">
        <v>26.91</v>
      </c>
      <c r="G425" s="36"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5" t="n">
        <v>13.52</v>
      </c>
      <c r="G426" s="35"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6" t="n">
        <v>13.52</v>
      </c>
      <c r="G427" s="36"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5" t="n">
        <v>15.29</v>
      </c>
      <c r="G428" s="35"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6" t="n">
        <v>45.14</v>
      </c>
      <c r="G429" s="36"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5" t="n">
        <v>5.33</v>
      </c>
      <c r="G430" s="35"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6" t="n">
        <v>5.33</v>
      </c>
      <c r="G431" s="36"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5" t="n">
        <v>80.73</v>
      </c>
      <c r="G432" s="35"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6" t="n">
        <v>80.73</v>
      </c>
      <c r="G433" s="36"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5" t="n">
        <v>25.74</v>
      </c>
      <c r="G434" s="35"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6" t="n">
        <v>260</v>
      </c>
      <c r="G435" s="36"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5" t="n">
        <v>171.6</v>
      </c>
      <c r="G436" s="35"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6" t="n">
        <v>25.74</v>
      </c>
      <c r="G437" s="36"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5" t="n">
        <v>260</v>
      </c>
      <c r="G438" s="35"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6" t="n">
        <v>171.6</v>
      </c>
      <c r="G439" s="36"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5" t="n">
        <v>13.39</v>
      </c>
      <c r="G440" s="35"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6" t="n">
        <v>26.91</v>
      </c>
      <c r="G441" s="36"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5" t="n">
        <v>39</v>
      </c>
      <c r="G442" s="35"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6" t="n">
        <v>16.25</v>
      </c>
      <c r="G443" s="36"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5" t="n">
        <v>78</v>
      </c>
      <c r="G444" s="35"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6" t="n">
        <v>32.5</v>
      </c>
      <c r="G445" s="36"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5" t="n">
        <v>39</v>
      </c>
      <c r="G446" s="35"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6" t="n">
        <v>16.25</v>
      </c>
      <c r="G447" s="36"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5" t="n">
        <v>78</v>
      </c>
      <c r="G448" s="35"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6" t="n">
        <v>65</v>
      </c>
      <c r="G449" s="36"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5" t="n">
        <v>78</v>
      </c>
      <c r="G450" s="35"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6" t="n">
        <v>117</v>
      </c>
      <c r="G451" s="36"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5" t="n">
        <v>39</v>
      </c>
      <c r="G452" s="35"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6" t="n">
        <v>15.3</v>
      </c>
      <c r="G453" s="36"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5" t="n">
        <v>65</v>
      </c>
      <c r="G454" s="35"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6" t="n">
        <v>65</v>
      </c>
      <c r="G455" s="36"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5" t="n">
        <v>65</v>
      </c>
      <c r="G456" s="35"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6" t="n">
        <v>32.5</v>
      </c>
      <c r="G457" s="36"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5" t="n">
        <v>32.5</v>
      </c>
      <c r="G458" s="35"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6" t="n">
        <v>32.5</v>
      </c>
      <c r="G459" s="36"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5" t="n">
        <v>25.38</v>
      </c>
      <c r="G460" s="35"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6" t="n">
        <v>16.9</v>
      </c>
      <c r="G461" s="36"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5" t="n">
        <v>25.38</v>
      </c>
      <c r="G462" s="35"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6" t="n">
        <v>16.9</v>
      </c>
      <c r="G463" s="36"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5" t="n">
        <v>21.58</v>
      </c>
      <c r="G464" s="35"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6" t="n">
        <v>43.16</v>
      </c>
      <c r="G465" s="36"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5" t="n">
        <v>21.58</v>
      </c>
      <c r="G466" s="35"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6" t="n">
        <v>21.58</v>
      </c>
      <c r="G467" s="36"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5" t="n">
        <v>43.16</v>
      </c>
      <c r="G468" s="35"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6" t="n">
        <v>21.58</v>
      </c>
      <c r="G469" s="36"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5" t="n">
        <v>25.35</v>
      </c>
      <c r="G470" s="35"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6" t="n">
        <v>13.39</v>
      </c>
      <c r="G471" s="36"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5" t="n">
        <v>26.91</v>
      </c>
      <c r="G472" s="35"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6" t="n">
        <v>19.76</v>
      </c>
      <c r="G473" s="36"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5" t="n">
        <v>26.91</v>
      </c>
      <c r="G474" s="35"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6" t="n">
        <v>19.76</v>
      </c>
      <c r="G475" s="36"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5" t="n">
        <v>26.91</v>
      </c>
      <c r="G476" s="35"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6" t="n">
        <v>19.76</v>
      </c>
      <c r="G477" s="36"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5" t="n">
        <v>26.91</v>
      </c>
      <c r="G478" s="35"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6" t="n">
        <v>19.76</v>
      </c>
      <c r="G479" s="36"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5" t="n">
        <v>26.91</v>
      </c>
      <c r="G480" s="35"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6" t="n">
        <v>19.76</v>
      </c>
      <c r="G481" s="36"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5" t="n">
        <v>26.91</v>
      </c>
      <c r="G482" s="35"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6" t="n">
        <v>19.76</v>
      </c>
      <c r="G483" s="36"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5" t="n">
        <v>26.91</v>
      </c>
      <c r="G484" s="35"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6" t="n">
        <v>19.76</v>
      </c>
      <c r="G485" s="36"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5" t="n">
        <v>26.91</v>
      </c>
      <c r="G486" s="35"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6" t="n">
        <v>19.76</v>
      </c>
      <c r="G487" s="36"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5" t="n">
        <v>26.91</v>
      </c>
      <c r="G488" s="35"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6" t="n">
        <v>19.76</v>
      </c>
      <c r="G489" s="36"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5" t="n">
        <v>26.91</v>
      </c>
      <c r="G490" s="35"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6" t="n">
        <v>19.76</v>
      </c>
      <c r="G491" s="36"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5" t="n">
        <v>26.91</v>
      </c>
      <c r="G492" s="35"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6" t="n">
        <v>19.76</v>
      </c>
      <c r="G493" s="36"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5" t="n">
        <v>26.91</v>
      </c>
      <c r="G494" s="35"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6" t="n">
        <v>19.76</v>
      </c>
      <c r="G495" s="36"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5" t="n">
        <v>26.91</v>
      </c>
      <c r="G496" s="35"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6" t="n">
        <v>19.76</v>
      </c>
      <c r="G497" s="36"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5" t="n">
        <v>26.91</v>
      </c>
      <c r="G498" s="35"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6" t="n">
        <v>19.76</v>
      </c>
      <c r="G499" s="36"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5" t="n">
        <v>26.91</v>
      </c>
      <c r="G500" s="35"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6" t="n">
        <v>19.76</v>
      </c>
      <c r="G501" s="36"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5" t="n">
        <v>26.91</v>
      </c>
      <c r="G502" s="35"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6" t="n">
        <v>19.76</v>
      </c>
      <c r="G503" s="36"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5" t="n">
        <v>26.91</v>
      </c>
      <c r="G504" s="35"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6" t="n">
        <v>19.76</v>
      </c>
      <c r="G505" s="36"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5" t="n">
        <v>26.91</v>
      </c>
      <c r="G506" s="35"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6" t="n">
        <v>19.76</v>
      </c>
      <c r="G507" s="36"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5" t="n">
        <v>26.91</v>
      </c>
      <c r="G508" s="35"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6" t="n">
        <v>19.76</v>
      </c>
      <c r="G509" s="36"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5" t="n">
        <v>26.91</v>
      </c>
      <c r="G510" s="35"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6" t="n">
        <v>19.76</v>
      </c>
      <c r="G511" s="36"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5" t="n">
        <v>26.91</v>
      </c>
      <c r="G512" s="35"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6" t="n">
        <v>19.76</v>
      </c>
      <c r="G513" s="36"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5" t="n">
        <v>26.91</v>
      </c>
      <c r="G514" s="35"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6" t="n">
        <v>19.76</v>
      </c>
      <c r="G515" s="36"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5" t="n">
        <v>65</v>
      </c>
      <c r="G516" s="35"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6" t="n">
        <v>3.9</v>
      </c>
      <c r="G517" s="36"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5" t="n">
        <v>1.95</v>
      </c>
      <c r="G518" s="35"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6" t="n">
        <v>40.43</v>
      </c>
      <c r="G519" s="36"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5" t="n">
        <v>26.91</v>
      </c>
      <c r="G520" s="35"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6" t="n">
        <v>40.43</v>
      </c>
      <c r="G521" s="36"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5" t="n">
        <v>111.54</v>
      </c>
      <c r="G522" s="35"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6" t="n">
        <v>215.28</v>
      </c>
      <c r="G523" s="36"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5" t="n">
        <v>28.6</v>
      </c>
      <c r="G524" s="35"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6" t="n">
        <v>19.76</v>
      </c>
      <c r="G525" s="36"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5" t="n">
        <v>51.1</v>
      </c>
      <c r="G526" s="35"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6" t="n">
        <v>68.25</v>
      </c>
      <c r="G527" s="36"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5" t="n">
        <v>19.76</v>
      </c>
      <c r="G528" s="35"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6" t="n">
        <v>51.1</v>
      </c>
      <c r="G529" s="36"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5" t="n">
        <v>68.25</v>
      </c>
      <c r="G530" s="35"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6" t="n">
        <v>80.73</v>
      </c>
      <c r="G531" s="36"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5" t="n">
        <v>80.73</v>
      </c>
      <c r="G532" s="35"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6" t="n">
        <v>20.8</v>
      </c>
      <c r="G533" s="36"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5" t="n">
        <v>20.8</v>
      </c>
      <c r="G534" s="35"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6" t="n">
        <v>20.8</v>
      </c>
      <c r="G535" s="36"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5" t="n">
        <v>26</v>
      </c>
      <c r="G536" s="35"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6" t="n">
        <v>26</v>
      </c>
      <c r="G537" s="36"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5" t="n">
        <v>26</v>
      </c>
      <c r="G538" s="35"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6" t="n">
        <v>53.82</v>
      </c>
      <c r="G539" s="36"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5" t="n">
        <v>53.82</v>
      </c>
      <c r="G540" s="35"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6" t="n">
        <v>53.82</v>
      </c>
      <c r="G541" s="36"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5" t="n">
        <v>53.82</v>
      </c>
      <c r="G542" s="35"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6" t="n">
        <v>26.91</v>
      </c>
      <c r="G543" s="36"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5" t="n">
        <v>26.91</v>
      </c>
      <c r="G544" s="35"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6" t="n">
        <v>26.91</v>
      </c>
      <c r="G545" s="36"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5" t="n">
        <v>6.76</v>
      </c>
      <c r="G546" s="35"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6" t="n">
        <v>71.5</v>
      </c>
      <c r="G547" s="36"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5" t="n">
        <v>53.82</v>
      </c>
      <c r="G548" s="35"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6" t="n">
        <v>53.82</v>
      </c>
      <c r="G549" s="36"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5" t="n">
        <v>130</v>
      </c>
      <c r="G550" s="35"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6" t="n">
        <v>53.82</v>
      </c>
      <c r="G551" s="36"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5" t="n">
        <v>130</v>
      </c>
      <c r="G552" s="35"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6" t="n">
        <v>53.82</v>
      </c>
      <c r="G553" s="36"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5" t="n">
        <v>40.43</v>
      </c>
      <c r="G554" s="35"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6" t="n">
        <v>26.91</v>
      </c>
      <c r="G555" s="36"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5" t="n">
        <v>451</v>
      </c>
      <c r="G556" s="35"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6" t="n">
        <v>1895.3</v>
      </c>
      <c r="G557" s="36"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5" t="n">
        <v>1895.3</v>
      </c>
      <c r="G558" s="35"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6" t="n">
        <v>602.25</v>
      </c>
      <c r="G559" s="36"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5" t="n">
        <v>473.83</v>
      </c>
      <c r="G560" s="35"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6" t="n">
        <v>328.15</v>
      </c>
      <c r="G561" s="36"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5" t="n">
        <v>8.970000000000001</v>
      </c>
      <c r="G562" s="35"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6" t="n">
        <v>53.82</v>
      </c>
      <c r="G563" s="36"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5" t="n">
        <v>18.2</v>
      </c>
      <c r="G564" s="35"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6" t="n">
        <v>53.82</v>
      </c>
      <c r="G565" s="36"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5" t="n">
        <v>0.9</v>
      </c>
      <c r="G566" s="35"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6" t="n">
        <v>35.88</v>
      </c>
      <c r="G567" s="36"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5" t="n">
        <v>35.88</v>
      </c>
      <c r="G568" s="35"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6" t="n">
        <v>9.1</v>
      </c>
      <c r="G569" s="36"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5" t="n">
        <v>35.88</v>
      </c>
      <c r="G570" s="35"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6" t="n">
        <v>9.1</v>
      </c>
      <c r="G571" s="36"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5" t="n">
        <v>35.88</v>
      </c>
      <c r="G572" s="35"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6" t="n">
        <v>35.88</v>
      </c>
      <c r="G573" s="36"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5" t="n">
        <v>35.88</v>
      </c>
      <c r="G574" s="35"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6" t="n">
        <v>35.88</v>
      </c>
      <c r="G575" s="36"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5" t="n">
        <v>35.88</v>
      </c>
      <c r="G576" s="35"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6" t="n">
        <v>35.88</v>
      </c>
      <c r="G577" s="36"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5" t="n">
        <v>4.42</v>
      </c>
      <c r="G578" s="35"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6" t="n">
        <v>8.970000000000001</v>
      </c>
      <c r="G579" s="36"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5" t="n">
        <v>0</v>
      </c>
      <c r="G580" s="35"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6" t="n">
        <v>4.42</v>
      </c>
      <c r="G581" s="36"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5" t="n">
        <v>4.42</v>
      </c>
      <c r="G582" s="35"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6" t="n">
        <v>4.42</v>
      </c>
      <c r="G583" s="36"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5" t="n">
        <v>4.42</v>
      </c>
      <c r="G584" s="35"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6" t="n">
        <v>4.42</v>
      </c>
      <c r="G585" s="36"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5" t="n">
        <v>4.42</v>
      </c>
      <c r="G586" s="35"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6" t="n">
        <v>4.42</v>
      </c>
      <c r="G587" s="36"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5" t="n">
        <v>4.42</v>
      </c>
      <c r="G588" s="35"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6" t="n">
        <v>4.42</v>
      </c>
      <c r="G589" s="36"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5" t="n">
        <v>25.47</v>
      </c>
      <c r="G590" s="35"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6" t="n">
        <v>25.47</v>
      </c>
      <c r="G591" s="36"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5" t="n">
        <v>4.42</v>
      </c>
      <c r="G592" s="35"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6" t="n">
        <v>40.43</v>
      </c>
      <c r="G593" s="36"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5" t="n">
        <v>40.43</v>
      </c>
      <c r="G594" s="35"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6" t="n">
        <v>9.1</v>
      </c>
      <c r="G595" s="36"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5" t="n">
        <v>40.43</v>
      </c>
      <c r="G596" s="35"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6" t="n">
        <v>9.1</v>
      </c>
      <c r="G597" s="36"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5" t="n">
        <v>40.43</v>
      </c>
      <c r="G598" s="35"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6" t="n">
        <v>40.43</v>
      </c>
      <c r="G599" s="36"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5" t="n">
        <v>40.43</v>
      </c>
      <c r="G600" s="35"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6" t="n">
        <v>35.88</v>
      </c>
      <c r="G601" s="36"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5" t="n">
        <v>40.43</v>
      </c>
      <c r="G602" s="35"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6" t="n">
        <v>40.43</v>
      </c>
      <c r="G603" s="36"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5" t="n">
        <v>40.43</v>
      </c>
      <c r="G604" s="35"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6" t="n">
        <v>40.43</v>
      </c>
      <c r="G605" s="36"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5" t="n">
        <v>26.91</v>
      </c>
      <c r="G606" s="35"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6" t="n">
        <v>26.91</v>
      </c>
      <c r="G607" s="36"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5" t="n">
        <v>7.8</v>
      </c>
      <c r="G608" s="35"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6" t="n">
        <v>7.8</v>
      </c>
      <c r="G609" s="36"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5" t="n">
        <v>33.8</v>
      </c>
      <c r="G610" s="35"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6" t="n">
        <v>8.970000000000001</v>
      </c>
      <c r="G611" s="36"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5" t="n">
        <v>33.8</v>
      </c>
      <c r="G612" s="35"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6" t="n">
        <v>33.8</v>
      </c>
      <c r="G613" s="36"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5" t="n">
        <v>33.8</v>
      </c>
      <c r="G614" s="35"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6" t="n">
        <v>8.970000000000001</v>
      </c>
      <c r="G615" s="36"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5" t="n">
        <v>33.8</v>
      </c>
      <c r="G616" s="35"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6" t="n">
        <v>33.8</v>
      </c>
      <c r="G617" s="36"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5" t="n">
        <v>33.8</v>
      </c>
      <c r="G618" s="35"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6" t="n">
        <v>9.1</v>
      </c>
      <c r="G619" s="36"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5" t="n">
        <v>33.8</v>
      </c>
      <c r="G620" s="35"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6" t="n">
        <v>33.8</v>
      </c>
      <c r="G621" s="36"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5" t="n">
        <v>33.8</v>
      </c>
      <c r="G622" s="35"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6" t="n">
        <v>8.970000000000001</v>
      </c>
      <c r="G623" s="36"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5" t="n">
        <v>33.8</v>
      </c>
      <c r="G624" s="35"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6" t="n">
        <v>33.8</v>
      </c>
      <c r="G625" s="36"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5" t="n">
        <v>35.88</v>
      </c>
      <c r="G626" s="35"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6" t="n">
        <v>35.88</v>
      </c>
      <c r="G627" s="36"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5" t="n">
        <v>33.8</v>
      </c>
      <c r="G628" s="35"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6" t="n">
        <v>8.06</v>
      </c>
      <c r="G629" s="36"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5" t="n">
        <v>2.73</v>
      </c>
      <c r="G630" s="35"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6" t="n">
        <v>8.06</v>
      </c>
      <c r="G631" s="36"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5" t="n">
        <v>2.73</v>
      </c>
      <c r="G632" s="35"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6" t="n">
        <v>4.03</v>
      </c>
      <c r="G633" s="36"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5" t="n">
        <v>2.73</v>
      </c>
      <c r="G634" s="35"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6" t="n">
        <v>1.56</v>
      </c>
      <c r="G635" s="36"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5" t="n">
        <v>4.03</v>
      </c>
      <c r="G636" s="35"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6" t="n">
        <v>2.73</v>
      </c>
      <c r="G637" s="36"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5" t="n">
        <v>1.56</v>
      </c>
      <c r="G638" s="35"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6" t="n">
        <v>4.03</v>
      </c>
      <c r="G639" s="36"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5" t="n">
        <v>2.73</v>
      </c>
      <c r="G640" s="35"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6" t="n">
        <v>1.56</v>
      </c>
      <c r="G641" s="36"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5" t="n">
        <v>4.03</v>
      </c>
      <c r="G642" s="35"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6" t="n">
        <v>1.56</v>
      </c>
      <c r="G643" s="36"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5" t="n">
        <v>5.2</v>
      </c>
      <c r="G644" s="35"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6" t="n">
        <v>1.56</v>
      </c>
      <c r="G645" s="36"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5" t="n">
        <v>4.03</v>
      </c>
      <c r="G646" s="35"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6" t="n">
        <v>1.56</v>
      </c>
      <c r="G647" s="36"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5" t="n">
        <v>5.2</v>
      </c>
      <c r="G648" s="35"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6" t="n">
        <v>1.56</v>
      </c>
      <c r="G649" s="36"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5" t="n">
        <v>26.91</v>
      </c>
      <c r="G650" s="35"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6" t="n">
        <v>19.76</v>
      </c>
      <c r="G651" s="36"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5" t="n">
        <v>26.91</v>
      </c>
      <c r="G652" s="35"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6" t="n">
        <v>19.76</v>
      </c>
      <c r="G653" s="36"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5" t="n">
        <v>26</v>
      </c>
      <c r="G654" s="35"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6" t="n">
        <v>26.91</v>
      </c>
      <c r="G655" s="36"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5" t="n">
        <v>19.76</v>
      </c>
      <c r="G656" s="35"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6" t="n">
        <v>19.76</v>
      </c>
      <c r="G657" s="36"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5" t="n">
        <v>19.76</v>
      </c>
      <c r="G658" s="35"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6" t="n">
        <v>5.46</v>
      </c>
      <c r="G659" s="36"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5" t="n">
        <v>26.91</v>
      </c>
      <c r="G660" s="35"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6" t="n">
        <v>26.91</v>
      </c>
      <c r="G661" s="36"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5" t="n">
        <v>6.37</v>
      </c>
      <c r="G662" s="35"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6" t="n">
        <v>6.37</v>
      </c>
      <c r="G663" s="36"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5" t="n">
        <v>6.37</v>
      </c>
      <c r="G664" s="35"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6" t="n">
        <v>3.64</v>
      </c>
      <c r="G665" s="36"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5" t="n">
        <v>3.64</v>
      </c>
      <c r="G666" s="35"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6" t="n">
        <v>3.64</v>
      </c>
      <c r="G667" s="36"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5" t="n">
        <v>3.64</v>
      </c>
      <c r="G668" s="35"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6" t="n">
        <v>3.64</v>
      </c>
      <c r="G669" s="36"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5" t="n">
        <v>3.64</v>
      </c>
      <c r="G670" s="35"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6" t="n">
        <v>3.64</v>
      </c>
      <c r="G671" s="36"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5" t="n">
        <v>3.64</v>
      </c>
      <c r="G672" s="35"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6" t="n">
        <v>3.64</v>
      </c>
      <c r="G673" s="36"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5" t="n">
        <v>3.64</v>
      </c>
      <c r="G674" s="35"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6" t="n">
        <v>3.64</v>
      </c>
      <c r="G675" s="36"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5" t="n">
        <v>3.64</v>
      </c>
      <c r="G676" s="35"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6" t="n">
        <v>3.64</v>
      </c>
      <c r="G677" s="36"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5" t="n">
        <v>4.55</v>
      </c>
      <c r="G678" s="35"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6" t="n">
        <v>2.73</v>
      </c>
      <c r="G679" s="36"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5" t="n">
        <v>1.43</v>
      </c>
      <c r="G680" s="35"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6" t="n">
        <v>52</v>
      </c>
      <c r="G681" s="36"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5" t="n">
        <v>130</v>
      </c>
      <c r="G682" s="35"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6" t="n">
        <v>52</v>
      </c>
      <c r="G683" s="36"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5" t="n">
        <v>130</v>
      </c>
      <c r="G684" s="35"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6" t="n">
        <v>52</v>
      </c>
      <c r="G685" s="36"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5" t="n">
        <v>130</v>
      </c>
      <c r="G686" s="35"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6" t="n">
        <v>52</v>
      </c>
      <c r="G687" s="36"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5" t="n">
        <v>130</v>
      </c>
      <c r="G688" s="35"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6" t="n">
        <v>52</v>
      </c>
      <c r="G689" s="36"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5" t="n">
        <v>130</v>
      </c>
      <c r="G690" s="35"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6" t="n">
        <v>20.25</v>
      </c>
      <c r="G691" s="36"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5" t="n">
        <v>10.05</v>
      </c>
      <c r="G692" s="35"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6" t="n">
        <v>2.6</v>
      </c>
      <c r="G693" s="36"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5" t="n">
        <v>2.6</v>
      </c>
      <c r="G694" s="35"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6" t="n">
        <v>2.6</v>
      </c>
      <c r="G695" s="36"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5" t="n">
        <v>100.1</v>
      </c>
      <c r="G696" s="35"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6" t="n">
        <v>1.04</v>
      </c>
      <c r="G697" s="36"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5" t="n">
        <v>4.68</v>
      </c>
      <c r="G698" s="35"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6" t="n">
        <v>4.68</v>
      </c>
      <c r="G699" s="36"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5" t="n">
        <v>20.36</v>
      </c>
      <c r="G700" s="35"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6" t="n">
        <v>20.36</v>
      </c>
      <c r="G701" s="36"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5" t="n">
        <v>20.36</v>
      </c>
      <c r="G702" s="35"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6" t="n">
        <v>7.8</v>
      </c>
      <c r="G703" s="36"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5" t="n">
        <v>20.36</v>
      </c>
      <c r="G704" s="35"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6" t="n">
        <v>20.36</v>
      </c>
      <c r="G705" s="36"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5" t="n">
        <v>7.8</v>
      </c>
      <c r="G706" s="35"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6" t="n">
        <v>20.36</v>
      </c>
      <c r="G707" s="36"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5" t="n">
        <v>20.36</v>
      </c>
      <c r="G708" s="35"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6" t="n">
        <v>7.8</v>
      </c>
      <c r="G709" s="36"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5" t="n">
        <v>20.36</v>
      </c>
      <c r="G710" s="35"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6" t="n">
        <v>20.36</v>
      </c>
      <c r="G711" s="36"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5" t="n">
        <v>21.84</v>
      </c>
      <c r="G712" s="35"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6" t="n">
        <v>4.42</v>
      </c>
      <c r="G713" s="36"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5" t="n">
        <v>4.42</v>
      </c>
      <c r="G714" s="35"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6" t="n">
        <v>195</v>
      </c>
      <c r="G715" s="36"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5" t="n">
        <v>52</v>
      </c>
      <c r="G716" s="35"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6" t="n">
        <v>195</v>
      </c>
      <c r="G717" s="36"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5" t="n">
        <v>52</v>
      </c>
      <c r="G718" s="35"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6" t="n">
        <v>143</v>
      </c>
      <c r="G719" s="36"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5" t="n">
        <v>39</v>
      </c>
      <c r="G720" s="35"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6" t="n">
        <v>65</v>
      </c>
      <c r="G721" s="36"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5" t="n">
        <v>13</v>
      </c>
      <c r="G722" s="35"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6" t="n">
        <v>20.8</v>
      </c>
      <c r="G723" s="36"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5" t="n">
        <v>52</v>
      </c>
      <c r="G724" s="35"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6" t="n">
        <v>20.8</v>
      </c>
      <c r="G725" s="36"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5" t="n">
        <v>52</v>
      </c>
      <c r="G726" s="35"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6" t="n">
        <v>20.8</v>
      </c>
      <c r="G727" s="36"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5" t="n">
        <v>52</v>
      </c>
      <c r="G728" s="35"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6" t="n">
        <v>26</v>
      </c>
      <c r="G729" s="36"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5" t="n">
        <v>20.8</v>
      </c>
      <c r="G730" s="35"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6" t="n">
        <v>52</v>
      </c>
      <c r="G731" s="36"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5" t="n">
        <v>33.8</v>
      </c>
      <c r="G732" s="35"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6" t="n">
        <v>8.970000000000001</v>
      </c>
      <c r="G733" s="36"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5" t="n">
        <v>33.8</v>
      </c>
      <c r="G734" s="35"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6" t="n">
        <v>33.8</v>
      </c>
      <c r="G735" s="36"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5" t="n">
        <v>33.8</v>
      </c>
      <c r="G736" s="35"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6" t="n">
        <v>8.970000000000001</v>
      </c>
      <c r="G737" s="36"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5" t="n">
        <v>33.8</v>
      </c>
      <c r="G738" s="35"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6" t="n">
        <v>33.8</v>
      </c>
      <c r="G739" s="36"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5" t="n">
        <v>33.8</v>
      </c>
      <c r="G740" s="35"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6" t="n">
        <v>8.970000000000001</v>
      </c>
      <c r="G741" s="36"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5" t="n">
        <v>33.8</v>
      </c>
      <c r="G742" s="35"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6" t="n">
        <v>33.8</v>
      </c>
      <c r="G743" s="36"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5" t="n">
        <v>33.8</v>
      </c>
      <c r="G744" s="35"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6" t="n">
        <v>9.1</v>
      </c>
      <c r="G745" s="36"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5" t="n">
        <v>33.8</v>
      </c>
      <c r="G746" s="35"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6" t="n">
        <v>33.8</v>
      </c>
      <c r="G747" s="36"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5" t="n">
        <v>19.76</v>
      </c>
      <c r="G748" s="35"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6" t="n">
        <v>19.76</v>
      </c>
      <c r="G749" s="36"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5" t="n">
        <v>130</v>
      </c>
      <c r="G750" s="35"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6" t="n">
        <v>4.23</v>
      </c>
      <c r="G751" s="36"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5" t="n">
        <v>180</v>
      </c>
      <c r="G752" s="35"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6" t="n">
        <v>10</v>
      </c>
      <c r="G753" s="36"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5" t="n">
        <v>180</v>
      </c>
      <c r="G754" s="35"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6" t="n">
        <v>10</v>
      </c>
      <c r="G755" s="36"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5" t="n">
        <v>3.64</v>
      </c>
      <c r="G756" s="35"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6" t="n">
        <v>40.1</v>
      </c>
      <c r="G757" s="36"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5" t="n">
        <v>33.56</v>
      </c>
      <c r="G758" s="35"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6" t="n">
        <v>11.65</v>
      </c>
      <c r="G759" s="36"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5" t="n">
        <v>30.35</v>
      </c>
      <c r="G760" s="35"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6" t="n">
        <v>30.35</v>
      </c>
      <c r="G761" s="36"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5" t="n">
        <v>4.68</v>
      </c>
      <c r="G762" s="35"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6" t="n">
        <v>20.36</v>
      </c>
      <c r="G763" s="36"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5" t="n">
        <v>4.68</v>
      </c>
      <c r="G764" s="35"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6" t="n">
        <v>20.36</v>
      </c>
      <c r="G765" s="36"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5" t="n">
        <v>170</v>
      </c>
      <c r="G766" s="35"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6" t="n">
        <v>170</v>
      </c>
      <c r="G767" s="36"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5" t="n">
        <v>170</v>
      </c>
      <c r="G768" s="35"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6" t="n">
        <v>170</v>
      </c>
      <c r="G769" s="36"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5" t="n">
        <v>170</v>
      </c>
      <c r="G770" s="35"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6" t="n">
        <v>170</v>
      </c>
      <c r="G771" s="36"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5" t="n">
        <v>170</v>
      </c>
      <c r="G772" s="35"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6" t="n">
        <v>170</v>
      </c>
      <c r="G773" s="36"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5" t="n">
        <v>170</v>
      </c>
      <c r="G774" s="35"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6" t="n">
        <v>170</v>
      </c>
      <c r="G775" s="36"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5" t="n">
        <v>170</v>
      </c>
      <c r="G776" s="35"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6" t="n">
        <v>170</v>
      </c>
      <c r="G777" s="36"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5" t="n">
        <v>170</v>
      </c>
      <c r="G778" s="35"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6" t="n">
        <v>170</v>
      </c>
      <c r="G779" s="36"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5" t="n">
        <v>170</v>
      </c>
      <c r="G780" s="35"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6" t="n">
        <v>170</v>
      </c>
      <c r="G781" s="36"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5" t="n">
        <v>170</v>
      </c>
      <c r="G782" s="35"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6" t="n">
        <v>170</v>
      </c>
      <c r="G783" s="36"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5" t="n">
        <v>170</v>
      </c>
      <c r="G784" s="35"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6" t="n">
        <v>170</v>
      </c>
      <c r="G785" s="36"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5" t="n">
        <v>3</v>
      </c>
      <c r="G786" s="35"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6" t="n">
        <v>3</v>
      </c>
      <c r="G787" s="36"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5" t="n">
        <v>3</v>
      </c>
      <c r="G788" s="35"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6" t="n">
        <v>3</v>
      </c>
      <c r="G789" s="36"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5" t="n">
        <v>3</v>
      </c>
      <c r="G790" s="35"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6" t="n">
        <v>33.56</v>
      </c>
      <c r="G791" s="36"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5" t="n">
        <v>1.82</v>
      </c>
      <c r="G792" s="35"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6" t="n">
        <v>4.42</v>
      </c>
      <c r="G793" s="36"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5" t="n">
        <v>13.52</v>
      </c>
      <c r="G794" s="35"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6" t="n">
        <v>26.91</v>
      </c>
      <c r="G795" s="36"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5" t="n">
        <v>19.76</v>
      </c>
      <c r="G796" s="35"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6" t="n">
        <v>26.91</v>
      </c>
      <c r="G797" s="36"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5" t="n">
        <v>0.91</v>
      </c>
      <c r="G798" s="35"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6" t="n">
        <v>7.8</v>
      </c>
      <c r="G799" s="36"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5" t="n">
        <v>1.82</v>
      </c>
      <c r="G800" s="35"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6" t="n">
        <v>7.8</v>
      </c>
      <c r="G801" s="36"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5" t="n">
        <v>13.52</v>
      </c>
      <c r="G802" s="35"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6" t="n">
        <v>26.91</v>
      </c>
      <c r="G803" s="36"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5" t="n">
        <v>13.52</v>
      </c>
      <c r="G804" s="35"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6" t="n">
        <v>26.91</v>
      </c>
      <c r="G805" s="36"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5" t="n">
        <v>13.52</v>
      </c>
      <c r="G806" s="35"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6" t="n">
        <v>26.91</v>
      </c>
      <c r="G807" s="36"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5" t="n">
        <v>26.94</v>
      </c>
      <c r="G808" s="35"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6" t="n">
        <v>8.109999999999999</v>
      </c>
      <c r="G809" s="36"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5" t="n">
        <v>130</v>
      </c>
      <c r="G810" s="35"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6" t="n">
        <v>53.82</v>
      </c>
      <c r="G811" s="36"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5" t="n">
        <v>8.109999999999999</v>
      </c>
      <c r="G812" s="35"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6" t="n">
        <v>130</v>
      </c>
      <c r="G813" s="36"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5" t="n">
        <v>53.82</v>
      </c>
      <c r="G814" s="35"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6" t="n">
        <v>130</v>
      </c>
      <c r="G815" s="36"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5" t="n">
        <v>250</v>
      </c>
      <c r="G816" s="35"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6" t="n">
        <v>130</v>
      </c>
      <c r="G817" s="36"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5" t="n">
        <v>280</v>
      </c>
      <c r="G818" s="35"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6" t="n">
        <v>130</v>
      </c>
      <c r="G819" s="36"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5" t="n">
        <v>250</v>
      </c>
      <c r="G820" s="35"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6" t="n">
        <v>180</v>
      </c>
      <c r="G821" s="36"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5" t="n">
        <v>10</v>
      </c>
      <c r="G822" s="35"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6" t="n">
        <v>1.82</v>
      </c>
      <c r="G823" s="36"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5" t="n">
        <v>1.82</v>
      </c>
      <c r="G824" s="35"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6" t="n">
        <v>1.82</v>
      </c>
      <c r="G825" s="36"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5" t="n">
        <v>20.67</v>
      </c>
      <c r="G826" s="35"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6" t="n">
        <v>80.73</v>
      </c>
      <c r="G827" s="36"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5" t="n">
        <v>269.1</v>
      </c>
      <c r="G828" s="35"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6" t="n">
        <v>67.34</v>
      </c>
      <c r="G829" s="36"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5" t="n">
        <v>161.46</v>
      </c>
      <c r="G830" s="35"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6" t="n">
        <v>269.1</v>
      </c>
      <c r="G831" s="36"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5" t="n">
        <v>167.75</v>
      </c>
      <c r="G832" s="35"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6" t="n">
        <v>269.1</v>
      </c>
      <c r="G833" s="36"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5" t="n">
        <v>13.52</v>
      </c>
      <c r="G834" s="35"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6" t="n">
        <v>161.46</v>
      </c>
      <c r="G835" s="36"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5" t="n">
        <v>167.7</v>
      </c>
      <c r="G836" s="35"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6" t="n">
        <v>269.1</v>
      </c>
      <c r="G837" s="36"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5" t="n">
        <v>161.46</v>
      </c>
      <c r="G838" s="35"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6" t="n">
        <v>167.7</v>
      </c>
      <c r="G839" s="36"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5" t="n">
        <v>269.1</v>
      </c>
      <c r="G840" s="35"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6" t="n">
        <v>161.46</v>
      </c>
      <c r="G841" s="36"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5" t="n">
        <v>60.58</v>
      </c>
      <c r="G842" s="35"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6" t="n">
        <v>60.58</v>
      </c>
      <c r="G843" s="36"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5" t="n">
        <v>60.58</v>
      </c>
      <c r="G844" s="35"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6" t="n">
        <v>26.91</v>
      </c>
      <c r="G845" s="36"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5" t="n">
        <v>13.52</v>
      </c>
      <c r="G846" s="35"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6" t="n">
        <v>13.52</v>
      </c>
      <c r="G847" s="36"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5" t="n">
        <v>67.28</v>
      </c>
      <c r="G848" s="35"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6" t="n">
        <v>67.28</v>
      </c>
      <c r="G849" s="36"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5" t="n">
        <v>15.37</v>
      </c>
      <c r="G850" s="35"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6" t="n">
        <v>15.37</v>
      </c>
      <c r="G851" s="36"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5" t="n">
        <v>12.22</v>
      </c>
      <c r="G852" s="35"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6" t="n">
        <v>0.46</v>
      </c>
      <c r="G853" s="36"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5" t="n">
        <v>3.01</v>
      </c>
      <c r="G854" s="35"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6" t="n">
        <v>35.88</v>
      </c>
      <c r="G855" s="36"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5" t="n">
        <v>17.94</v>
      </c>
      <c r="G856" s="35"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6" t="n">
        <v>8.970000000000001</v>
      </c>
      <c r="G857" s="36"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5" t="n">
        <v>35.88</v>
      </c>
      <c r="G858" s="35"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6" t="n">
        <v>17.94</v>
      </c>
      <c r="G859" s="36"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5" t="n">
        <v>8.970000000000001</v>
      </c>
      <c r="G860" s="35"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6" t="n">
        <v>35.88</v>
      </c>
      <c r="G861" s="36"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5" t="n">
        <v>8.970000000000001</v>
      </c>
      <c r="G862" s="35"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6" t="n">
        <v>-20</v>
      </c>
      <c r="G863" s="36"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5" t="n">
        <v>35.88</v>
      </c>
      <c r="G864" s="35"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6" t="n">
        <v>8.970000000000001</v>
      </c>
      <c r="G865" s="36"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5" t="n">
        <v>35.88</v>
      </c>
      <c r="G866" s="35"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6" t="n">
        <v>8.970000000000001</v>
      </c>
      <c r="G867" s="36"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5" t="n">
        <v>-20</v>
      </c>
      <c r="G868" s="35"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6" t="n">
        <v>35.88</v>
      </c>
      <c r="G869" s="36"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5" t="n">
        <v>8.970000000000001</v>
      </c>
      <c r="G870" s="35"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6" t="n">
        <v>35.88</v>
      </c>
      <c r="G871" s="36"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5" t="n">
        <v>8.970000000000001</v>
      </c>
      <c r="G872" s="35"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6" t="n">
        <v>-20</v>
      </c>
      <c r="G873" s="36"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5" t="n">
        <v>35.88</v>
      </c>
      <c r="G874" s="35"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6" t="n">
        <v>8.970000000000001</v>
      </c>
      <c r="G875" s="36"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5" t="n">
        <v>35.88</v>
      </c>
      <c r="G876" s="35"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6" t="n">
        <v>17.94</v>
      </c>
      <c r="G877" s="36"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5" t="n">
        <v>3.64</v>
      </c>
      <c r="G878" s="35"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6" t="n">
        <v>35.88</v>
      </c>
      <c r="G879" s="36"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5" t="n">
        <v>17.94</v>
      </c>
      <c r="G880" s="35"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6" t="n">
        <v>3.64</v>
      </c>
      <c r="G881" s="36"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5" t="n">
        <v>80.73</v>
      </c>
      <c r="G882" s="35"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6" t="n">
        <v>80.73</v>
      </c>
      <c r="G883" s="36"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5" t="n">
        <v>80.73</v>
      </c>
      <c r="G884" s="35"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6" t="n">
        <v>1.82</v>
      </c>
      <c r="G885" s="36"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5" t="n">
        <v>1.82</v>
      </c>
      <c r="G886" s="35"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6" t="n">
        <v>4.55</v>
      </c>
      <c r="G887" s="36"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5" t="n">
        <v>10.79</v>
      </c>
      <c r="G888" s="35"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6" t="n">
        <v>0.26</v>
      </c>
      <c r="G889" s="36"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5" t="n">
        <v>110.89</v>
      </c>
      <c r="G890" s="35"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6" t="n">
        <v>4.55</v>
      </c>
      <c r="G891" s="36"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5" t="n">
        <v>12.48</v>
      </c>
      <c r="G892" s="35"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6" t="n">
        <v>12.48</v>
      </c>
      <c r="G893" s="36"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5" t="n">
        <v>12.48</v>
      </c>
      <c r="G894" s="35"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6" t="n">
        <v>10</v>
      </c>
      <c r="G895" s="36"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5" t="n">
        <v>10</v>
      </c>
      <c r="G896" s="35"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6" t="n">
        <v>10</v>
      </c>
      <c r="G897" s="36"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5" t="n">
        <v>10</v>
      </c>
      <c r="G898" s="35"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6" t="n">
        <v>10</v>
      </c>
      <c r="G899" s="36"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5" t="n">
        <v>30</v>
      </c>
      <c r="G900" s="35"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6" t="n">
        <v>20</v>
      </c>
      <c r="G901" s="36"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5" t="n">
        <v>7.5</v>
      </c>
      <c r="G902" s="35"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6" t="n">
        <v>19.76</v>
      </c>
      <c r="G903" s="36"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5" t="n">
        <v>19.76</v>
      </c>
      <c r="G904" s="35"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6" t="n">
        <v>125.58</v>
      </c>
      <c r="G905" s="36"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5" t="n">
        <v>125.58</v>
      </c>
      <c r="G906" s="35"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6" t="n">
        <v>17.94</v>
      </c>
      <c r="G907" s="36"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5" t="n">
        <v>5.33</v>
      </c>
      <c r="G908" s="35"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6" t="n">
        <v>8.970000000000001</v>
      </c>
      <c r="G909" s="36"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5" t="n">
        <v>40.43</v>
      </c>
      <c r="G910" s="35"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6" t="n">
        <v>53.82</v>
      </c>
      <c r="G911" s="36"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5" t="n">
        <v>53.82</v>
      </c>
      <c r="G912" s="35"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6" t="n">
        <v>19.76</v>
      </c>
      <c r="G913" s="36"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5" t="n">
        <v>19.76</v>
      </c>
      <c r="G914" s="35"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6" t="n">
        <v>13.52</v>
      </c>
      <c r="G915" s="36"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5" t="n">
        <v>161.46</v>
      </c>
      <c r="G916" s="35"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6" t="n">
        <v>161.46</v>
      </c>
      <c r="G917" s="36"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5" t="n">
        <v>-7.38</v>
      </c>
      <c r="G918" s="35"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6" t="n">
        <v>134.55</v>
      </c>
      <c r="G919" s="36"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5" t="n">
        <v>161.46</v>
      </c>
      <c r="G920" s="35"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6" t="n">
        <v>134.55</v>
      </c>
      <c r="G921" s="36"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5" t="n">
        <v>156.13</v>
      </c>
      <c r="G922" s="35"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6" t="n">
        <v>134.55</v>
      </c>
      <c r="G923" s="36"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5" t="n">
        <v>134.55</v>
      </c>
      <c r="G924" s="35"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6" t="n">
        <v>201.89</v>
      </c>
      <c r="G925" s="36"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5" t="n">
        <v>201.89</v>
      </c>
      <c r="G926" s="35"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6" t="n">
        <v>-3.64</v>
      </c>
      <c r="G927" s="36"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5" t="n">
        <v>13.52</v>
      </c>
      <c r="G928" s="35"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6" t="n">
        <v>134.55</v>
      </c>
      <c r="G929" s="36"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5" t="n">
        <v>161.98</v>
      </c>
      <c r="G930" s="35"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6" t="n">
        <v>161.98</v>
      </c>
      <c r="G931" s="36"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5" t="n">
        <v>161.98</v>
      </c>
      <c r="G932" s="35"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6" t="n">
        <v>161.98</v>
      </c>
      <c r="G933" s="36"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5" t="n">
        <v>161.46</v>
      </c>
      <c r="G934" s="35"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6" t="n">
        <v>161.46</v>
      </c>
      <c r="G935" s="36"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5" t="n">
        <v>161.46</v>
      </c>
      <c r="G936" s="35"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6" t="n">
        <v>161.46</v>
      </c>
      <c r="G937" s="36"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5" t="n">
        <v>161.98</v>
      </c>
      <c r="G938" s="35"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6" t="n">
        <v>0</v>
      </c>
      <c r="G939" s="36"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5" t="n">
        <v>161.98</v>
      </c>
      <c r="G940" s="35"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6" t="n">
        <v>0</v>
      </c>
      <c r="G941" s="36"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5" t="n">
        <v>161.98</v>
      </c>
      <c r="G942" s="35"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6" t="n">
        <v>0</v>
      </c>
      <c r="G943" s="36"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5" t="n">
        <v>162.59</v>
      </c>
      <c r="G944" s="35"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6" t="n">
        <v>40.43</v>
      </c>
      <c r="G945" s="36"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5" t="n">
        <v>26.91</v>
      </c>
      <c r="G946" s="35"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6" t="n">
        <v>40.43</v>
      </c>
      <c r="G947" s="36"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5" t="n">
        <v>26.91</v>
      </c>
      <c r="G948" s="35"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6" t="n">
        <v>25.35</v>
      </c>
      <c r="G949" s="36"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5" t="n">
        <v>2.08</v>
      </c>
      <c r="G950" s="35"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6" t="n">
        <v>16.9</v>
      </c>
      <c r="G951" s="36"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5" t="n">
        <v>134.55</v>
      </c>
      <c r="G952" s="35"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6" t="n">
        <v>134.55</v>
      </c>
      <c r="G953" s="36"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5" t="n">
        <v>134.55</v>
      </c>
      <c r="G954" s="35"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6" t="n">
        <v>134.55</v>
      </c>
      <c r="G955" s="36"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5" t="n">
        <v>134.55</v>
      </c>
      <c r="G956" s="35"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6" t="n">
        <v>134.55</v>
      </c>
      <c r="G957" s="36"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5" t="n">
        <v>53.82</v>
      </c>
      <c r="G958" s="35"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6" t="n">
        <v>26.91</v>
      </c>
      <c r="G959" s="36"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5" t="n">
        <v>208.13</v>
      </c>
      <c r="G960" s="35"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6" t="n">
        <v>174.98</v>
      </c>
      <c r="G961" s="36"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5" t="n">
        <v>10.79</v>
      </c>
      <c r="G962" s="35"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6" t="n">
        <v>10.79</v>
      </c>
      <c r="G963" s="36"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5" t="n">
        <v>26.91</v>
      </c>
      <c r="G964" s="35"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6" t="n">
        <v>26.91</v>
      </c>
      <c r="G965" s="36"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5" t="n">
        <v>26.91</v>
      </c>
      <c r="G966" s="35"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6" t="n">
        <v>26.91</v>
      </c>
      <c r="G967" s="36"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5" t="n">
        <v>33.28</v>
      </c>
      <c r="G968" s="35"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6" t="n">
        <v>26.91</v>
      </c>
      <c r="G969" s="36"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5" t="n">
        <v>80.73</v>
      </c>
      <c r="G970" s="35"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6" t="n">
        <v>9.1</v>
      </c>
      <c r="G971" s="36"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5" t="n">
        <v>20.2</v>
      </c>
      <c r="G972" s="35"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6" t="n">
        <v>26.91</v>
      </c>
      <c r="G973" s="36"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5" t="n">
        <v>6.24</v>
      </c>
      <c r="G974" s="35"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6" t="n">
        <v>3.64</v>
      </c>
      <c r="G975" s="36"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5" t="n">
        <v>26.91</v>
      </c>
      <c r="G976" s="35"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6" t="n">
        <v>20.2</v>
      </c>
      <c r="G977" s="36"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5" t="n">
        <v>26.91</v>
      </c>
      <c r="G978" s="35"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6" t="n">
        <v>13.47</v>
      </c>
      <c r="G979" s="36"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5" t="n">
        <v>26.91</v>
      </c>
      <c r="G980" s="35"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6" t="n">
        <v>13.47</v>
      </c>
      <c r="G981" s="36"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5" t="n">
        <v>26.91</v>
      </c>
      <c r="G982" s="35"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6" t="n">
        <v>3.64</v>
      </c>
      <c r="G983" s="36"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5" t="n">
        <v>26.91</v>
      </c>
      <c r="G984" s="35"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6" t="n">
        <v>3.64</v>
      </c>
      <c r="G985" s="36"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5" t="n">
        <v>26.91</v>
      </c>
      <c r="G986" s="35"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6" t="n">
        <v>2.6</v>
      </c>
      <c r="G987" s="36"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5" t="n">
        <v>26.91</v>
      </c>
      <c r="G988" s="35"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6" t="n">
        <v>2.6</v>
      </c>
      <c r="G989" s="36"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5" t="n">
        <v>26.91</v>
      </c>
      <c r="G990" s="35"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6" t="n">
        <v>40.43</v>
      </c>
      <c r="G991" s="36"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5" t="n">
        <v>26.91</v>
      </c>
      <c r="G992" s="35"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6" t="n">
        <v>40.43</v>
      </c>
      <c r="G993" s="36"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5" t="n">
        <v>26.91</v>
      </c>
      <c r="G994" s="35"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6" t="n">
        <v>8.970000000000001</v>
      </c>
      <c r="G995" s="36"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5" t="n">
        <v>67.25</v>
      </c>
      <c r="G996" s="35"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6" t="n">
        <v>50</v>
      </c>
      <c r="G997" s="36"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5" t="n">
        <v>3.64</v>
      </c>
      <c r="G998" s="35"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6" t="n">
        <v>26.91</v>
      </c>
      <c r="G999" s="36"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5" t="n">
        <v>3.64</v>
      </c>
      <c r="G1000" s="35"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6" t="n">
        <v>26.91</v>
      </c>
      <c r="G1001" s="36"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5" t="n">
        <v>3.64</v>
      </c>
      <c r="G1002" s="35"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6" t="n">
        <v>26.91</v>
      </c>
      <c r="G1003" s="36"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5" t="n">
        <v>3.64</v>
      </c>
      <c r="G1004" s="35"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6" t="n">
        <v>26.91</v>
      </c>
      <c r="G1005" s="36"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5" t="n">
        <v>6.24</v>
      </c>
      <c r="G1006" s="35"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6" t="n">
        <v>40.43</v>
      </c>
      <c r="G1007" s="36"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5" t="n">
        <v>26.75</v>
      </c>
      <c r="G1008" s="35"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6" t="n">
        <v>26.91</v>
      </c>
      <c r="G1009" s="36"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5" t="n">
        <v>26.91</v>
      </c>
      <c r="G1010" s="35"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6" t="n">
        <v>26.91</v>
      </c>
      <c r="G1011" s="36"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5" t="n">
        <v>26.91</v>
      </c>
      <c r="G1012" s="35"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6" t="n">
        <v>5</v>
      </c>
      <c r="G1013" s="36"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5" t="n">
        <v>5</v>
      </c>
      <c r="G1014" s="35"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6" t="n">
        <v>5</v>
      </c>
      <c r="G1015" s="36"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5" t="n">
        <v>5</v>
      </c>
      <c r="G1016" s="35"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6" t="n">
        <v>26.91</v>
      </c>
      <c r="G1017" s="36"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5" t="n">
        <v>26.91</v>
      </c>
      <c r="G1018" s="35"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6" t="n">
        <v>26.91</v>
      </c>
      <c r="G1019" s="36"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5" t="n">
        <v>26.91</v>
      </c>
      <c r="G1020" s="35"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6" t="n">
        <v>3.12</v>
      </c>
      <c r="G1021" s="36"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5" t="n">
        <v>1</v>
      </c>
      <c r="G1022" s="35"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6" t="n">
        <v>26.91</v>
      </c>
      <c r="G1023" s="36"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5" t="n">
        <v>25.74</v>
      </c>
      <c r="G1024" s="35"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6" t="n">
        <v>26.91</v>
      </c>
      <c r="G1025" s="36"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5" t="n">
        <v>25.74</v>
      </c>
      <c r="G1026" s="35"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6" t="n">
        <v>49.92</v>
      </c>
      <c r="G1027" s="36"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5" t="n">
        <v>26.91</v>
      </c>
      <c r="G1028" s="35"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6" t="n">
        <v>490</v>
      </c>
      <c r="G1029" s="36"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5" t="n">
        <v>329</v>
      </c>
      <c r="G1030" s="35"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6" t="n">
        <v>490</v>
      </c>
      <c r="G1031" s="36"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5" t="n">
        <v>329</v>
      </c>
      <c r="G1032" s="35"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6" t="n">
        <v>25.35</v>
      </c>
      <c r="G1033" s="36"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5" t="n">
        <v>208.13</v>
      </c>
      <c r="G1034" s="35"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6" t="n">
        <v>25.35</v>
      </c>
      <c r="G1035" s="36"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5" t="n">
        <v>208.13</v>
      </c>
      <c r="G1036" s="35"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6" t="n">
        <v>53.82</v>
      </c>
      <c r="G1037" s="36"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5" t="n">
        <v>50.57</v>
      </c>
      <c r="G1038" s="35"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6" t="n">
        <v>31.98</v>
      </c>
      <c r="G1039" s="36"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5" t="n">
        <v>38.09</v>
      </c>
      <c r="G1040" s="35"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6" t="n">
        <v>53.82</v>
      </c>
      <c r="G1041" s="36"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5" t="n">
        <v>50.57</v>
      </c>
      <c r="G1042" s="35"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6" t="n">
        <v>31.98</v>
      </c>
      <c r="G1043" s="36"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5" t="n">
        <v>38.09</v>
      </c>
      <c r="G1044" s="35"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6" t="n">
        <v>53.82</v>
      </c>
      <c r="G1045" s="36"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5" t="n">
        <v>50.57</v>
      </c>
      <c r="G1046" s="35"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6" t="n">
        <v>31.98</v>
      </c>
      <c r="G1047" s="36"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5" t="n">
        <v>38.09</v>
      </c>
      <c r="G1048" s="35"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6" t="n">
        <v>13.52</v>
      </c>
      <c r="G1049" s="36"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5" t="n">
        <v>13.52</v>
      </c>
      <c r="G1050" s="35"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6" t="n">
        <v>13.52</v>
      </c>
      <c r="G1051" s="36"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5" t="n">
        <v>10.79</v>
      </c>
      <c r="G1052" s="35"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6" t="n">
        <v>5.33</v>
      </c>
      <c r="G1053" s="36"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5" t="n">
        <v>12.61</v>
      </c>
      <c r="G1054" s="35"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6" t="n">
        <v>5.33</v>
      </c>
      <c r="G1055" s="36"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5" t="n">
        <v>12.61</v>
      </c>
      <c r="G1056" s="35"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6" t="n">
        <v>39.52</v>
      </c>
      <c r="G1057" s="36"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5" t="n">
        <v>20.67</v>
      </c>
      <c r="G1058" s="35"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6" t="n">
        <v>6.76</v>
      </c>
      <c r="G1059" s="36"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5" t="n">
        <v>6.76</v>
      </c>
      <c r="G1060" s="35"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6" t="n">
        <v>7.15</v>
      </c>
      <c r="G1061" s="36"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5" t="n">
        <v>6.63</v>
      </c>
      <c r="G1062" s="35"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6" t="n">
        <v>3.25</v>
      </c>
      <c r="G1063" s="36"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5" t="n">
        <v>3.25</v>
      </c>
      <c r="G1064" s="35"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6" t="n">
        <v>3.25</v>
      </c>
      <c r="G1065" s="36"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5" t="n">
        <v>6.24</v>
      </c>
      <c r="G1066" s="35"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6" t="n">
        <v>6.24</v>
      </c>
      <c r="G1067" s="36"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5" t="n">
        <v>6.76</v>
      </c>
      <c r="G1068" s="35"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6" t="n">
        <v>10.79</v>
      </c>
      <c r="G1069" s="36"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5" t="n">
        <v>6.24</v>
      </c>
      <c r="G1070" s="35"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6" t="n">
        <v>13.39</v>
      </c>
      <c r="G1071" s="36"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5" t="n">
        <v>1.04</v>
      </c>
      <c r="G1072" s="35"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6" t="n">
        <v>13.52</v>
      </c>
      <c r="G1073" s="36"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5" t="n">
        <v>5.33</v>
      </c>
      <c r="G1074" s="35"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6" t="n">
        <v>8.06</v>
      </c>
      <c r="G1075" s="36"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5" t="n">
        <v>6.76</v>
      </c>
      <c r="G1076" s="35"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6" t="n">
        <v>5.33</v>
      </c>
      <c r="G1077" s="36"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5" t="n">
        <v>8.06</v>
      </c>
      <c r="G1078" s="35"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6" t="n">
        <v>6.76</v>
      </c>
      <c r="G1079" s="36"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5" t="n">
        <v>26.91</v>
      </c>
      <c r="G1080" s="35"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6" t="n">
        <v>1.82</v>
      </c>
      <c r="G1081" s="36"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5" t="n">
        <v>13</v>
      </c>
      <c r="G1082" s="35"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6" t="n">
        <v>2.47</v>
      </c>
      <c r="G1083" s="36"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5" t="n">
        <v>1.3</v>
      </c>
      <c r="G1084" s="35"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6" t="n">
        <v>5.07</v>
      </c>
      <c r="G1085" s="36"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5" t="n">
        <v>1.69</v>
      </c>
      <c r="G1086" s="35"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6" t="n">
        <v>1.43</v>
      </c>
      <c r="G1087" s="36"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5" t="n">
        <v>0.26</v>
      </c>
      <c r="G1088" s="35"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6" t="n">
        <v>0.13</v>
      </c>
      <c r="G1089" s="36"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5" t="n">
        <v>0.39</v>
      </c>
      <c r="G1090" s="35"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6" t="n">
        <v>0.26</v>
      </c>
      <c r="G1091" s="36"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5" t="n">
        <v>13.52</v>
      </c>
      <c r="G1092" s="35"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6" t="n">
        <v>16.12</v>
      </c>
      <c r="G1093" s="36"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5" t="n">
        <v>16.12</v>
      </c>
      <c r="G1094" s="35"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6" t="n">
        <v>26.91</v>
      </c>
      <c r="G1095" s="36"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5" t="n">
        <v>31.07</v>
      </c>
      <c r="G1096" s="35"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6" t="n">
        <v>31.07</v>
      </c>
      <c r="G1097" s="36"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5" t="n">
        <v>26.91</v>
      </c>
      <c r="G1098" s="35"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6" t="n">
        <v>31.07</v>
      </c>
      <c r="G1099" s="36"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5" t="n">
        <v>31.07</v>
      </c>
      <c r="G1100" s="35"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6" t="n">
        <v>26.91</v>
      </c>
      <c r="G1101" s="36"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5" t="n">
        <v>31.07</v>
      </c>
      <c r="G1102" s="35"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6" t="n">
        <v>31.07</v>
      </c>
      <c r="G1103" s="36"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5" t="n">
        <v>26.91</v>
      </c>
      <c r="G1104" s="35"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6" t="n">
        <v>31.07</v>
      </c>
      <c r="G1105" s="36"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5" t="n">
        <v>31.07</v>
      </c>
      <c r="G1106" s="35"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6" t="n">
        <v>26.91</v>
      </c>
      <c r="G1107" s="36"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5" t="n">
        <v>31.07</v>
      </c>
      <c r="G1108" s="35"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6" t="n">
        <v>31.07</v>
      </c>
      <c r="G1109" s="36"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5" t="n">
        <v>26.91</v>
      </c>
      <c r="G1110" s="35"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6" t="n">
        <v>31.07</v>
      </c>
      <c r="G1111" s="36"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5" t="n">
        <v>31.07</v>
      </c>
      <c r="G1112" s="35"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6" t="n">
        <v>7.8</v>
      </c>
      <c r="G1113" s="36"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5" t="n">
        <v>14.69</v>
      </c>
      <c r="G1114" s="35"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6" t="n">
        <v>5.33</v>
      </c>
      <c r="G1115" s="36"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5" t="n">
        <v>6.11</v>
      </c>
      <c r="G1116" s="35"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6" t="n">
        <v>6.11</v>
      </c>
      <c r="G1117" s="36"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5" t="n">
        <v>10.79</v>
      </c>
      <c r="G1118" s="35"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6" t="n">
        <v>5.33</v>
      </c>
      <c r="G1119" s="36"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5" t="n">
        <v>6.11</v>
      </c>
      <c r="G1120" s="35"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6" t="n">
        <v>6.11</v>
      </c>
      <c r="G1121" s="36"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5" t="n">
        <v>10.79</v>
      </c>
      <c r="G1122" s="35"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6" t="n">
        <v>5.33</v>
      </c>
      <c r="G1123" s="36"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5" t="n">
        <v>6.11</v>
      </c>
      <c r="G1124" s="35"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6" t="n">
        <v>6.11</v>
      </c>
      <c r="G1125" s="36"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5" t="n">
        <v>10.79</v>
      </c>
      <c r="G1126" s="35"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6" t="n">
        <v>5.33</v>
      </c>
      <c r="G1127" s="36"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5" t="n">
        <v>6.11</v>
      </c>
      <c r="G1128" s="35"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6" t="n">
        <v>6.11</v>
      </c>
      <c r="G1129" s="36"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5" t="n">
        <v>10.79</v>
      </c>
      <c r="G1130" s="35"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6" t="n">
        <v>5.33</v>
      </c>
      <c r="G1131" s="36"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5" t="n">
        <v>6.11</v>
      </c>
      <c r="G1132" s="35"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6" t="n">
        <v>6.11</v>
      </c>
      <c r="G1133" s="36"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5" t="n">
        <v>10.79</v>
      </c>
      <c r="G1134" s="35"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6" t="n">
        <v>83.98</v>
      </c>
      <c r="G1135" s="36"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5" t="n">
        <v>53.82</v>
      </c>
      <c r="G1136" s="35"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6" t="n">
        <v>83.98</v>
      </c>
      <c r="G1137" s="36"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5" t="n">
        <v>53.82</v>
      </c>
      <c r="G1138" s="35"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6" t="n">
        <v>13.52</v>
      </c>
      <c r="G1139" s="36"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5" t="n">
        <v>13.52</v>
      </c>
      <c r="G1140" s="35"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6" t="n">
        <v>104</v>
      </c>
      <c r="G1141" s="36"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5" t="n">
        <v>351</v>
      </c>
      <c r="G1142" s="35"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6" t="n">
        <v>52</v>
      </c>
      <c r="G1143" s="36"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5" t="n">
        <v>13</v>
      </c>
      <c r="G1144" s="35"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6" t="n">
        <v>13</v>
      </c>
      <c r="G1145" s="36"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5" t="n">
        <v>13.52</v>
      </c>
      <c r="G1146" s="35"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6" t="n">
        <v>5.33</v>
      </c>
      <c r="G1147" s="36"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5" t="n">
        <v>7.15</v>
      </c>
      <c r="G1148" s="35"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6" t="n">
        <v>0.26</v>
      </c>
      <c r="G1149" s="36"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5" t="n">
        <v>0.13</v>
      </c>
      <c r="G1150" s="35"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6" t="n">
        <v>0.13</v>
      </c>
      <c r="G1151" s="36"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5" t="n">
        <v>7.15</v>
      </c>
      <c r="G1152" s="35"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6" t="n">
        <v>0.26</v>
      </c>
      <c r="G1153" s="36"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5" t="n">
        <v>0.13</v>
      </c>
      <c r="G1154" s="35"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6" t="n">
        <v>0.13</v>
      </c>
      <c r="G1155" s="36"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5" t="n">
        <v>13.52</v>
      </c>
      <c r="G1156" s="35"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6" t="n">
        <v>13.52</v>
      </c>
      <c r="G1157" s="36"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5" t="n">
        <v>6.76</v>
      </c>
      <c r="G1158" s="35"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6" t="n">
        <v>18.59</v>
      </c>
      <c r="G1159" s="36"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5" t="n">
        <v>8.06</v>
      </c>
      <c r="G1160" s="35"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6" t="n">
        <v>18.59</v>
      </c>
      <c r="G1161" s="36"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5" t="n">
        <v>2.73</v>
      </c>
      <c r="G1162" s="35"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6" t="n">
        <v>2.73</v>
      </c>
      <c r="G1163" s="36"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5" t="n">
        <v>2.73</v>
      </c>
      <c r="G1164" s="35"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6" t="n">
        <v>2.73</v>
      </c>
      <c r="G1165" s="36"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5" t="n">
        <v>2.73</v>
      </c>
      <c r="G1166" s="35"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6" t="n">
        <v>2.73</v>
      </c>
      <c r="G1167" s="36"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5" t="n">
        <v>2.73</v>
      </c>
      <c r="G1168" s="35"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6" t="n">
        <v>2.73</v>
      </c>
      <c r="G1169" s="36"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5" t="n">
        <v>7.15</v>
      </c>
      <c r="G1170" s="35"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6" t="n">
        <v>0.91</v>
      </c>
      <c r="G1171" s="36"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5" t="n">
        <v>3.9</v>
      </c>
      <c r="G1172" s="35"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6" t="n">
        <v>7.15</v>
      </c>
      <c r="G1173" s="36"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5" t="n">
        <v>0.91</v>
      </c>
      <c r="G1174" s="35"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6" t="n">
        <v>3.9</v>
      </c>
      <c r="G1175" s="36"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5" t="n">
        <v>807.3</v>
      </c>
      <c r="G1176" s="35"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6" t="n">
        <v>807.3</v>
      </c>
      <c r="G1177" s="36"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5" t="n">
        <v>807.3</v>
      </c>
      <c r="G1178" s="35"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6" t="n">
        <v>807.3</v>
      </c>
      <c r="G1179" s="36"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5" t="n">
        <v>53.82</v>
      </c>
      <c r="G1180" s="35"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6" t="n">
        <v>53.82</v>
      </c>
      <c r="G1181" s="36"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5" t="n">
        <v>13</v>
      </c>
      <c r="G1182" s="35"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6" t="n">
        <v>2.6</v>
      </c>
      <c r="G1183" s="36"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5" t="n">
        <v>39.52</v>
      </c>
      <c r="G1184" s="35"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6" t="n">
        <v>6.76</v>
      </c>
      <c r="G1185" s="36"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5" t="n">
        <v>3.25</v>
      </c>
      <c r="G1186" s="35"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6" t="n">
        <v>6.24</v>
      </c>
      <c r="G1187" s="36"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5" t="n">
        <v>6.76</v>
      </c>
      <c r="G1188" s="35"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6" t="n">
        <v>6.24</v>
      </c>
      <c r="G1189" s="36"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5" t="n">
        <v>5.33</v>
      </c>
      <c r="G1190" s="35"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6" t="n">
        <v>12.61</v>
      </c>
      <c r="G1191" s="36"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5" t="n">
        <v>187.95</v>
      </c>
      <c r="G1192" s="35"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6" t="n">
        <v>187.95</v>
      </c>
      <c r="G1193" s="36"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5" t="n">
        <v>187.95</v>
      </c>
      <c r="G1194" s="35"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6" t="n">
        <v>187.95</v>
      </c>
      <c r="G1195" s="36"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5" t="n">
        <v>498.65</v>
      </c>
      <c r="G1196" s="35"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6" t="n">
        <v>310.7</v>
      </c>
      <c r="G1197" s="36"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5" t="n">
        <v>188</v>
      </c>
      <c r="G1198" s="35"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6" t="n">
        <v>188</v>
      </c>
      <c r="G1199" s="36"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5" t="n">
        <v>169.98</v>
      </c>
      <c r="G1200" s="35"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6" t="n">
        <v>6.71</v>
      </c>
      <c r="G1201" s="36"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5" t="n">
        <v>20.13</v>
      </c>
      <c r="G1202" s="35"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6" t="n">
        <v>44.67</v>
      </c>
      <c r="G1203" s="36"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5" t="n">
        <v>13.75</v>
      </c>
      <c r="G1204" s="35"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6" t="n">
        <v>21.48</v>
      </c>
      <c r="G1205" s="36"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5" t="n">
        <v>80.54000000000001</v>
      </c>
      <c r="G1206" s="35"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6" t="n">
        <v>53.69</v>
      </c>
      <c r="G1207" s="36"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5" t="n">
        <v>52</v>
      </c>
      <c r="G1208" s="35"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6" t="n">
        <v>20</v>
      </c>
      <c r="G1209" s="36"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5" t="n">
        <v>89.28</v>
      </c>
      <c r="G1210" s="35"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6" t="n">
        <v>187.95</v>
      </c>
      <c r="G1211" s="36"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5" t="n">
        <v>807.3</v>
      </c>
      <c r="G1212" s="35"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6" t="n">
        <v>104</v>
      </c>
      <c r="G1213" s="36"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5" t="n">
        <v>351</v>
      </c>
      <c r="G1214" s="35"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6" t="n">
        <v>52</v>
      </c>
      <c r="G1215" s="36"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5" t="n">
        <v>52</v>
      </c>
      <c r="G1216" s="35"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6" t="n">
        <v>20</v>
      </c>
      <c r="G1217" s="36"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5" t="n">
        <v>13.52</v>
      </c>
      <c r="G1218" s="35"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59"/>
  <sheetViews>
    <sheetView showGridLines="1" workbookViewId="0">
      <pane ySplit="4" topLeftCell="A5" activePane="bottomLeft" state="frozen"/>
      <selection pane="bottomLeft" activeCell="A1" sqref="A1"/>
    </sheetView>
  </sheetViews>
  <sheetFormatPr baseColWidth="8" defaultRowHeight="15"/>
  <cols>
    <col width="16" customWidth="1" min="1" max="1"/>
    <col width="28" customWidth="1" min="2" max="2"/>
    <col width="36" customWidth="1" min="3" max="3"/>
    <col width="18" customWidth="1" min="4" max="4"/>
    <col width="22" customWidth="1" min="5" max="5"/>
    <col width="18" customWidth="1" min="6" max="6"/>
    <col width="22" customWidth="1" min="7" max="7"/>
    <col width="48" customWidth="1" min="8" max="8"/>
  </cols>
  <sheetData>
    <row r="1" ht="30" customHeight="1">
      <c r="A1" s="10" t="inlineStr">
        <is>
          <t>CPWD DAR 2019 — SUB-HEAD 01: CARRIAGE OF MATERIALS (ANALYTICAL SIMULATOR &amp; BENCHMARKS)</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10" customHeight="1"/>
    <row r="5" ht="24" customHeight="1">
      <c r="A5" s="42" t="inlineStr">
        <is>
          <t>PANEL 1: SMART MATERIAL SELECTOR &amp; AUTOMATED NOMENCLATURE BUILDER (Select Commodity &amp; Scope Keywords)</t>
        </is>
      </c>
    </row>
    <row r="6" ht="24" customHeight="1">
      <c r="A6" s="43" t="inlineStr">
        <is>
          <t>Custom Item Code:</t>
        </is>
      </c>
      <c r="B6" s="44" t="inlineStr">
        <is>
          <t>1.1.CUSTOM</t>
        </is>
      </c>
      <c r="C6" s="43" t="inlineStr">
        <is>
          <t>Material Commodity:</t>
        </is>
      </c>
      <c r="D6" s="45" t="inlineStr">
        <is>
          <t>R.C.C./C.I./Steel pipes 1000, 1100 &amp; 1200 mm dia</t>
        </is>
      </c>
      <c r="E6" s="43" t="inlineStr">
        <is>
          <t>Handling Scope:</t>
        </is>
      </c>
      <c r="F6" s="45" t="inlineStr">
        <is>
          <t>including loading, transporting, unloading and stacking</t>
        </is>
      </c>
      <c r="G6" s="43" t="inlineStr">
        <is>
          <t>Lift Condition:</t>
        </is>
      </c>
      <c r="H6" s="44" t="inlineStr">
        <is>
          <t>for all lifts</t>
        </is>
      </c>
    </row>
    <row r="7" ht="26" customHeight="1">
      <c r="A7" s="43" t="inlineStr">
        <is>
          <t>Manual Override (Optional):</t>
        </is>
      </c>
      <c r="B7" s="46" t="n"/>
    </row>
    <row r="8" ht="38" customHeight="1">
      <c r="A8" s="47" t="inlineStr">
        <is>
          <t>Assembled Nomenclature:</t>
        </is>
      </c>
      <c r="B8" s="48">
        <f>IF(B7&lt;&gt;"","" &amp; B7,"Carriage of " &amp; D6 &amp; " by mechanical transport " &amp; F6 &amp; " for lead upto " &amp; TEXT(B11, "0.00") &amp; " km " &amp; H6 &amp; ", complete as per directions of Engineer-in-charge.")</f>
        <v/>
      </c>
    </row>
    <row r="9" ht="10" customHeight="1"/>
    <row r="10" ht="24" customHeight="1">
      <c r="A10" s="42" t="inlineStr">
        <is>
          <t>PANEL 2: MECHANICAL HAULAGE SIMULATION CONTROLS &amp; TRIP DYNAMICS (Heading 1.1: Leads &gt;= 1.0 km)</t>
        </is>
      </c>
    </row>
    <row r="11" ht="22" customHeight="1">
      <c r="A11" s="43" t="inlineStr">
        <is>
          <t>Lead Distance (L):</t>
        </is>
      </c>
      <c r="B11" s="49" t="n">
        <v>26</v>
      </c>
      <c r="C11" s="43" t="inlineStr">
        <is>
          <t>Average Speed (S):</t>
        </is>
      </c>
      <c r="D11" s="50" t="n">
        <v>29</v>
      </c>
      <c r="E11" s="43" t="inlineStr">
        <is>
          <t>Turnaround Time (T):</t>
        </is>
      </c>
      <c r="F11" s="51" t="n">
        <v>1</v>
      </c>
      <c r="G11" s="43" t="inlineStr">
        <is>
          <t>Standard Payload (C):</t>
        </is>
      </c>
      <c r="H11" s="52">
        <f>IFERROR(INDEX($C$88:$C$114, MATCH(D6, $B$88:$B$114, 0)), 10.98)</f>
        <v/>
      </c>
    </row>
    <row r="12" ht="22" customHeight="1">
      <c r="A12" s="43" t="inlineStr">
        <is>
          <t>Billing Unit:</t>
        </is>
      </c>
      <c r="B12" s="44" t="inlineStr">
        <is>
          <t>metre</t>
        </is>
      </c>
      <c r="C12" s="43" t="inlineStr">
        <is>
          <t>Trip Mode Toggle:</t>
        </is>
      </c>
      <c r="D12" s="44" t="inlineStr">
        <is>
          <t>FORMULA</t>
        </is>
      </c>
      <c r="E12" s="43" t="inlineStr">
        <is>
          <t>Fixed Trips Override:</t>
        </is>
      </c>
      <c r="F12" s="53" t="n">
        <v>3</v>
      </c>
      <c r="G12" s="43" t="inlineStr">
        <is>
          <t>Payload Override (C):</t>
        </is>
      </c>
      <c r="H12" s="53" t="n"/>
    </row>
    <row r="13" ht="22" customHeight="1">
      <c r="A13" s="43" t="inlineStr">
        <is>
          <t>Effective Payload (C):</t>
        </is>
      </c>
      <c r="B13" s="52">
        <f>IF(H12&gt;0, H12, H11)</f>
        <v/>
      </c>
      <c r="C13" s="43" t="inlineStr">
        <is>
          <t>Daily Calculated Trips (N):</t>
        </is>
      </c>
      <c r="D13" s="54">
        <f>IF(D12="FIXED TRIPS", F12, ROUND(8 / ((2 * B11 / D11) + F11), 2))</f>
        <v/>
      </c>
      <c r="E13" s="43" t="inlineStr">
        <is>
          <t>Daily Distance Travelled:</t>
        </is>
      </c>
      <c r="F13" s="55">
        <f>ROUND((2 * D13 * B11) + 6.0, 2)</f>
        <v/>
      </c>
      <c r="G13" s="43" t="inlineStr">
        <is>
          <t>Total Daily Hauled Output:</t>
        </is>
      </c>
      <c r="H13" s="56">
        <f>ROUND(D13 * B13, 2)</f>
        <v/>
      </c>
    </row>
    <row r="14" ht="22" customHeight="1">
      <c r="A14" s="57" t="inlineStr">
        <is>
          <t>AUDIT STATUS:</t>
        </is>
      </c>
      <c r="B14" s="58">
        <f>IF(AND(D14="OK", F14&gt;0, H14&gt;0), "[PASS] ALL CHECKS OK", "[ALERT] CHECKS FAILED")</f>
        <v/>
      </c>
      <c r="C14" s="59" t="inlineStr">
        <is>
          <t>Daily Trips Check:</t>
        </is>
      </c>
      <c r="D14" s="60">
        <f>IF(D13&gt;0, "OK", "ERR: N&lt;=0")</f>
        <v/>
      </c>
      <c r="E14" s="43" t="inlineStr">
        <is>
          <t>Evaluated Diesel (Litres):</t>
        </is>
      </c>
      <c r="F14" s="61">
        <f>ROUND(F13 / 5.0, 2)</f>
        <v/>
      </c>
      <c r="G14" s="43" t="inlineStr">
        <is>
          <t>Evaluated Mobil Oil (Litres):</t>
        </is>
      </c>
      <c r="H14" s="62">
        <f>ROUND(F13 / 140.0, 3)</f>
        <v/>
      </c>
    </row>
    <row r="15" ht="10" customHeight="1"/>
    <row r="16" ht="24" customHeight="1">
      <c r="A16" s="42" t="inlineStr">
        <is>
          <t>1. MECHANICAL TRANSPORT TRIP BUILDER (Truck Hire + Labour + Fuel Linked to CPWD Mileage Formulas)</t>
        </is>
      </c>
    </row>
    <row r="17" ht="24" customHeight="1">
      <c r="A17" s="1" t="inlineStr">
        <is>
          <t>Line</t>
        </is>
      </c>
      <c r="B17" s="1" t="inlineStr">
        <is>
          <t>Code / Source</t>
        </is>
      </c>
      <c r="C17" s="1" t="inlineStr">
        <is>
          <t>Resource / Fuel Description</t>
        </is>
      </c>
      <c r="D17" s="1" t="inlineStr">
        <is>
          <t>Unit</t>
        </is>
      </c>
      <c r="E17" s="1" t="inlineStr">
        <is>
          <t>Quantity / Coeff</t>
        </is>
      </c>
      <c r="F17" s="1" t="inlineStr">
        <is>
          <t>Basic Rate (Rs)</t>
        </is>
      </c>
      <c r="G17" s="1" t="inlineStr">
        <is>
          <t>Amount (Rs)</t>
        </is>
      </c>
      <c r="H17" s="1" t="inlineStr">
        <is>
          <t>Source Reference / CPWD Notes</t>
        </is>
      </c>
    </row>
    <row r="18" ht="20" customHeight="1">
      <c r="A18" s="19" t="n">
        <v>1</v>
      </c>
      <c r="B18" s="44" t="inlineStr">
        <is>
          <t>0084</t>
        </is>
      </c>
      <c r="C18" s="63">
        <f>IF(B18="","", IFERROR(INDEX(Rates_Master!$C:$C, MATCH(B18, Rates_Master!$A:$A, 0)), "Custom Resource Line"))</f>
        <v/>
      </c>
      <c r="D18" s="64">
        <f>IF(B18="","", IFERROR(INDEX(Rates_Master!$D:$D, MATCH(B18, Rates_Master!$A:$A, 0)), ""))</f>
        <v/>
      </c>
      <c r="E18" s="65" t="n">
        <v>1</v>
      </c>
      <c r="F18" s="66">
        <f>IF(B18="","", IFERROR(INDEX(Rates_Master!$E:$E, MATCH(B18, Rates_Master!$A:$A, 0)), 0))</f>
        <v/>
      </c>
      <c r="G18" s="34">
        <f>IF(OR(B18="", E18=""), 0, ROUND(E18 * F18, 2))</f>
        <v/>
      </c>
      <c r="H18" s="67" t="inlineStr">
        <is>
          <t>CPWD Note 5: Hire charges of Diesel Truck (9-tonne) excluding diesel &amp; mobil oil (Code 0084)</t>
        </is>
      </c>
    </row>
    <row r="19" ht="20" customHeight="1">
      <c r="A19" s="19" t="n">
        <v>2</v>
      </c>
      <c r="B19" s="44" t="inlineStr">
        <is>
          <t>0114</t>
        </is>
      </c>
      <c r="C19" s="63">
        <f>IF(B19="","", IFERROR(INDEX(Rates_Master!$C:$C, MATCH(B19, Rates_Master!$A:$A, 0)), "Custom Resource Line"))</f>
        <v/>
      </c>
      <c r="D19" s="64">
        <f>IF(B19="","", IFERROR(INDEX(Rates_Master!$D:$D, MATCH(B19, Rates_Master!$A:$A, 0)), ""))</f>
        <v/>
      </c>
      <c r="E19" s="65" t="n">
        <v>6</v>
      </c>
      <c r="F19" s="66">
        <f>IF(B19="","", IFERROR(INDEX(Rates_Master!$E:$E, MATCH(B19, Rates_Master!$A:$A, 0)), 0))</f>
        <v/>
      </c>
      <c r="G19" s="34">
        <f>IF(OR(B19="", E19=""), 0, ROUND(E19 * F19, 2))</f>
        <v/>
      </c>
      <c r="H19" s="67" t="inlineStr">
        <is>
          <t>CPWD Note 5: Loading &amp; unloading labour based on 1 gang of 6 Beldars per truck (Code 0114)</t>
        </is>
      </c>
    </row>
    <row r="20" ht="20" customHeight="1">
      <c r="A20" s="19" t="n">
        <v>3</v>
      </c>
      <c r="B20" s="44" t="inlineStr">
        <is>
          <t>1235</t>
        </is>
      </c>
      <c r="C20" s="63">
        <f>IF(B20="","", IFERROR(INDEX(Rates_Master!$C:$C, MATCH(B20, Rates_Master!$A:$A, 0)), "Custom Resource Line"))</f>
        <v/>
      </c>
      <c r="D20" s="64">
        <f>IF(B20="","", IFERROR(INDEX(Rates_Master!$D:$D, MATCH(B20, Rates_Master!$A:$A, 0)), ""))</f>
        <v/>
      </c>
      <c r="E20" s="33">
        <f>F14</f>
        <v/>
      </c>
      <c r="F20" s="66">
        <f>IF(B20="","", IFERROR(INDEX(Rates_Master!$E:$E, MATCH(B20, Rates_Master!$A:$A, 0)), 0))</f>
        <v/>
      </c>
      <c r="G20" s="34">
        <f>IF(OR(B20="", E20=""), 0, ROUND(E20 * F20, 2))</f>
        <v/>
      </c>
      <c r="H20" s="67" t="inlineStr">
        <is>
          <t>CPWD Note 3: Diesel consumed = Distance travelled / 5.0 km/L (linked to cell F14)</t>
        </is>
      </c>
    </row>
    <row r="21" ht="20" customHeight="1">
      <c r="A21" s="19" t="n">
        <v>4</v>
      </c>
      <c r="B21" s="44" t="inlineStr">
        <is>
          <t>5001</t>
        </is>
      </c>
      <c r="C21" s="63">
        <f>IF(B21="","", IFERROR(INDEX(Rates_Master!$C:$C, MATCH(B21, Rates_Master!$A:$A, 0)), "Custom Resource Line"))</f>
        <v/>
      </c>
      <c r="D21" s="64">
        <f>IF(B21="","", IFERROR(INDEX(Rates_Master!$D:$D, MATCH(B21, Rates_Master!$A:$A, 0)), ""))</f>
        <v/>
      </c>
      <c r="E21" s="33">
        <f>H14</f>
        <v/>
      </c>
      <c r="F21" s="66">
        <f>IF(B21="","", IFERROR(INDEX(Rates_Master!$E:$E, MATCH(B21, Rates_Master!$A:$A, 0)), 0))</f>
        <v/>
      </c>
      <c r="G21" s="34">
        <f>IF(OR(B21="", E21=""), 0, ROUND(E21 * F21, 2))</f>
        <v/>
      </c>
      <c r="H21" s="67" t="inlineStr">
        <is>
          <t>CPWD Note 4: Mobil oil consumed = Distance travelled / 140.0 km/L (linked to cell H14)</t>
        </is>
      </c>
    </row>
    <row r="22" ht="20" customHeight="1">
      <c r="A22" s="19" t="n">
        <v>5</v>
      </c>
      <c r="B22" s="44" t="inlineStr"/>
      <c r="C22" s="63">
        <f>IF(B22="","", IFERROR(INDEX(Rates_Master!$C:$C, MATCH(B22, Rates_Master!$A:$A, 0)), "Custom Resource Line"))</f>
        <v/>
      </c>
      <c r="D22" s="64">
        <f>IF(B22="","", IFERROR(INDEX(Rates_Master!$D:$D, MATCH(B22, Rates_Master!$A:$A, 0)), ""))</f>
        <v/>
      </c>
      <c r="E22" s="65" t="n"/>
      <c r="F22" s="66">
        <f>IF(B22="","", IFERROR(INDEX(Rates_Master!$E:$E, MATCH(B22, Rates_Master!$A:$A, 0)), 0))</f>
        <v/>
      </c>
      <c r="G22" s="34">
        <f>IF(OR(B22="", E22=""), 0, ROUND(E22 * F22, 2))</f>
        <v/>
      </c>
      <c r="H22" s="67" t="inlineStr"/>
    </row>
    <row r="23" ht="20" customHeight="1">
      <c r="A23" s="19" t="n">
        <v>6</v>
      </c>
      <c r="B23" s="44" t="inlineStr"/>
      <c r="C23" s="63">
        <f>IF(B23="","", IFERROR(INDEX(Rates_Master!$C:$C, MATCH(B23, Rates_Master!$A:$A, 0)), "Custom Resource Line"))</f>
        <v/>
      </c>
      <c r="D23" s="64">
        <f>IF(B23="","", IFERROR(INDEX(Rates_Master!$D:$D, MATCH(B23, Rates_Master!$A:$A, 0)), ""))</f>
        <v/>
      </c>
      <c r="E23" s="65" t="n"/>
      <c r="F23" s="66">
        <f>IF(B23="","", IFERROR(INDEX(Rates_Master!$E:$E, MATCH(B23, Rates_Master!$A:$A, 0)), 0))</f>
        <v/>
      </c>
      <c r="G23" s="34">
        <f>IF(OR(B23="", E23=""), 0, ROUND(E23 * F23, 2))</f>
        <v/>
      </c>
      <c r="H23" s="67" t="inlineStr"/>
    </row>
    <row r="24" ht="20" customHeight="1">
      <c r="A24" s="19" t="n">
        <v>7</v>
      </c>
      <c r="B24" s="44" t="inlineStr"/>
      <c r="C24" s="63">
        <f>IF(B24="","", IFERROR(INDEX(Rates_Master!$C:$C, MATCH(B24, Rates_Master!$A:$A, 0)), "Custom Resource Line"))</f>
        <v/>
      </c>
      <c r="D24" s="64">
        <f>IF(B24="","", IFERROR(INDEX(Rates_Master!$D:$D, MATCH(B24, Rates_Master!$A:$A, 0)), ""))</f>
        <v/>
      </c>
      <c r="E24" s="65" t="n"/>
      <c r="F24" s="66">
        <f>IF(B24="","", IFERROR(INDEX(Rates_Master!$E:$E, MATCH(B24, Rates_Master!$A:$A, 0)), 0))</f>
        <v/>
      </c>
      <c r="G24" s="34">
        <f>IF(OR(B24="", E24=""), 0, ROUND(E24 * F24, 2))</f>
        <v/>
      </c>
      <c r="H24" s="67" t="inlineStr"/>
    </row>
    <row r="25" ht="20" customHeight="1">
      <c r="A25" s="19" t="n">
        <v>8</v>
      </c>
      <c r="B25" s="44" t="inlineStr"/>
      <c r="C25" s="63">
        <f>IF(B25="","", IFERROR(INDEX(Rates_Master!$C:$C, MATCH(B25, Rates_Master!$A:$A, 0)), "Custom Resource Line"))</f>
        <v/>
      </c>
      <c r="D25" s="64">
        <f>IF(B25="","", IFERROR(INDEX(Rates_Master!$D:$D, MATCH(B25, Rates_Master!$A:$A, 0)), ""))</f>
        <v/>
      </c>
      <c r="E25" s="65" t="n"/>
      <c r="F25" s="66">
        <f>IF(B25="","", IFERROR(INDEX(Rates_Master!$E:$E, MATCH(B25, Rates_Master!$A:$A, 0)), 0))</f>
        <v/>
      </c>
      <c r="G25" s="34">
        <f>IF(OR(B25="", E25=""), 0, ROUND(E25 * F25, 2))</f>
        <v/>
      </c>
      <c r="H25" s="67" t="inlineStr"/>
    </row>
    <row r="26" ht="22" customHeight="1">
      <c r="A26" s="68" t="inlineStr">
        <is>
          <t>Direct Daily Operating Cost (W) (Rs):</t>
        </is>
      </c>
      <c r="B26" s="69" t="n"/>
      <c r="C26" s="69" t="n"/>
      <c r="D26" s="69" t="n"/>
      <c r="E26" s="69" t="n"/>
      <c r="F26" s="69" t="n"/>
      <c r="G26" s="70">
        <f>SUM(G18:G25)</f>
        <v/>
      </c>
      <c r="H26" s="69" t="n"/>
    </row>
    <row r="27" ht="22" customHeight="1">
      <c r="A27" s="71" t="inlineStr">
        <is>
          <t>Operating Cost per Single Round Trip (Rs):</t>
        </is>
      </c>
      <c r="B27" s="72" t="n"/>
      <c r="C27" s="72" t="n"/>
      <c r="D27" s="72" t="n"/>
      <c r="E27" s="72" t="n"/>
      <c r="F27" s="72" t="n"/>
      <c r="G27" s="73">
        <f>ROUND(G26 / D13, 2)</f>
        <v/>
      </c>
      <c r="H27" s="74" t="inlineStr">
        <is>
          <t>Evaluated operating cost per single round trip (= W / N)</t>
        </is>
      </c>
    </row>
    <row r="28" ht="10" customHeight="1"/>
    <row r="29" ht="24" customHeight="1">
      <c r="A29" s="42" t="inlineStr">
        <is>
          <t>2. STATUTORY MARKUPS &amp; UNIT RATE DERIVATION (CPWD CARRIAGE CONVENTION: 15% CPOH ONLY)</t>
        </is>
      </c>
    </row>
    <row r="30" ht="24" customHeight="1">
      <c r="A30" s="1" t="inlineStr">
        <is>
          <t>Item</t>
        </is>
      </c>
      <c r="B30" s="1" t="inlineStr">
        <is>
          <t>Description / Stage</t>
        </is>
      </c>
      <c r="C30" s="1" t="inlineStr">
        <is>
          <t>Apply? (YES/NO)</t>
        </is>
      </c>
      <c r="D30" s="1" t="inlineStr">
        <is>
          <t>Basis Applied</t>
        </is>
      </c>
      <c r="E30" s="1" t="inlineStr">
        <is>
          <t>Base Amount (Rs)</t>
        </is>
      </c>
      <c r="F30" s="1" t="inlineStr">
        <is>
          <t>Factor / %</t>
        </is>
      </c>
      <c r="G30" s="1" t="inlineStr">
        <is>
          <t>Amount (Rs)</t>
        </is>
      </c>
      <c r="H30" s="1" t="inlineStr">
        <is>
          <t>CPWD Statutory Rule &amp; Guidance Note</t>
        </is>
      </c>
    </row>
    <row r="31" ht="24" customHeight="1">
      <c r="A31" s="2" t="inlineStr">
        <is>
          <t>W</t>
        </is>
      </c>
      <c r="B31" s="75" t="inlineStr">
        <is>
          <t>Direct Daily Operating Cost (Truck + Labour + Fuel)</t>
        </is>
      </c>
      <c r="C31" s="76" t="inlineStr">
        <is>
          <t>-</t>
        </is>
      </c>
      <c r="D31" s="76" t="inlineStr">
        <is>
          <t>Direct Sum</t>
        </is>
      </c>
      <c r="E31" s="77" t="inlineStr">
        <is>
          <t>-</t>
        </is>
      </c>
      <c r="F31" s="77" t="inlineStr">
        <is>
          <t>-</t>
        </is>
      </c>
      <c r="G31" s="5">
        <f>G26</f>
        <v/>
      </c>
      <c r="H31" s="24" t="inlineStr">
        <is>
          <t>Total direct operating shift cost before statutory overheads</t>
        </is>
      </c>
    </row>
    <row r="32" ht="24" customHeight="1">
      <c r="A32" s="60" t="inlineStr">
        <is>
          <t>X1</t>
        </is>
      </c>
      <c r="B32" s="20" t="inlineStr">
        <is>
          <t>Add Water Charges (1% on W)</t>
        </is>
      </c>
      <c r="C32" s="44" t="inlineStr">
        <is>
          <t>NO</t>
        </is>
      </c>
      <c r="D32" s="19" t="inlineStr">
        <is>
          <t>On "W"</t>
        </is>
      </c>
      <c r="E32" s="78">
        <f>G31</f>
        <v/>
      </c>
      <c r="F32" s="79">
        <f>Factor_Water</f>
        <v/>
      </c>
      <c r="G32" s="80">
        <f>IF(C32="YES", ROUND(E32 * F32, 2), 0)</f>
        <v/>
      </c>
      <c r="H32" s="24" t="inlineStr">
        <is>
          <t>CPWD RULE: Omitted (NO) in Carriage items because no water is consumed in haulage.</t>
        </is>
      </c>
    </row>
    <row r="33" ht="24" customHeight="1">
      <c r="A33" s="2" t="inlineStr">
        <is>
          <t>X</t>
        </is>
      </c>
      <c r="B33" s="75" t="inlineStr">
        <is>
          <t>Subtotal "X" (W + Water Charges)</t>
        </is>
      </c>
      <c r="C33" s="76" t="inlineStr">
        <is>
          <t>-</t>
        </is>
      </c>
      <c r="D33" s="76" t="inlineStr">
        <is>
          <t>W + Water</t>
        </is>
      </c>
      <c r="E33" s="77" t="inlineStr">
        <is>
          <t>-</t>
        </is>
      </c>
      <c r="F33" s="77" t="inlineStr">
        <is>
          <t>-</t>
        </is>
      </c>
      <c r="G33" s="5">
        <f>G31 + G32</f>
        <v/>
      </c>
      <c r="H33" s="24" t="inlineStr">
        <is>
          <t>Base for GST (if applicable)</t>
        </is>
      </c>
    </row>
    <row r="34" ht="24" customHeight="1">
      <c r="A34" s="60" t="inlineStr">
        <is>
          <t>Y1</t>
        </is>
      </c>
      <c r="B34" s="20" t="inlineStr">
        <is>
          <t>Add GST (14.05% Works Contract Tax on X)</t>
        </is>
      </c>
      <c r="C34" s="44" t="inlineStr">
        <is>
          <t>NO</t>
        </is>
      </c>
      <c r="D34" s="19" t="inlineStr">
        <is>
          <t>On "X"</t>
        </is>
      </c>
      <c r="E34" s="78">
        <f>G33</f>
        <v/>
      </c>
      <c r="F34" s="79">
        <f>Factor_GST</f>
        <v/>
      </c>
      <c r="G34" s="80">
        <f>IF(C34="YES", ROUND(E34 * F34, 2), 0)</f>
        <v/>
      </c>
      <c r="H34" s="24" t="inlineStr">
        <is>
          <t>CPWD RULE: Base DAR 2019 carriage rates exclude GST. Keep NO for official DSR comparison.</t>
        </is>
      </c>
    </row>
    <row r="35" ht="24" customHeight="1">
      <c r="A35" s="2" t="inlineStr">
        <is>
          <t>Y</t>
        </is>
      </c>
      <c r="B35" s="75" t="inlineStr">
        <is>
          <t>Subtotal "Y" (X + GST)</t>
        </is>
      </c>
      <c r="C35" s="76" t="inlineStr">
        <is>
          <t>-</t>
        </is>
      </c>
      <c r="D35" s="76" t="inlineStr">
        <is>
          <t>X + GST</t>
        </is>
      </c>
      <c r="E35" s="77" t="inlineStr">
        <is>
          <t>-</t>
        </is>
      </c>
      <c r="F35" s="77" t="inlineStr">
        <is>
          <t>-</t>
        </is>
      </c>
      <c r="G35" s="5">
        <f>G33 + G34</f>
        <v/>
      </c>
      <c r="H35" s="24" t="inlineStr">
        <is>
          <t>Base for Contractor Profit &amp; Overheads (CPOH)</t>
        </is>
      </c>
    </row>
    <row r="36" ht="24" customHeight="1">
      <c r="A36" s="60" t="inlineStr">
        <is>
          <t>Z1</t>
        </is>
      </c>
      <c r="B36" s="20" t="inlineStr">
        <is>
          <t>Add Contractor Profit &amp; Overheads (15% on Y)</t>
        </is>
      </c>
      <c r="C36" s="44" t="inlineStr">
        <is>
          <t>YES</t>
        </is>
      </c>
      <c r="D36" s="19" t="inlineStr">
        <is>
          <t>On "Y"</t>
        </is>
      </c>
      <c r="E36" s="78">
        <f>G35</f>
        <v/>
      </c>
      <c r="F36" s="79">
        <f>Factor_CPOH</f>
        <v/>
      </c>
      <c r="G36" s="80">
        <f>IF(C36="YES", ROUND(E36 * F36, 2), 0)</f>
        <v/>
      </c>
      <c r="H36" s="24" t="inlineStr">
        <is>
          <t>CPWD RULE: Standard 15% CPOH is universally applied to all carriage items.</t>
        </is>
      </c>
    </row>
    <row r="37" ht="24" customHeight="1">
      <c r="A37" s="2" t="inlineStr">
        <is>
          <t>Z2</t>
        </is>
      </c>
      <c r="B37" s="75" t="inlineStr">
        <is>
          <t>Add BOCW Welfare Cess (1% on Y + CPOH)</t>
        </is>
      </c>
      <c r="C37" s="81" t="inlineStr">
        <is>
          <t>NO</t>
        </is>
      </c>
      <c r="D37" s="76" t="inlineStr">
        <is>
          <t>On "Y + CPOH"</t>
        </is>
      </c>
      <c r="E37" s="32">
        <f>G35 + G36</f>
        <v/>
      </c>
      <c r="F37" s="21">
        <f>Factor_Cess</f>
        <v/>
      </c>
      <c r="G37" s="5">
        <f>IF(C37="YES", ROUND(E37 * F37, 2), 0)</f>
        <v/>
      </c>
      <c r="H37" s="24" t="inlineStr">
        <is>
          <t>CPWD RULE: Cess is excluded in base rates; toggle YES only if project requires local cess.</t>
        </is>
      </c>
    </row>
    <row r="38" ht="24" customHeight="1">
      <c r="A38" s="30" t="inlineStr">
        <is>
          <t>Z</t>
        </is>
      </c>
      <c r="B38" s="82" t="inlineStr">
        <is>
          <t>Grand Total Daily Operating Cost with Overheads</t>
        </is>
      </c>
      <c r="C38" s="83" t="inlineStr">
        <is>
          <t>-</t>
        </is>
      </c>
      <c r="D38" s="83" t="inlineStr">
        <is>
          <t>Y + CPOH + Cess</t>
        </is>
      </c>
      <c r="E38" s="84" t="inlineStr">
        <is>
          <t>-</t>
        </is>
      </c>
      <c r="F38" s="84" t="inlineStr">
        <is>
          <t>-</t>
        </is>
      </c>
      <c r="G38" s="73">
        <f>G35 + G36 + G37</f>
        <v/>
      </c>
      <c r="H38" s="24" t="inlineStr">
        <is>
          <t>Total operating cost for 1 shift of 8 hours including 15% contractor profit &amp; overheads</t>
        </is>
      </c>
    </row>
    <row r="39" ht="24" customHeight="1">
      <c r="A39" s="2" t="inlineStr">
        <is>
          <t>-</t>
        </is>
      </c>
      <c r="B39" s="75" t="inlineStr">
        <is>
          <t>Cost per Single Round Trip with Overheads</t>
        </is>
      </c>
      <c r="C39" s="76" t="inlineStr">
        <is>
          <t>-</t>
        </is>
      </c>
      <c r="D39" s="76" t="inlineStr">
        <is>
          <t>Z / N Trips</t>
        </is>
      </c>
      <c r="E39" s="77">
        <f>G38</f>
        <v/>
      </c>
      <c r="F39" s="77">
        <f>D13</f>
        <v/>
      </c>
      <c r="G39" s="5">
        <f>ROUND(G38 / D13, 2)</f>
        <v/>
      </c>
      <c r="H39" s="24" t="inlineStr">
        <is>
          <t>Evaluated rate per single trip with overheads (= Total Cost Z / N)</t>
        </is>
      </c>
    </row>
    <row r="40" ht="24" customHeight="1">
      <c r="A40" s="2" t="inlineStr">
        <is>
          <t>-</t>
        </is>
      </c>
      <c r="B40" s="75" t="inlineStr">
        <is>
          <t>Analyzed Unit Rate per Billing Unit</t>
        </is>
      </c>
      <c r="C40" s="76" t="inlineStr">
        <is>
          <t>-</t>
        </is>
      </c>
      <c r="D40" s="76" t="inlineStr">
        <is>
          <t>Z / Total Output</t>
        </is>
      </c>
      <c r="E40" s="77">
        <f>G38</f>
        <v/>
      </c>
      <c r="F40" s="77">
        <f>H13</f>
        <v/>
      </c>
      <c r="G40" s="5">
        <f>ROUND(G38 / H13, 2)</f>
        <v/>
      </c>
      <c r="H40" s="24" t="inlineStr">
        <is>
          <t>Derived cost per individual billing unit (e.g. per metre, per cum, per tonne)</t>
        </is>
      </c>
    </row>
    <row r="41" ht="24" customHeight="1">
      <c r="A41" s="2" t="inlineStr">
        <is>
          <t>-</t>
        </is>
      </c>
      <c r="B41" s="75" t="inlineStr">
        <is>
          <t>Rate per Schedule Output Unit (100 m / 1000 Nos)</t>
        </is>
      </c>
      <c r="C41" s="76" t="inlineStr">
        <is>
          <t>-</t>
        </is>
      </c>
      <c r="D41" s="76" t="inlineStr">
        <is>
          <t>Basis Unit</t>
        </is>
      </c>
      <c r="E41" s="77">
        <f>B12</f>
        <v/>
      </c>
      <c r="F41" s="77" t="inlineStr">
        <is>
          <t>-</t>
        </is>
      </c>
      <c r="G41" s="5">
        <f>IF(OR(B12="100 m", B12="1000 Nos"), ROUND(G40 * 100, 2), G40)</f>
        <v/>
      </c>
      <c r="H41" s="24" t="inlineStr">
        <is>
          <t>Schedule rate formatted to CPWD DAR basis (e.g. per 100m for pipes, per 1000 for bricks)</t>
        </is>
      </c>
    </row>
    <row r="42" ht="30" customHeight="1">
      <c r="A42" s="85" t="inlineStr">
        <is>
          <t>SAY</t>
        </is>
      </c>
      <c r="B42" s="86" t="inlineStr">
        <is>
          <t>CPWD OFFICIAL "SAY" RATE FOR CARRIAGE (Linked to Contract Estimate):</t>
        </is>
      </c>
      <c r="C42" s="87" t="inlineStr">
        <is>
          <t>-</t>
        </is>
      </c>
      <c r="D42" s="87" t="inlineStr">
        <is>
          <t>Rounded per CPWD</t>
        </is>
      </c>
      <c r="E42" s="88" t="inlineStr">
        <is>
          <t>-</t>
        </is>
      </c>
      <c r="F42" s="88" t="inlineStr">
        <is>
          <t>-</t>
        </is>
      </c>
      <c r="G42" s="89">
        <f>IF(OR(B12="100 m", B12="1000 Nos"), ROUND(G41, 0), ROUND(G40, 2))</f>
        <v/>
      </c>
      <c r="H42" s="24" t="inlineStr">
        <is>
          <t>Final analytical rate ready for integration into BOQ and project cost estimates</t>
        </is>
      </c>
    </row>
    <row r="43" ht="10" customHeight="1"/>
    <row r="44" ht="24" customHeight="1">
      <c r="A44" s="42" t="inlineStr">
        <is>
          <t>3. HEADING 1.2: MANUAL LABOUR CARRIAGE CALCULATOR (For Lead Less Than 0.50 km / 50 m to 500 m)</t>
        </is>
      </c>
    </row>
    <row r="45" ht="22" customHeight="1">
      <c r="A45" s="90" t="inlineStr">
        <is>
          <t>CPWD DAR 2019 Item 1.2 Standards: Category A (Bulk Materials) = 7.67 Beldars 1st 50m (+1.67 Coolies/addl 50m). Category B (Heavy/Pipes/Steel) = 9.20 Beldars 1st 50m (+1.35 Beldars/addl 50m). All rates include 15% CPOH.</t>
        </is>
      </c>
    </row>
    <row r="46" ht="22" customHeight="1">
      <c r="A46" s="16" t="inlineStr">
        <is>
          <t>Manual Item Code:</t>
        </is>
      </c>
      <c r="B46" s="44" t="inlineStr">
        <is>
          <t>1.2.CUSTOM</t>
        </is>
      </c>
      <c r="C46" s="16" t="inlineStr">
        <is>
          <t>Material Category:</t>
        </is>
      </c>
      <c r="D46" s="44" t="inlineStr">
        <is>
          <t>Category B (Heavy / Pipes / Steel)</t>
        </is>
      </c>
      <c r="E46" s="16" t="inlineStr">
        <is>
          <t>Lead Distance (Metres):</t>
        </is>
      </c>
      <c r="F46" s="44" t="n">
        <v>100</v>
      </c>
      <c r="G46" s="16" t="inlineStr">
        <is>
          <t>Addl 50m Steps (M):</t>
        </is>
      </c>
      <c r="H46" s="91">
        <f>MAX(0, (F46 - 50) / 50)</f>
        <v/>
      </c>
    </row>
    <row r="47" ht="26" customHeight="1">
      <c r="A47" s="16" t="inlineStr">
        <is>
          <t>Manual Specification:</t>
        </is>
      </c>
      <c r="B47" s="46" t="inlineStr">
        <is>
          <t>Carriage by manual labour including loading, unloading and stacking for lead upto 100 metres complete as per directions of Engineer-in-charge.</t>
        </is>
      </c>
    </row>
    <row r="48" ht="22" customHeight="1">
      <c r="A48" s="16" t="inlineStr">
        <is>
          <t>8-Hour Output Capacity:</t>
        </is>
      </c>
      <c r="B48" s="53" t="n">
        <v>1702</v>
      </c>
      <c r="C48" s="16" t="inlineStr">
        <is>
          <t>Output / Billing Unit:</t>
        </is>
      </c>
      <c r="D48" s="44" t="inlineStr">
        <is>
          <t>100 m</t>
        </is>
      </c>
      <c r="E48" s="16" t="inlineStr">
        <is>
          <t>Base Labour 1st 50m (Rs):</t>
        </is>
      </c>
      <c r="F48" s="5">
        <f>IF(ISNUMBER(SEARCH("Category A", D46)), 4279.86, 5133.60)</f>
        <v/>
      </c>
      <c r="G48" s="16" t="inlineStr">
        <is>
          <t>Addl Labour / 50m (Rs):</t>
        </is>
      </c>
      <c r="H48" s="5">
        <f>IF(ISNUMBER(SEARCH("Category A", D46)), 931.86, 753.30)</f>
        <v/>
      </c>
    </row>
    <row r="49" ht="26" customHeight="1">
      <c r="A49" s="16" t="inlineStr">
        <is>
          <t>Total Labour Cost (Rs):</t>
        </is>
      </c>
      <c r="B49" s="5">
        <f>F48 + (H46 * H48)</f>
        <v/>
      </c>
      <c r="C49" s="16" t="inlineStr">
        <is>
          <t>Add 15% CPOH (Rs):</t>
        </is>
      </c>
      <c r="D49" s="5">
        <f>ROUND(B49 * 0.15, 2)</f>
        <v/>
      </c>
      <c r="E49" s="16" t="inlineStr">
        <is>
          <t>Total 8-Hr Cost with CPOH:</t>
        </is>
      </c>
      <c r="F49" s="73">
        <f>B49 + D49</f>
        <v/>
      </c>
      <c r="G49" s="16" t="inlineStr">
        <is>
          <t>Analyzed Unit Rate (Rs):</t>
        </is>
      </c>
      <c r="H49" s="89">
        <f>IF(OR(D48="100 m", D48="1000 Nos"), ROUND((F49 / B48) * 100, 2), ROUND(F49 / B48, 2))</f>
        <v/>
      </c>
    </row>
    <row r="50" ht="12" customHeight="1"/>
    <row r="51" ht="24" customHeight="1">
      <c r="A51" s="42" t="inlineStr">
        <is>
          <t>4. GROUND-TRUTH ENGINEERING REFERENCE BENCHMARKS (CPWD DAR 2019 SUB-HEAD 01)</t>
        </is>
      </c>
    </row>
    <row r="52" ht="22" customHeight="1">
      <c r="A52" s="42" t="inlineStr">
        <is>
          <t>4A. CPWD DAR 2019 DATA SHEET NO. 1 GROUND-TRUTH BENCHMARK (1 km to 30 km Mechanical Transport Reference)</t>
        </is>
      </c>
    </row>
    <row r="53" ht="24" customHeight="1">
      <c r="A53" s="1" t="inlineStr">
        <is>
          <t>Lead (L) (km)</t>
        </is>
      </c>
      <c r="B53" s="1" t="inlineStr">
        <is>
          <t>Avg Speed (S) (km/h)</t>
        </is>
      </c>
      <c r="C53" s="1" t="inlineStr">
        <is>
          <t>Trips (N) / Day</t>
        </is>
      </c>
      <c r="D53" s="1" t="inlineStr">
        <is>
          <t>Km Done / Day</t>
        </is>
      </c>
      <c r="E53" s="1" t="inlineStr">
        <is>
          <t>Diesel Qty (Litres)</t>
        </is>
      </c>
      <c r="F53" s="1" t="inlineStr">
        <is>
          <t>Mobil Oil (Litres)</t>
        </is>
      </c>
      <c r="G53" s="1" t="inlineStr">
        <is>
          <t>Total Shift Cost (Rs)</t>
        </is>
      </c>
      <c r="H53" s="1" t="inlineStr">
        <is>
          <t>Cost per Trip (Rs)</t>
        </is>
      </c>
    </row>
    <row r="54" ht="20" customHeight="1">
      <c r="A54" s="92" t="n">
        <v>1</v>
      </c>
      <c r="B54" s="93" t="n">
        <v>16</v>
      </c>
      <c r="C54" s="94" t="n">
        <v>7.11</v>
      </c>
      <c r="D54" s="35" t="n">
        <v>20.22</v>
      </c>
      <c r="E54" s="35" t="n">
        <v>4.04</v>
      </c>
      <c r="F54" s="95" t="n">
        <v>0.144</v>
      </c>
      <c r="G54" s="96" t="n">
        <v>5190.3</v>
      </c>
      <c r="H54" s="5" t="n">
        <v>730</v>
      </c>
    </row>
    <row r="55" ht="20" customHeight="1">
      <c r="A55" s="97" t="n">
        <v>2</v>
      </c>
      <c r="B55" s="98" t="n">
        <v>17</v>
      </c>
      <c r="C55" s="99" t="n">
        <v>6.48</v>
      </c>
      <c r="D55" s="36" t="n">
        <v>31.92</v>
      </c>
      <c r="E55" s="36" t="n">
        <v>6.38</v>
      </c>
      <c r="F55" s="100" t="n">
        <v>0.228</v>
      </c>
      <c r="G55" s="101" t="n">
        <v>5388.75</v>
      </c>
      <c r="H55" s="9" t="n">
        <v>831.6</v>
      </c>
    </row>
    <row r="56" ht="20" customHeight="1">
      <c r="A56" s="92" t="n">
        <v>3</v>
      </c>
      <c r="B56" s="93" t="n">
        <v>17.5</v>
      </c>
      <c r="C56" s="94" t="n">
        <v>5.96</v>
      </c>
      <c r="D56" s="35" t="n">
        <v>41.76</v>
      </c>
      <c r="E56" s="35" t="n">
        <v>8.35</v>
      </c>
      <c r="F56" s="95" t="n">
        <v>0.298</v>
      </c>
      <c r="G56" s="96" t="n">
        <v>5555.6</v>
      </c>
      <c r="H56" s="5" t="n">
        <v>932.15</v>
      </c>
    </row>
    <row r="57" ht="20" customHeight="1">
      <c r="A57" s="97" t="n">
        <v>4</v>
      </c>
      <c r="B57" s="98" t="n">
        <v>18</v>
      </c>
      <c r="C57" s="99" t="n">
        <v>5.54</v>
      </c>
      <c r="D57" s="36" t="n">
        <v>50.32</v>
      </c>
      <c r="E57" s="36" t="n">
        <v>10.06</v>
      </c>
      <c r="F57" s="100" t="n">
        <v>0.359</v>
      </c>
      <c r="G57" s="101" t="n">
        <v>5700.5</v>
      </c>
      <c r="H57" s="9" t="n">
        <v>1028.97</v>
      </c>
    </row>
    <row r="58" ht="20" customHeight="1">
      <c r="A58" s="92" t="n">
        <v>5</v>
      </c>
      <c r="B58" s="93" t="n">
        <v>18.5</v>
      </c>
      <c r="C58" s="94" t="n">
        <v>5.19</v>
      </c>
      <c r="D58" s="35" t="n">
        <v>57.9</v>
      </c>
      <c r="E58" s="35" t="n">
        <v>11.58</v>
      </c>
      <c r="F58" s="95" t="n">
        <v>0.414</v>
      </c>
      <c r="G58" s="96" t="n">
        <v>5829.54</v>
      </c>
      <c r="H58" s="5" t="n">
        <v>1123.23</v>
      </c>
    </row>
    <row r="59" ht="20" customHeight="1">
      <c r="A59" s="97" t="n">
        <v>6</v>
      </c>
      <c r="B59" s="98" t="n">
        <v>19</v>
      </c>
      <c r="C59" s="99" t="n">
        <v>4.9</v>
      </c>
      <c r="D59" s="36" t="n">
        <v>64.8</v>
      </c>
      <c r="E59" s="36" t="n">
        <v>12.96</v>
      </c>
      <c r="F59" s="100" t="n">
        <v>0.463</v>
      </c>
      <c r="G59" s="101" t="n">
        <v>5946.41</v>
      </c>
      <c r="H59" s="9" t="n">
        <v>1213.55</v>
      </c>
    </row>
    <row r="60" ht="20" customHeight="1">
      <c r="A60" s="92" t="n">
        <v>7</v>
      </c>
      <c r="B60" s="93" t="n">
        <v>19.5</v>
      </c>
      <c r="C60" s="94" t="n">
        <v>4.66</v>
      </c>
      <c r="D60" s="35" t="n">
        <v>71.23999999999999</v>
      </c>
      <c r="E60" s="35" t="n">
        <v>14.25</v>
      </c>
      <c r="F60" s="95" t="n">
        <v>0.509</v>
      </c>
      <c r="G60" s="96" t="n">
        <v>6055.72</v>
      </c>
      <c r="H60" s="5" t="n">
        <v>1299.51</v>
      </c>
    </row>
    <row r="61" ht="20" customHeight="1">
      <c r="A61" s="97" t="n">
        <v>8</v>
      </c>
      <c r="B61" s="98" t="n">
        <v>20</v>
      </c>
      <c r="C61" s="99" t="n">
        <v>4.44</v>
      </c>
      <c r="D61" s="36" t="n">
        <v>77.04000000000001</v>
      </c>
      <c r="E61" s="36" t="n">
        <v>15.41</v>
      </c>
      <c r="F61" s="100" t="n">
        <v>0.55</v>
      </c>
      <c r="G61" s="101" t="n">
        <v>6153.89</v>
      </c>
      <c r="H61" s="9" t="n">
        <v>1386.01</v>
      </c>
    </row>
    <row r="62" ht="20" customHeight="1">
      <c r="A62" s="92" t="n">
        <v>9</v>
      </c>
      <c r="B62" s="93" t="n">
        <v>20.5</v>
      </c>
      <c r="C62" s="94" t="n">
        <v>4.26</v>
      </c>
      <c r="D62" s="35" t="n">
        <v>82.68000000000001</v>
      </c>
      <c r="E62" s="35" t="n">
        <v>16.54</v>
      </c>
      <c r="F62" s="95" t="n">
        <v>0.591</v>
      </c>
      <c r="G62" s="96" t="n">
        <v>6249.86</v>
      </c>
      <c r="H62" s="5" t="n">
        <v>1467.1</v>
      </c>
    </row>
    <row r="63" ht="20" customHeight="1">
      <c r="A63" s="97" t="n">
        <v>10</v>
      </c>
      <c r="B63" s="98" t="n">
        <v>21</v>
      </c>
      <c r="C63" s="99" t="n">
        <v>4.1</v>
      </c>
      <c r="D63" s="36" t="n">
        <v>88</v>
      </c>
      <c r="E63" s="36" t="n">
        <v>17.6</v>
      </c>
      <c r="F63" s="100" t="n">
        <v>0.629</v>
      </c>
      <c r="G63" s="101" t="n">
        <v>6339.74</v>
      </c>
      <c r="H63" s="9" t="n">
        <v>1546.28</v>
      </c>
    </row>
    <row r="64" ht="20" customHeight="1">
      <c r="A64" s="92" t="n">
        <v>11</v>
      </c>
      <c r="B64" s="93" t="n">
        <v>21.5</v>
      </c>
      <c r="C64" s="94" t="n">
        <v>3.95</v>
      </c>
      <c r="D64" s="35" t="n">
        <v>92.90000000000001</v>
      </c>
      <c r="E64" s="35" t="n">
        <v>18.58</v>
      </c>
      <c r="F64" s="95" t="n">
        <v>0.664</v>
      </c>
      <c r="G64" s="96" t="n">
        <v>6422.79</v>
      </c>
      <c r="H64" s="5" t="n">
        <v>1626.02</v>
      </c>
    </row>
    <row r="65" ht="20" customHeight="1">
      <c r="A65" s="97" t="n">
        <v>12</v>
      </c>
      <c r="B65" s="98" t="n">
        <v>22</v>
      </c>
      <c r="C65" s="99" t="n">
        <v>3.83</v>
      </c>
      <c r="D65" s="36" t="n">
        <v>97.92</v>
      </c>
      <c r="E65" s="36" t="n">
        <v>19.58</v>
      </c>
      <c r="F65" s="100" t="n">
        <v>0.699</v>
      </c>
      <c r="G65" s="101" t="n">
        <v>6507.32</v>
      </c>
      <c r="H65" s="9" t="n">
        <v>1699.04</v>
      </c>
    </row>
    <row r="66" ht="20" customHeight="1">
      <c r="A66" s="92" t="n">
        <v>13</v>
      </c>
      <c r="B66" s="93" t="n">
        <v>22.5</v>
      </c>
      <c r="C66" s="94" t="n">
        <v>3.71</v>
      </c>
      <c r="D66" s="35" t="n">
        <v>102.46</v>
      </c>
      <c r="E66" s="35" t="n">
        <v>20.49</v>
      </c>
      <c r="F66" s="95" t="n">
        <v>0.732</v>
      </c>
      <c r="G66" s="96" t="n">
        <v>6584.6</v>
      </c>
      <c r="H66" s="5" t="n">
        <v>1774.82</v>
      </c>
    </row>
    <row r="67" ht="20" customHeight="1">
      <c r="A67" s="97" t="n">
        <v>14</v>
      </c>
      <c r="B67" s="98" t="n">
        <v>23</v>
      </c>
      <c r="C67" s="99" t="n">
        <v>3.61</v>
      </c>
      <c r="D67" s="36" t="n">
        <v>107.08</v>
      </c>
      <c r="E67" s="36" t="n">
        <v>21.42</v>
      </c>
      <c r="F67" s="100" t="n">
        <v>0.765</v>
      </c>
      <c r="G67" s="101" t="n">
        <v>6663.35</v>
      </c>
      <c r="H67" s="9" t="n">
        <v>1845.8</v>
      </c>
    </row>
    <row r="68" ht="20" customHeight="1">
      <c r="A68" s="92" t="n">
        <v>15</v>
      </c>
      <c r="B68" s="93" t="n">
        <v>23.5</v>
      </c>
      <c r="C68" s="94" t="n">
        <v>3.51</v>
      </c>
      <c r="D68" s="35" t="n">
        <v>111.3</v>
      </c>
      <c r="E68" s="35" t="n">
        <v>22.26</v>
      </c>
      <c r="F68" s="95" t="n">
        <v>0.795</v>
      </c>
      <c r="G68" s="96" t="n">
        <v>6734.54</v>
      </c>
      <c r="H68" s="5" t="n">
        <v>1918.67</v>
      </c>
    </row>
    <row r="69" ht="20" customHeight="1">
      <c r="A69" s="97" t="n">
        <v>16</v>
      </c>
      <c r="B69" s="98" t="n">
        <v>24</v>
      </c>
      <c r="C69" s="99" t="n">
        <v>3.43</v>
      </c>
      <c r="D69" s="36" t="n">
        <v>115.76</v>
      </c>
      <c r="E69" s="36" t="n">
        <v>23.15</v>
      </c>
      <c r="F69" s="100" t="n">
        <v>0.827</v>
      </c>
      <c r="G69" s="101" t="n">
        <v>6810.04</v>
      </c>
      <c r="H69" s="9" t="n">
        <v>1985.43</v>
      </c>
    </row>
    <row r="70" ht="20" customHeight="1">
      <c r="A70" s="92" t="n">
        <v>17</v>
      </c>
      <c r="B70" s="93" t="n">
        <v>24.5</v>
      </c>
      <c r="C70" s="94" t="n">
        <v>3.35</v>
      </c>
      <c r="D70" s="35" t="n">
        <v>119.9</v>
      </c>
      <c r="E70" s="35" t="n">
        <v>23.98</v>
      </c>
      <c r="F70" s="95" t="n">
        <v>0.856</v>
      </c>
      <c r="G70" s="96" t="n">
        <v>6880.17</v>
      </c>
      <c r="H70" s="5" t="n">
        <v>2053.78</v>
      </c>
    </row>
    <row r="71" ht="20" customHeight="1">
      <c r="A71" s="97" t="n">
        <v>18</v>
      </c>
      <c r="B71" s="98" t="n">
        <v>25</v>
      </c>
      <c r="C71" s="99" t="n">
        <v>3.28</v>
      </c>
      <c r="D71" s="36" t="n">
        <v>124.08</v>
      </c>
      <c r="E71" s="36" t="n">
        <v>24.82</v>
      </c>
      <c r="F71" s="100" t="n">
        <v>0.886</v>
      </c>
      <c r="G71" s="101" t="n">
        <v>6951.36</v>
      </c>
      <c r="H71" s="9" t="n">
        <v>2119.32</v>
      </c>
    </row>
    <row r="72" ht="20" customHeight="1">
      <c r="A72" s="92" t="n">
        <v>19</v>
      </c>
      <c r="B72" s="93" t="n">
        <v>25.5</v>
      </c>
      <c r="C72" s="94" t="n">
        <v>3.21</v>
      </c>
      <c r="D72" s="35" t="n">
        <v>127.98</v>
      </c>
      <c r="E72" s="35" t="n">
        <v>25.6</v>
      </c>
      <c r="F72" s="95" t="n">
        <v>0.914</v>
      </c>
      <c r="G72" s="96" t="n">
        <v>7017.51</v>
      </c>
      <c r="H72" s="5" t="n">
        <v>2186.14</v>
      </c>
    </row>
    <row r="73" ht="20" customHeight="1">
      <c r="A73" s="97" t="n">
        <v>20</v>
      </c>
      <c r="B73" s="98" t="n">
        <v>26</v>
      </c>
      <c r="C73" s="99" t="n">
        <v>3.15</v>
      </c>
      <c r="D73" s="36" t="n">
        <v>132</v>
      </c>
      <c r="E73" s="36" t="n">
        <v>26.4</v>
      </c>
      <c r="F73" s="100" t="n">
        <v>0.9429999999999999</v>
      </c>
      <c r="G73" s="101" t="n">
        <v>7085.45</v>
      </c>
      <c r="H73" s="9" t="n">
        <v>2249.35</v>
      </c>
    </row>
    <row r="74" ht="20" customHeight="1">
      <c r="A74" s="92" t="n">
        <v>21</v>
      </c>
      <c r="B74" s="93" t="n">
        <v>26.5</v>
      </c>
      <c r="C74" s="94" t="n">
        <v>3.09</v>
      </c>
      <c r="D74" s="35" t="n">
        <v>135.78</v>
      </c>
      <c r="E74" s="35" t="n">
        <v>27.16</v>
      </c>
      <c r="F74" s="95" t="n">
        <v>0.97</v>
      </c>
      <c r="G74" s="96" t="n">
        <v>7149.81</v>
      </c>
      <c r="H74" s="5" t="n">
        <v>2313.85</v>
      </c>
    </row>
    <row r="75" ht="20" customHeight="1">
      <c r="A75" s="97" t="n">
        <v>22</v>
      </c>
      <c r="B75" s="98" t="n">
        <v>27</v>
      </c>
      <c r="C75" s="99" t="n">
        <v>3.04</v>
      </c>
      <c r="D75" s="36" t="n">
        <v>139.76</v>
      </c>
      <c r="E75" s="36" t="n">
        <v>27.95</v>
      </c>
      <c r="F75" s="100" t="n">
        <v>0.998</v>
      </c>
      <c r="G75" s="101" t="n">
        <v>7216.7</v>
      </c>
      <c r="H75" s="9" t="n">
        <v>2373.91</v>
      </c>
    </row>
    <row r="76" ht="20" customHeight="1">
      <c r="A76" s="92" t="n">
        <v>23</v>
      </c>
      <c r="B76" s="93" t="n">
        <v>27.5</v>
      </c>
      <c r="C76" s="94" t="n">
        <v>2.99</v>
      </c>
      <c r="D76" s="35" t="n">
        <v>143.54</v>
      </c>
      <c r="E76" s="35" t="n">
        <v>28.71</v>
      </c>
      <c r="F76" s="95" t="n">
        <v>1.025</v>
      </c>
      <c r="G76" s="96" t="n">
        <v>7281.07</v>
      </c>
      <c r="H76" s="5" t="n">
        <v>2435.14</v>
      </c>
    </row>
    <row r="77" ht="20" customHeight="1">
      <c r="A77" s="97" t="n">
        <v>24</v>
      </c>
      <c r="B77" s="98" t="n">
        <v>28</v>
      </c>
      <c r="C77" s="99" t="n">
        <v>2.95</v>
      </c>
      <c r="D77" s="36" t="n">
        <v>147.6</v>
      </c>
      <c r="E77" s="36" t="n">
        <v>29.52</v>
      </c>
      <c r="F77" s="100" t="n">
        <v>1.054</v>
      </c>
      <c r="G77" s="101" t="n">
        <v>7349.73</v>
      </c>
      <c r="H77" s="9" t="n">
        <v>2491.43</v>
      </c>
    </row>
    <row r="78" ht="20" customHeight="1">
      <c r="A78" s="92" t="n">
        <v>25</v>
      </c>
      <c r="B78" s="93" t="n">
        <v>28.5</v>
      </c>
      <c r="C78" s="94" t="n">
        <v>2.9</v>
      </c>
      <c r="D78" s="35" t="n">
        <v>151</v>
      </c>
      <c r="E78" s="35" t="n">
        <v>30.2</v>
      </c>
      <c r="F78" s="95" t="n">
        <v>1.079</v>
      </c>
      <c r="G78" s="96" t="n">
        <v>7407.59</v>
      </c>
      <c r="H78" s="5" t="n">
        <v>2554.34</v>
      </c>
    </row>
    <row r="79" ht="20" customHeight="1">
      <c r="A79" s="97" t="n">
        <v>26</v>
      </c>
      <c r="B79" s="98" t="n">
        <v>29</v>
      </c>
      <c r="C79" s="99" t="n">
        <v>2.86</v>
      </c>
      <c r="D79" s="36" t="n">
        <v>154.72</v>
      </c>
      <c r="E79" s="36" t="n">
        <v>30.94</v>
      </c>
      <c r="F79" s="100" t="n">
        <v>1.105</v>
      </c>
      <c r="G79" s="101" t="n">
        <v>7470.17</v>
      </c>
      <c r="H79" s="9" t="n">
        <v>2611.95</v>
      </c>
    </row>
    <row r="80" ht="20" customHeight="1">
      <c r="A80" s="92" t="n">
        <v>27</v>
      </c>
      <c r="B80" s="93" t="n">
        <v>29.5</v>
      </c>
      <c r="C80" s="94" t="n">
        <v>2.83</v>
      </c>
      <c r="D80" s="35" t="n">
        <v>158.82</v>
      </c>
      <c r="E80" s="35" t="n">
        <v>31.76</v>
      </c>
      <c r="F80" s="95" t="n">
        <v>1.134</v>
      </c>
      <c r="G80" s="96" t="n">
        <v>7539.57</v>
      </c>
      <c r="H80" s="5" t="n">
        <v>2664.16</v>
      </c>
    </row>
    <row r="81" ht="20" customHeight="1">
      <c r="A81" s="97" t="n">
        <v>28</v>
      </c>
      <c r="B81" s="98" t="n">
        <v>30</v>
      </c>
      <c r="C81" s="99" t="n">
        <v>2.79</v>
      </c>
      <c r="D81" s="36" t="n">
        <v>162.24</v>
      </c>
      <c r="E81" s="36" t="n">
        <v>32.45</v>
      </c>
      <c r="F81" s="100" t="n">
        <v>1.159</v>
      </c>
      <c r="G81" s="101" t="n">
        <v>7598.17</v>
      </c>
      <c r="H81" s="9" t="n">
        <v>2723.36</v>
      </c>
    </row>
    <row r="82" ht="20" customHeight="1">
      <c r="A82" s="92" t="n">
        <v>29</v>
      </c>
      <c r="B82" s="93" t="n">
        <v>30.5</v>
      </c>
      <c r="C82" s="94" t="n">
        <v>2.76</v>
      </c>
      <c r="D82" s="35" t="n">
        <v>166.08</v>
      </c>
      <c r="E82" s="35" t="n">
        <v>33.22</v>
      </c>
      <c r="F82" s="95" t="n">
        <v>1.186</v>
      </c>
      <c r="G82" s="96" t="n">
        <v>7663.26</v>
      </c>
      <c r="H82" s="5" t="n">
        <v>2776.54</v>
      </c>
    </row>
    <row r="83" ht="20" customHeight="1">
      <c r="A83" s="97" t="n">
        <v>30</v>
      </c>
      <c r="B83" s="98" t="n">
        <v>31</v>
      </c>
      <c r="C83" s="99" t="n">
        <v>2.73</v>
      </c>
      <c r="D83" s="36" t="n">
        <v>169.8</v>
      </c>
      <c r="E83" s="36" t="n">
        <v>33.96</v>
      </c>
      <c r="F83" s="100" t="n">
        <v>1.213</v>
      </c>
      <c r="G83" s="101" t="n">
        <v>7726.16</v>
      </c>
      <c r="H83" s="9" t="n">
        <v>2830.1</v>
      </c>
    </row>
    <row r="84" ht="20" customHeight="1">
      <c r="A84" s="102" t="inlineStr">
        <is>
          <t>NOTES: N=8/((2L/S)+1); Km Done=(2NL)+6.0; Diesel=Km/5.0; Mobil Oil=Km/140.0; Cost=Diesel+Oil+Rs 3348 (6 Beldars)+Rs 1500 (Truck); Cost/Trip=Total Cost/N.</t>
        </is>
      </c>
    </row>
    <row r="85" ht="10" customHeight="1"/>
    <row r="86" ht="22" customHeight="1">
      <c r="A86" s="42" t="inlineStr">
        <is>
          <t>4B. CPWD DAR STANDARD MATERIAL PAYLOAD CAPACITIES MATRIX (Table 1.1 Technical Reference &amp; Dropdown Source)</t>
        </is>
      </c>
    </row>
    <row r="87" ht="24" customHeight="1">
      <c r="A87" s="1" t="inlineStr">
        <is>
          <t>DAR Code</t>
        </is>
      </c>
      <c r="B87" s="1" t="inlineStr">
        <is>
          <t>Material / Trade Specification</t>
        </is>
      </c>
      <c r="C87" s="1" t="inlineStr">
        <is>
          <t>Truck Payload / Trip</t>
        </is>
      </c>
      <c r="D87" s="1" t="inlineStr">
        <is>
          <t>Net Payable Qty</t>
        </is>
      </c>
      <c r="E87" s="1" t="inlineStr">
        <is>
          <t>Schedule Unit</t>
        </is>
      </c>
      <c r="F87" s="1" t="inlineStr">
        <is>
          <t>Looseness Allowance / Technical Norms</t>
        </is>
      </c>
      <c r="G87" s="1" t="inlineStr">
        <is>
          <t>Base Rate 1 km (Rs)</t>
        </is>
      </c>
      <c r="H87" s="1" t="inlineStr">
        <is>
          <t>Addl Rate &gt;20 km (Rs)</t>
        </is>
      </c>
    </row>
    <row r="88" ht="20" customHeight="1">
      <c r="A88" s="2" t="inlineStr">
        <is>
          <t>1.1.1</t>
        </is>
      </c>
      <c r="B88" s="3" t="inlineStr">
        <is>
          <t>Lime, moorum, building rubbish, malba</t>
        </is>
      </c>
      <c r="C88" s="35" t="n">
        <v>8</v>
      </c>
      <c r="D88" s="35" t="n">
        <v>8</v>
      </c>
      <c r="E88" s="4" t="inlineStr">
        <is>
          <t>cum</t>
        </is>
      </c>
      <c r="F88" s="3" t="inlineStr">
        <is>
          <t>Nil looseness deduction; full 8.0 cum payable</t>
        </is>
      </c>
      <c r="G88" s="32" t="n">
        <v>104.94</v>
      </c>
      <c r="H88" s="32" t="n">
        <v>8.35</v>
      </c>
    </row>
    <row r="89" ht="20" customHeight="1">
      <c r="A89" s="6" t="inlineStr">
        <is>
          <t>1.1.2</t>
        </is>
      </c>
      <c r="B89" s="7" t="inlineStr">
        <is>
          <t>Earth (excavated soil / good earth)</t>
        </is>
      </c>
      <c r="C89" s="36" t="n">
        <v>8</v>
      </c>
      <c r="D89" s="36" t="n">
        <v>6.4</v>
      </c>
      <c r="E89" s="8" t="inlineStr">
        <is>
          <t>cum</t>
        </is>
      </c>
      <c r="F89" s="7" t="inlineStr">
        <is>
          <t>20% deduction for looseness (Net = 6.40 cum)</t>
        </is>
      </c>
      <c r="G89" s="34" t="n">
        <v>131.17</v>
      </c>
      <c r="H89" s="34" t="n">
        <v>10.44</v>
      </c>
    </row>
    <row r="90" ht="20" customHeight="1">
      <c r="A90" s="2" t="inlineStr">
        <is>
          <t>1.1.3</t>
        </is>
      </c>
      <c r="B90" s="3" t="inlineStr">
        <is>
          <t>Manure or sludge</t>
        </is>
      </c>
      <c r="C90" s="35" t="n">
        <v>8</v>
      </c>
      <c r="D90" s="35" t="n">
        <v>7.36</v>
      </c>
      <c r="E90" s="4" t="inlineStr">
        <is>
          <t>cum</t>
        </is>
      </c>
      <c r="F90" s="3" t="inlineStr">
        <is>
          <t>8% deduction for looseness (Net = 7.36 cum)</t>
        </is>
      </c>
      <c r="G90" s="32" t="n">
        <v>114.06</v>
      </c>
      <c r="H90" s="32" t="n">
        <v>9.08</v>
      </c>
    </row>
    <row r="91" ht="20" customHeight="1">
      <c r="A91" s="6" t="inlineStr">
        <is>
          <t>1.1.4</t>
        </is>
      </c>
      <c r="B91" s="7" t="inlineStr">
        <is>
          <t>Excavated rock</t>
        </is>
      </c>
      <c r="C91" s="36" t="n">
        <v>8</v>
      </c>
      <c r="D91" s="36" t="n">
        <v>4</v>
      </c>
      <c r="E91" s="8" t="inlineStr">
        <is>
          <t>cum</t>
        </is>
      </c>
      <c r="F91" s="7" t="inlineStr">
        <is>
          <t>50% deduction for voids/looseness (Net = 4.00 cum)</t>
        </is>
      </c>
      <c r="G91" s="34" t="n">
        <v>209.88</v>
      </c>
      <c r="H91" s="34" t="n">
        <v>16.7</v>
      </c>
    </row>
    <row r="92" ht="20" customHeight="1">
      <c r="A92" s="2" t="inlineStr">
        <is>
          <t>1.1.5</t>
        </is>
      </c>
      <c r="B92" s="3" t="inlineStr">
        <is>
          <t>Sand, stone aggregate below 40 mm</t>
        </is>
      </c>
      <c r="C92" s="35" t="n">
        <v>8</v>
      </c>
      <c r="D92" s="35" t="n">
        <v>8</v>
      </c>
      <c r="E92" s="4" t="inlineStr">
        <is>
          <t>cum</t>
        </is>
      </c>
      <c r="F92" s="3" t="inlineStr">
        <is>
          <t>Nil looseness deduction; standard density 8.0 cum</t>
        </is>
      </c>
      <c r="G92" s="32" t="n">
        <v>104.94</v>
      </c>
      <c r="H92" s="32" t="n">
        <v>8.35</v>
      </c>
    </row>
    <row r="93" ht="20" customHeight="1">
      <c r="A93" s="6" t="inlineStr">
        <is>
          <t>1.1.6</t>
        </is>
      </c>
      <c r="B93" s="7" t="inlineStr">
        <is>
          <t>Stone aggregate 40 mm nominal size &amp; above</t>
        </is>
      </c>
      <c r="C93" s="36" t="n">
        <v>8</v>
      </c>
      <c r="D93" s="36" t="n">
        <v>7.36</v>
      </c>
      <c r="E93" s="8" t="inlineStr">
        <is>
          <t>cum</t>
        </is>
      </c>
      <c r="F93" s="7" t="inlineStr">
        <is>
          <t>8% deduction for voids in coarse aggregate</t>
        </is>
      </c>
      <c r="G93" s="34" t="n">
        <v>114.06</v>
      </c>
      <c r="H93" s="34" t="n">
        <v>9.08</v>
      </c>
    </row>
    <row r="94" ht="20" customHeight="1">
      <c r="A94" s="2" t="inlineStr">
        <is>
          <t>1.1.7</t>
        </is>
      </c>
      <c r="B94" s="3" t="inlineStr">
        <is>
          <t>Soling stone &amp; masonry stone</t>
        </is>
      </c>
      <c r="C94" s="35" t="n">
        <v>8</v>
      </c>
      <c r="D94" s="35" t="n">
        <v>6.8</v>
      </c>
      <c r="E94" s="4" t="inlineStr">
        <is>
          <t>cum</t>
        </is>
      </c>
      <c r="F94" s="3" t="inlineStr">
        <is>
          <t>15% deduction for stack voids (Net = 6.80 cum)</t>
        </is>
      </c>
      <c r="G94" s="32" t="n">
        <v>123.46</v>
      </c>
      <c r="H94" s="32" t="n">
        <v>9.82</v>
      </c>
    </row>
    <row r="95" ht="20" customHeight="1">
      <c r="A95" s="6" t="inlineStr">
        <is>
          <t>1.1.8</t>
        </is>
      </c>
      <c r="B95" s="7" t="inlineStr">
        <is>
          <t>Bricks (standard modular / conventional)</t>
        </is>
      </c>
      <c r="C95" s="36" t="n">
        <v>3000</v>
      </c>
      <c r="D95" s="36" t="n">
        <v>3000</v>
      </c>
      <c r="E95" s="8" t="inlineStr">
        <is>
          <t>1000 Nos</t>
        </is>
      </c>
      <c r="F95" s="7" t="inlineStr">
        <is>
          <t>3,000 Bricks per 9-tonne truck load</t>
        </is>
      </c>
      <c r="G95" s="34" t="n">
        <v>279.83</v>
      </c>
      <c r="H95" s="34" t="n">
        <v>22.26</v>
      </c>
    </row>
    <row r="96" ht="20" customHeight="1">
      <c r="A96" s="2" t="inlineStr">
        <is>
          <t>1.1.9</t>
        </is>
      </c>
      <c r="B96" s="3" t="inlineStr">
        <is>
          <t>Brick tiles / Allahabad roofing tiles</t>
        </is>
      </c>
      <c r="C96" s="35" t="n">
        <v>5000</v>
      </c>
      <c r="D96" s="35" t="n">
        <v>5000</v>
      </c>
      <c r="E96" s="4" t="inlineStr">
        <is>
          <t>1000 Nos</t>
        </is>
      </c>
      <c r="F96" s="3" t="inlineStr">
        <is>
          <t>5,000 Tiles per 9-tonne truck load</t>
        </is>
      </c>
      <c r="G96" s="32" t="n">
        <v>167.9</v>
      </c>
      <c r="H96" s="32" t="n">
        <v>13.36</v>
      </c>
    </row>
    <row r="97" ht="20" customHeight="1">
      <c r="A97" s="6" t="inlineStr">
        <is>
          <t>1.1.10</t>
        </is>
      </c>
      <c r="B97" s="7" t="inlineStr">
        <is>
          <t>Cement, stone blocks, Kota stone slabs</t>
        </is>
      </c>
      <c r="C97" s="36" t="n">
        <v>9</v>
      </c>
      <c r="D97" s="36" t="n">
        <v>9</v>
      </c>
      <c r="E97" s="8" t="inlineStr">
        <is>
          <t>tonne</t>
        </is>
      </c>
      <c r="F97" s="7" t="inlineStr">
        <is>
          <t>Rated maximum truck payload capacity = 9 tonnes</t>
        </is>
      </c>
      <c r="G97" s="34" t="n">
        <v>93.28</v>
      </c>
      <c r="H97" s="34" t="n">
        <v>7.42</v>
      </c>
    </row>
    <row r="98" ht="20" customHeight="1">
      <c r="A98" s="2" t="inlineStr">
        <is>
          <t>1.1.11</t>
        </is>
      </c>
      <c r="B98" s="3" t="inlineStr">
        <is>
          <t>Steel bars, structural sections &amp; fabric</t>
        </is>
      </c>
      <c r="C98" s="35" t="n">
        <v>9</v>
      </c>
      <c r="D98" s="35" t="n">
        <v>9</v>
      </c>
      <c r="E98" s="4" t="inlineStr">
        <is>
          <t>tonne</t>
        </is>
      </c>
      <c r="F98" s="3" t="inlineStr">
        <is>
          <t>Rated maximum truck payload capacity = 9 tonnes</t>
        </is>
      </c>
      <c r="G98" s="32" t="n">
        <v>93.28</v>
      </c>
      <c r="H98" s="32" t="n">
        <v>7.42</v>
      </c>
    </row>
    <row r="99" ht="20" customHeight="1">
      <c r="A99" s="6" t="inlineStr">
        <is>
          <t>1.1.12</t>
        </is>
      </c>
      <c r="B99" s="7" t="inlineStr">
        <is>
          <t>Timber (scantlings / logs)</t>
        </is>
      </c>
      <c r="C99" s="36" t="n">
        <v>7</v>
      </c>
      <c r="D99" s="36" t="n">
        <v>7</v>
      </c>
      <c r="E99" s="8" t="inlineStr">
        <is>
          <t>cum</t>
        </is>
      </c>
      <c r="F99" s="7" t="inlineStr">
        <is>
          <t>Volume limit on timber body = 7.0 cum</t>
        </is>
      </c>
      <c r="G99" s="34" t="n">
        <v>119.93</v>
      </c>
      <c r="H99" s="34" t="n">
        <v>9.539999999999999</v>
      </c>
    </row>
    <row r="100" ht="20" customHeight="1">
      <c r="A100" s="2" t="inlineStr">
        <is>
          <t>1.1.13</t>
        </is>
      </c>
      <c r="B100" s="3" t="inlineStr">
        <is>
          <t>Tar, bitumen in drums</t>
        </is>
      </c>
      <c r="C100" s="35" t="n">
        <v>8</v>
      </c>
      <c r="D100" s="35" t="n">
        <v>8</v>
      </c>
      <c r="E100" s="4" t="inlineStr">
        <is>
          <t>tonne</t>
        </is>
      </c>
      <c r="F100" s="3" t="inlineStr">
        <is>
          <t>Packed drum loading capacity = 8 tonnes</t>
        </is>
      </c>
      <c r="G100" s="32" t="n">
        <v>104.94</v>
      </c>
      <c r="H100" s="32" t="n">
        <v>8.35</v>
      </c>
    </row>
    <row r="101" ht="20" customHeight="1">
      <c r="A101" s="6" t="inlineStr">
        <is>
          <t>1.1.14</t>
        </is>
      </c>
      <c r="B101" s="7" t="inlineStr">
        <is>
          <t>Steam coal</t>
        </is>
      </c>
      <c r="C101" s="36" t="n">
        <v>7</v>
      </c>
      <c r="D101" s="36" t="n">
        <v>7</v>
      </c>
      <c r="E101" s="8" t="inlineStr">
        <is>
          <t>tonne</t>
        </is>
      </c>
      <c r="F101" s="7" t="inlineStr">
        <is>
          <t>Bulk density volume restriction = 7 tonnes</t>
        </is>
      </c>
      <c r="G101" s="34" t="n">
        <v>119.93</v>
      </c>
      <c r="H101" s="34" t="n">
        <v>9.539999999999999</v>
      </c>
    </row>
    <row r="102" ht="20" customHeight="1">
      <c r="A102" s="2" t="inlineStr">
        <is>
          <t>1.1.15.1</t>
        </is>
      </c>
      <c r="B102" s="3" t="inlineStr">
        <is>
          <t>S.W. pipes 100 mm dia</t>
        </is>
      </c>
      <c r="C102" s="35" t="n">
        <v>600</v>
      </c>
      <c r="D102" s="35" t="n">
        <v>600</v>
      </c>
      <c r="E102" s="4" t="inlineStr">
        <is>
          <t>100 m</t>
        </is>
      </c>
      <c r="F102" s="3" t="inlineStr">
        <is>
          <t>Payload capacity = 600 metres (6 x 100 m)</t>
        </is>
      </c>
      <c r="G102" s="32" t="n">
        <v>139.92</v>
      </c>
      <c r="H102" s="32" t="n">
        <v>11.13</v>
      </c>
    </row>
    <row r="103" ht="20" customHeight="1">
      <c r="A103" s="6" t="inlineStr">
        <is>
          <t>1.1.15.2</t>
        </is>
      </c>
      <c r="B103" s="7" t="inlineStr">
        <is>
          <t>S.W. pipes 150 mm dia</t>
        </is>
      </c>
      <c r="C103" s="36" t="n">
        <v>300</v>
      </c>
      <c r="D103" s="36" t="n">
        <v>300</v>
      </c>
      <c r="E103" s="8" t="inlineStr">
        <is>
          <t>100 m</t>
        </is>
      </c>
      <c r="F103" s="7" t="inlineStr">
        <is>
          <t>Payload capacity = 300 metres (3 x 100 m)</t>
        </is>
      </c>
      <c r="G103" s="34" t="n">
        <v>279.83</v>
      </c>
      <c r="H103" s="34" t="n">
        <v>22.26</v>
      </c>
    </row>
    <row r="104" ht="20" customHeight="1">
      <c r="A104" s="2" t="inlineStr">
        <is>
          <t>1.1.16.1</t>
        </is>
      </c>
      <c r="B104" s="3" t="inlineStr">
        <is>
          <t>R.C.C. / C.I. pipes 100 mm dia</t>
        </is>
      </c>
      <c r="C104" s="35" t="n">
        <v>366</v>
      </c>
      <c r="D104" s="35" t="n">
        <v>366</v>
      </c>
      <c r="E104" s="4" t="inlineStr">
        <is>
          <t>100 m</t>
        </is>
      </c>
      <c r="F104" s="3" t="inlineStr">
        <is>
          <t>Payload capacity = 366 metres</t>
        </is>
      </c>
      <c r="G104" s="32" t="n">
        <v>229.37</v>
      </c>
      <c r="H104" s="32" t="n">
        <v>18.25</v>
      </c>
    </row>
    <row r="105" ht="20" customHeight="1">
      <c r="A105" s="6" t="inlineStr">
        <is>
          <t>1.1.16.3</t>
        </is>
      </c>
      <c r="B105" s="7" t="inlineStr">
        <is>
          <t>R.C.C. / C.I. pipes 150 mm dia</t>
        </is>
      </c>
      <c r="C105" s="36" t="n">
        <v>219.6</v>
      </c>
      <c r="D105" s="36" t="n">
        <v>219.6</v>
      </c>
      <c r="E105" s="8" t="inlineStr">
        <is>
          <t>100 m</t>
        </is>
      </c>
      <c r="F105" s="7" t="inlineStr">
        <is>
          <t>Payload capacity = 219.60 metres</t>
        </is>
      </c>
      <c r="G105" s="34" t="n">
        <v>382.29</v>
      </c>
      <c r="H105" s="34" t="n">
        <v>30.42</v>
      </c>
    </row>
    <row r="106" ht="20" customHeight="1">
      <c r="A106" s="2" t="inlineStr">
        <is>
          <t>1.1.16.4</t>
        </is>
      </c>
      <c r="B106" s="3" t="inlineStr">
        <is>
          <t>R.C.C. / C.I. pipes 200 mm dia</t>
        </is>
      </c>
      <c r="C106" s="35" t="n">
        <v>135</v>
      </c>
      <c r="D106" s="35" t="n">
        <v>135</v>
      </c>
      <c r="E106" s="4" t="inlineStr">
        <is>
          <t>100 m</t>
        </is>
      </c>
      <c r="F106" s="3" t="inlineStr">
        <is>
          <t>Payload capacity = 135 metres</t>
        </is>
      </c>
      <c r="G106" s="32" t="n">
        <v>621.85</v>
      </c>
      <c r="H106" s="32" t="n">
        <v>49.48</v>
      </c>
    </row>
    <row r="107" ht="20" customHeight="1">
      <c r="A107" s="6" t="inlineStr">
        <is>
          <t>1.1.16.5</t>
        </is>
      </c>
      <c r="B107" s="7" t="inlineStr">
        <is>
          <t>R.C.C. / C.I. pipes 250 mm dia</t>
        </is>
      </c>
      <c r="C107" s="36" t="n">
        <v>95</v>
      </c>
      <c r="D107" s="36" t="n">
        <v>95</v>
      </c>
      <c r="E107" s="8" t="inlineStr">
        <is>
          <t>100 m</t>
        </is>
      </c>
      <c r="F107" s="7" t="inlineStr">
        <is>
          <t>Payload capacity = 95 metres</t>
        </is>
      </c>
      <c r="G107" s="34" t="n">
        <v>883.6799999999999</v>
      </c>
      <c r="H107" s="34" t="n">
        <v>70.31</v>
      </c>
    </row>
    <row r="108" ht="20" customHeight="1">
      <c r="A108" s="2" t="inlineStr">
        <is>
          <t>1.1.16.6</t>
        </is>
      </c>
      <c r="B108" s="3" t="inlineStr">
        <is>
          <t>R.C.C. / C.I. pipes 300 mm dia</t>
        </is>
      </c>
      <c r="C108" s="35" t="n">
        <v>76.86</v>
      </c>
      <c r="D108" s="35" t="n">
        <v>76.86</v>
      </c>
      <c r="E108" s="4" t="inlineStr">
        <is>
          <t>100 m</t>
        </is>
      </c>
      <c r="F108" s="3" t="inlineStr">
        <is>
          <t>Payload capacity = 76.86 metres</t>
        </is>
      </c>
      <c r="G108" s="32" t="n">
        <v>1092.25</v>
      </c>
      <c r="H108" s="32" t="n">
        <v>86.90000000000001</v>
      </c>
    </row>
    <row r="109" ht="20" customHeight="1">
      <c r="A109" s="6" t="inlineStr">
        <is>
          <t>1.1.16.7</t>
        </is>
      </c>
      <c r="B109" s="7" t="inlineStr">
        <is>
          <t>R.C.C. / C.I. pipes 350 mm dia</t>
        </is>
      </c>
      <c r="C109" s="36" t="n">
        <v>54.9</v>
      </c>
      <c r="D109" s="36" t="n">
        <v>54.9</v>
      </c>
      <c r="E109" s="8" t="inlineStr">
        <is>
          <t>100 m</t>
        </is>
      </c>
      <c r="F109" s="7" t="inlineStr">
        <is>
          <t>Payload capacity = 54.90 metres</t>
        </is>
      </c>
      <c r="G109" s="34" t="n">
        <v>1529.14</v>
      </c>
      <c r="H109" s="34" t="n">
        <v>121.66</v>
      </c>
    </row>
    <row r="110" ht="20" customHeight="1">
      <c r="A110" s="2" t="inlineStr">
        <is>
          <t>1.1.16.8</t>
        </is>
      </c>
      <c r="B110" s="3" t="inlineStr">
        <is>
          <t>R.C.C. / C.I. pipes 400 mm dia</t>
        </is>
      </c>
      <c r="C110" s="35" t="n">
        <v>40.26</v>
      </c>
      <c r="D110" s="35" t="n">
        <v>40.26</v>
      </c>
      <c r="E110" s="4" t="inlineStr">
        <is>
          <t>100 m</t>
        </is>
      </c>
      <c r="F110" s="3" t="inlineStr">
        <is>
          <t>Payload capacity = 40.26 metres</t>
        </is>
      </c>
      <c r="G110" s="32" t="n">
        <v>2085.2</v>
      </c>
      <c r="H110" s="32" t="n">
        <v>165.9</v>
      </c>
    </row>
    <row r="111" ht="20" customHeight="1">
      <c r="A111" s="6" t="inlineStr">
        <is>
          <t>1.1.16.9</t>
        </is>
      </c>
      <c r="B111" s="7" t="inlineStr">
        <is>
          <t>R.C.C. / C.I. pipes 450 &amp; 500 mm dia</t>
        </is>
      </c>
      <c r="C111" s="36" t="n">
        <v>32.94</v>
      </c>
      <c r="D111" s="36" t="n">
        <v>32.94</v>
      </c>
      <c r="E111" s="8" t="inlineStr">
        <is>
          <t>100 m</t>
        </is>
      </c>
      <c r="F111" s="7" t="inlineStr">
        <is>
          <t>Payload capacity = 32.94 metres</t>
        </is>
      </c>
      <c r="G111" s="34" t="n">
        <v>2548.57</v>
      </c>
      <c r="H111" s="34" t="n">
        <v>202.77</v>
      </c>
    </row>
    <row r="112" ht="20" customHeight="1">
      <c r="A112" s="2" t="inlineStr">
        <is>
          <t>1.1.16.10</t>
        </is>
      </c>
      <c r="B112" s="3" t="inlineStr">
        <is>
          <t>R.C.C. / C.I. pipes 600, 700, 750 &amp; 800 mm dia</t>
        </is>
      </c>
      <c r="C112" s="35" t="n">
        <v>21.96</v>
      </c>
      <c r="D112" s="35" t="n">
        <v>21.96</v>
      </c>
      <c r="E112" s="4" t="inlineStr">
        <is>
          <t>100 m</t>
        </is>
      </c>
      <c r="F112" s="3" t="inlineStr">
        <is>
          <t>Payload capacity = 21.96 metres</t>
        </is>
      </c>
      <c r="G112" s="32" t="n">
        <v>3822.86</v>
      </c>
      <c r="H112" s="32" t="n">
        <v>304.15</v>
      </c>
    </row>
    <row r="113" ht="20" customHeight="1">
      <c r="A113" s="6" t="inlineStr">
        <is>
          <t>1.1.16.11</t>
        </is>
      </c>
      <c r="B113" s="7" t="inlineStr">
        <is>
          <t>R.C.C. / C.I. pipes 900 mm dia</t>
        </is>
      </c>
      <c r="C113" s="36" t="n">
        <v>14.64</v>
      </c>
      <c r="D113" s="36" t="n">
        <v>14.64</v>
      </c>
      <c r="E113" s="8" t="inlineStr">
        <is>
          <t>100 m</t>
        </is>
      </c>
      <c r="F113" s="7" t="inlineStr">
        <is>
          <t>Payload capacity = 14.64 metres</t>
        </is>
      </c>
      <c r="G113" s="34" t="n">
        <v>5734.29</v>
      </c>
      <c r="H113" s="34" t="n">
        <v>456.23</v>
      </c>
    </row>
    <row r="114" ht="20" customHeight="1">
      <c r="A114" s="2" t="inlineStr">
        <is>
          <t>1.1.17.12</t>
        </is>
      </c>
      <c r="B114" s="3" t="inlineStr">
        <is>
          <t>R.C.C./C.I./Steel pipes 1000, 1100 &amp; 1200 mm dia</t>
        </is>
      </c>
      <c r="C114" s="35" t="n">
        <v>10.98</v>
      </c>
      <c r="D114" s="35" t="n">
        <v>10.98</v>
      </c>
      <c r="E114" s="4" t="inlineStr">
        <is>
          <t>100 m</t>
        </is>
      </c>
      <c r="F114" s="3" t="inlineStr">
        <is>
          <t>Payload capacity = 10.98 metres (heavy large bore)</t>
        </is>
      </c>
      <c r="G114" s="32" t="n">
        <v>7645.72</v>
      </c>
      <c r="H114" s="32" t="n">
        <v>608.3099999999999</v>
      </c>
    </row>
    <row r="115" ht="10" customHeight="1"/>
    <row r="116" ht="22" customHeight="1">
      <c r="A116" s="42" t="inlineStr">
        <is>
          <t>4C. CPWD DAR TABLE 1.2 MANUAL LABOUR GROUND-TRUTH MATRIX (&lt; 0.50 km Standards)</t>
        </is>
      </c>
    </row>
    <row r="117" ht="24" customHeight="1">
      <c r="A117" s="1" t="inlineStr">
        <is>
          <t>DAR Code</t>
        </is>
      </c>
      <c r="B117" s="1" t="inlineStr">
        <is>
          <t>Material Specification</t>
        </is>
      </c>
      <c r="C117" s="1" t="inlineStr">
        <is>
          <t>8-Hour Capacity</t>
        </is>
      </c>
      <c r="D117" s="1" t="inlineStr">
        <is>
          <t>Net Payable Qty</t>
        </is>
      </c>
      <c r="E117" s="1" t="inlineStr">
        <is>
          <t>Unit of Rate</t>
        </is>
      </c>
      <c r="F117" s="1" t="inlineStr">
        <is>
          <t>Cost for 1st 50 m (Rs)</t>
        </is>
      </c>
      <c r="G117" s="1" t="inlineStr">
        <is>
          <t>Cost for Addl 50 m (Rs)</t>
        </is>
      </c>
      <c r="H117" s="1" t="inlineStr">
        <is>
          <t>CPWD DAR Labour Composition</t>
        </is>
      </c>
    </row>
    <row r="118" ht="20" customHeight="1">
      <c r="A118" s="2" t="inlineStr">
        <is>
          <t>1.2.1</t>
        </is>
      </c>
      <c r="B118" s="3" t="inlineStr">
        <is>
          <t>Lime, moorum, building rubbish, malba</t>
        </is>
      </c>
      <c r="C118" s="35" t="n">
        <v>35</v>
      </c>
      <c r="D118" s="35" t="n">
        <v>35</v>
      </c>
      <c r="E118" s="4" t="inlineStr">
        <is>
          <t>cum</t>
        </is>
      </c>
      <c r="F118" s="32" t="n">
        <v>140.62</v>
      </c>
      <c r="G118" s="32" t="n">
        <v>30.62</v>
      </c>
      <c r="H118" s="3" t="inlineStr">
        <is>
          <t>7.67 Beldars @ Rs 558 + 15% CPOH (Addl: 1.67 Coolies)</t>
        </is>
      </c>
    </row>
    <row r="119" ht="20" customHeight="1">
      <c r="A119" s="6" t="inlineStr">
        <is>
          <t>1.2.2</t>
        </is>
      </c>
      <c r="B119" s="7" t="inlineStr">
        <is>
          <t>Earth (excavated soil / good earth)</t>
        </is>
      </c>
      <c r="C119" s="36" t="n">
        <v>35</v>
      </c>
      <c r="D119" s="36" t="n">
        <v>28</v>
      </c>
      <c r="E119" s="8" t="inlineStr">
        <is>
          <t>cum</t>
        </is>
      </c>
      <c r="F119" s="34" t="n">
        <v>175.78</v>
      </c>
      <c r="G119" s="34" t="n">
        <v>38.27</v>
      </c>
      <c r="H119" s="7" t="inlineStr">
        <is>
          <t>20% looseness deduction (Net = 28 cum)</t>
        </is>
      </c>
    </row>
    <row r="120" ht="20" customHeight="1">
      <c r="A120" s="2" t="inlineStr">
        <is>
          <t>1.2.3</t>
        </is>
      </c>
      <c r="B120" s="3" t="inlineStr">
        <is>
          <t>Manure or sludge</t>
        </is>
      </c>
      <c r="C120" s="35" t="n">
        <v>35</v>
      </c>
      <c r="D120" s="35" t="n">
        <v>32.2</v>
      </c>
      <c r="E120" s="4" t="inlineStr">
        <is>
          <t>cum</t>
        </is>
      </c>
      <c r="F120" s="32" t="n">
        <v>152.85</v>
      </c>
      <c r="G120" s="32" t="n">
        <v>33.28</v>
      </c>
      <c r="H120" s="3" t="inlineStr">
        <is>
          <t>8% looseness deduction (Net = 32.2 cum)</t>
        </is>
      </c>
    </row>
    <row r="121" ht="20" customHeight="1">
      <c r="A121" s="6" t="inlineStr">
        <is>
          <t>1.2.4</t>
        </is>
      </c>
      <c r="B121" s="7" t="inlineStr">
        <is>
          <t>Excavated rock</t>
        </is>
      </c>
      <c r="C121" s="36" t="n">
        <v>35</v>
      </c>
      <c r="D121" s="36" t="n">
        <v>17.5</v>
      </c>
      <c r="E121" s="8" t="inlineStr">
        <is>
          <t>cum</t>
        </is>
      </c>
      <c r="F121" s="34" t="n">
        <v>281.25</v>
      </c>
      <c r="G121" s="34" t="n">
        <v>61.24</v>
      </c>
      <c r="H121" s="7" t="inlineStr">
        <is>
          <t>50% voids deduction (Net = 17.5 cum)</t>
        </is>
      </c>
    </row>
    <row r="122" ht="20" customHeight="1">
      <c r="A122" s="2" t="inlineStr">
        <is>
          <t>1.2.5</t>
        </is>
      </c>
      <c r="B122" s="3" t="inlineStr">
        <is>
          <t>Sand, stone aggregate below 40 mm</t>
        </is>
      </c>
      <c r="C122" s="35" t="n">
        <v>28</v>
      </c>
      <c r="D122" s="35" t="n">
        <v>28</v>
      </c>
      <c r="E122" s="4" t="inlineStr">
        <is>
          <t>cum</t>
        </is>
      </c>
      <c r="F122" s="32" t="n">
        <v>175.78</v>
      </c>
      <c r="G122" s="32" t="n">
        <v>38.27</v>
      </c>
      <c r="H122" s="3" t="inlineStr">
        <is>
          <t>28 cum density norm (Nil looseness)</t>
        </is>
      </c>
    </row>
    <row r="123" ht="20" customHeight="1">
      <c r="A123" s="6" t="inlineStr">
        <is>
          <t>1.2.6</t>
        </is>
      </c>
      <c r="B123" s="7" t="inlineStr">
        <is>
          <t>Stone aggregate 40 mm &amp; above</t>
        </is>
      </c>
      <c r="C123" s="36" t="n">
        <v>28</v>
      </c>
      <c r="D123" s="36" t="n">
        <v>25.9</v>
      </c>
      <c r="E123" s="8" t="inlineStr">
        <is>
          <t>cum</t>
        </is>
      </c>
      <c r="F123" s="34" t="n">
        <v>190.03</v>
      </c>
      <c r="G123" s="34" t="n">
        <v>41.38</v>
      </c>
      <c r="H123" s="7" t="inlineStr">
        <is>
          <t>8% voids deduction (Net = 25.9 cum)</t>
        </is>
      </c>
    </row>
    <row r="124" ht="20" customHeight="1">
      <c r="A124" s="2" t="inlineStr">
        <is>
          <t>1.2.7</t>
        </is>
      </c>
      <c r="B124" s="3" t="inlineStr">
        <is>
          <t>Soling stone &amp; masonry stone</t>
        </is>
      </c>
      <c r="C124" s="35" t="n">
        <v>28</v>
      </c>
      <c r="D124" s="35" t="n">
        <v>23.8</v>
      </c>
      <c r="E124" s="4" t="inlineStr">
        <is>
          <t>cum</t>
        </is>
      </c>
      <c r="F124" s="32" t="n">
        <v>206.8</v>
      </c>
      <c r="G124" s="32" t="n">
        <v>45.03</v>
      </c>
      <c r="H124" s="3" t="inlineStr">
        <is>
          <t>15% voids deduction (Net = 23.8 cum)</t>
        </is>
      </c>
    </row>
    <row r="125" ht="20" customHeight="1">
      <c r="A125" s="6" t="inlineStr">
        <is>
          <t>1.2.8</t>
        </is>
      </c>
      <c r="B125" s="7" t="inlineStr">
        <is>
          <t>Bricks (conventional / modular)</t>
        </is>
      </c>
      <c r="C125" s="36" t="n">
        <v>15000</v>
      </c>
      <c r="D125" s="36" t="n">
        <v>15000</v>
      </c>
      <c r="E125" s="8" t="inlineStr">
        <is>
          <t>1000 Nos</t>
        </is>
      </c>
      <c r="F125" s="34" t="n">
        <v>328.12</v>
      </c>
      <c r="G125" s="34" t="n">
        <v>71.44</v>
      </c>
      <c r="H125" s="7" t="inlineStr">
        <is>
          <t>15,000 Bricks per 8 hours manual gang</t>
        </is>
      </c>
    </row>
    <row r="126" ht="20" customHeight="1">
      <c r="A126" s="2" t="inlineStr">
        <is>
          <t>1.2.9</t>
        </is>
      </c>
      <c r="B126" s="3" t="inlineStr">
        <is>
          <t>Brick tiles / roofing tiles</t>
        </is>
      </c>
      <c r="C126" s="35" t="n">
        <v>24000</v>
      </c>
      <c r="D126" s="35" t="n">
        <v>24000</v>
      </c>
      <c r="E126" s="4" t="inlineStr">
        <is>
          <t>1000 Nos</t>
        </is>
      </c>
      <c r="F126" s="32" t="n">
        <v>205.08</v>
      </c>
      <c r="G126" s="32" t="n">
        <v>44.65</v>
      </c>
      <c r="H126" s="3" t="inlineStr">
        <is>
          <t>24,000 Tiles per 8 hours manual gang</t>
        </is>
      </c>
    </row>
    <row r="127" ht="20" customHeight="1">
      <c r="A127" s="6" t="inlineStr">
        <is>
          <t>1.2.10</t>
        </is>
      </c>
      <c r="B127" s="7" t="inlineStr">
        <is>
          <t>Steam coal</t>
        </is>
      </c>
      <c r="C127" s="36" t="n">
        <v>30</v>
      </c>
      <c r="D127" s="36" t="n">
        <v>30</v>
      </c>
      <c r="E127" s="8" t="inlineStr">
        <is>
          <t>tonne</t>
        </is>
      </c>
      <c r="F127" s="34" t="n">
        <v>164.06</v>
      </c>
      <c r="G127" s="34" t="n">
        <v>35.72</v>
      </c>
      <c r="H127" s="7" t="inlineStr">
        <is>
          <t>30 tonnes per 8 hours manual gang</t>
        </is>
      </c>
    </row>
    <row r="128" ht="20" customHeight="1">
      <c r="A128" s="2" t="inlineStr">
        <is>
          <t>1.2.11</t>
        </is>
      </c>
      <c r="B128" s="3" t="inlineStr">
        <is>
          <t>Stone blocks, pipes &lt;100mm, heavy items</t>
        </is>
      </c>
      <c r="C128" s="35" t="n">
        <v>46</v>
      </c>
      <c r="D128" s="35" t="n">
        <v>46</v>
      </c>
      <c r="E128" s="4" t="inlineStr">
        <is>
          <t>tonne</t>
        </is>
      </c>
      <c r="F128" s="32" t="n">
        <v>128.34</v>
      </c>
      <c r="G128" s="32" t="n">
        <v>18.83</v>
      </c>
      <c r="H128" s="3" t="inlineStr">
        <is>
          <t>Category B: 9.20 Beldars 1st 50m (+1.35 Beldars addl)</t>
        </is>
      </c>
    </row>
    <row r="129" ht="20" customHeight="1">
      <c r="A129" s="6" t="inlineStr">
        <is>
          <t>1.2.12</t>
        </is>
      </c>
      <c r="B129" s="7" t="inlineStr">
        <is>
          <t>Cement in bags</t>
        </is>
      </c>
      <c r="C129" s="36" t="n">
        <v>57.99</v>
      </c>
      <c r="D129" s="36" t="n">
        <v>57.99</v>
      </c>
      <c r="E129" s="8" t="inlineStr">
        <is>
          <t>tonne</t>
        </is>
      </c>
      <c r="F129" s="34" t="n">
        <v>101.8</v>
      </c>
      <c r="G129" s="34" t="n">
        <v>14.94</v>
      </c>
      <c r="H129" s="7" t="inlineStr">
        <is>
          <t>57.99 tonnes (approx 1,160 bags) per shift</t>
        </is>
      </c>
    </row>
    <row r="130" ht="20" customHeight="1">
      <c r="A130" s="2" t="inlineStr">
        <is>
          <t>1.2.13</t>
        </is>
      </c>
      <c r="B130" s="3" t="inlineStr">
        <is>
          <t>Steel bars &amp; structural steel</t>
        </is>
      </c>
      <c r="C130" s="35" t="n">
        <v>27</v>
      </c>
      <c r="D130" s="35" t="n">
        <v>27</v>
      </c>
      <c r="E130" s="4" t="inlineStr">
        <is>
          <t>tonne</t>
        </is>
      </c>
      <c r="F130" s="32" t="n">
        <v>218.65</v>
      </c>
      <c r="G130" s="32" t="n">
        <v>32.09</v>
      </c>
      <c r="H130" s="3" t="inlineStr">
        <is>
          <t>27 tonnes steel shifting per 8 hours shift</t>
        </is>
      </c>
    </row>
    <row r="131" ht="20" customHeight="1">
      <c r="A131" s="6" t="inlineStr">
        <is>
          <t>1.2.14</t>
        </is>
      </c>
      <c r="B131" s="7" t="inlineStr">
        <is>
          <t>Timber scantlings &amp; logs</t>
        </is>
      </c>
      <c r="C131" s="36" t="n">
        <v>42</v>
      </c>
      <c r="D131" s="36" t="n">
        <v>42</v>
      </c>
      <c r="E131" s="8" t="inlineStr">
        <is>
          <t>cum</t>
        </is>
      </c>
      <c r="F131" s="34" t="n">
        <v>140.56</v>
      </c>
      <c r="G131" s="34" t="n">
        <v>20.63</v>
      </c>
      <c r="H131" s="7" t="inlineStr">
        <is>
          <t>42 cum timber manual haulage per shift</t>
        </is>
      </c>
    </row>
    <row r="132" ht="20" customHeight="1">
      <c r="A132" s="2" t="inlineStr">
        <is>
          <t>1.2.15</t>
        </is>
      </c>
      <c r="B132" s="3" t="inlineStr">
        <is>
          <t>Tar, bitumen in drums</t>
        </is>
      </c>
      <c r="C132" s="35" t="n">
        <v>46</v>
      </c>
      <c r="D132" s="35" t="n">
        <v>46</v>
      </c>
      <c r="E132" s="4" t="inlineStr">
        <is>
          <t>tonne</t>
        </is>
      </c>
      <c r="F132" s="32" t="n">
        <v>128.34</v>
      </c>
      <c r="G132" s="32" t="n">
        <v>18.83</v>
      </c>
      <c r="H132" s="3" t="inlineStr">
        <is>
          <t>46 tonnes drum handling per shift</t>
        </is>
      </c>
    </row>
    <row r="133" ht="20" customHeight="1">
      <c r="A133" s="6" t="inlineStr">
        <is>
          <t>1.2.16.1</t>
        </is>
      </c>
      <c r="B133" s="7" t="inlineStr">
        <is>
          <t>S.W. pipes 100 mm dia</t>
        </is>
      </c>
      <c r="C133" s="36" t="n">
        <v>2298</v>
      </c>
      <c r="D133" s="36" t="n">
        <v>2298</v>
      </c>
      <c r="E133" s="8" t="inlineStr">
        <is>
          <t>100 m</t>
        </is>
      </c>
      <c r="F133" s="34" t="n">
        <v>256.9</v>
      </c>
      <c r="G133" s="34" t="n">
        <v>37.7</v>
      </c>
      <c r="H133" s="7" t="inlineStr">
        <is>
          <t>2,298 metres manual carrying per shift</t>
        </is>
      </c>
    </row>
    <row r="134" ht="20" customHeight="1">
      <c r="A134" s="2" t="inlineStr">
        <is>
          <t>1.2.16.2</t>
        </is>
      </c>
      <c r="B134" s="3" t="inlineStr">
        <is>
          <t>S.W. pipes 150 mm dia</t>
        </is>
      </c>
      <c r="C134" s="35" t="n">
        <v>1398</v>
      </c>
      <c r="D134" s="35" t="n">
        <v>1398</v>
      </c>
      <c r="E134" s="4" t="inlineStr">
        <is>
          <t>100 m</t>
        </is>
      </c>
      <c r="F134" s="32" t="n">
        <v>422.29</v>
      </c>
      <c r="G134" s="32" t="n">
        <v>61.97</v>
      </c>
      <c r="H134" s="3" t="inlineStr">
        <is>
          <t>1,398 metres manual carrying per shift</t>
        </is>
      </c>
    </row>
    <row r="135" ht="20" customHeight="1">
      <c r="A135" s="6" t="inlineStr">
        <is>
          <t>1.2.16.3</t>
        </is>
      </c>
      <c r="B135" s="7" t="inlineStr">
        <is>
          <t>S.W. pipes 200 mm dia</t>
        </is>
      </c>
      <c r="C135" s="36" t="n">
        <v>999</v>
      </c>
      <c r="D135" s="36" t="n">
        <v>999</v>
      </c>
      <c r="E135" s="8" t="inlineStr">
        <is>
          <t>100 m</t>
        </is>
      </c>
      <c r="F135" s="34" t="n">
        <v>590.95</v>
      </c>
      <c r="G135" s="34" t="n">
        <v>86.72</v>
      </c>
      <c r="H135" s="7" t="inlineStr">
        <is>
          <t>999 metres manual carrying per shift</t>
        </is>
      </c>
    </row>
    <row r="136" ht="20" customHeight="1">
      <c r="A136" s="2" t="inlineStr">
        <is>
          <t>1.2.16.5</t>
        </is>
      </c>
      <c r="B136" s="3" t="inlineStr">
        <is>
          <t>S.W. pipes 250 mm dia</t>
        </is>
      </c>
      <c r="C136" s="35" t="n">
        <v>600</v>
      </c>
      <c r="D136" s="35" t="n">
        <v>600</v>
      </c>
      <c r="E136" s="4" t="inlineStr">
        <is>
          <t>100 m</t>
        </is>
      </c>
      <c r="F136" s="32" t="n">
        <v>983.9400000000001</v>
      </c>
      <c r="G136" s="32" t="n">
        <v>144.38</v>
      </c>
      <c r="H136" s="3" t="inlineStr">
        <is>
          <t>600 metres manual carrying per shift</t>
        </is>
      </c>
    </row>
    <row r="137" ht="20" customHeight="1">
      <c r="A137" s="6" t="inlineStr">
        <is>
          <t>1.2.17.1</t>
        </is>
      </c>
      <c r="B137" s="7" t="inlineStr">
        <is>
          <t>R.C.C. pipes 100 mm dia</t>
        </is>
      </c>
      <c r="C137" s="36" t="n">
        <v>1702</v>
      </c>
      <c r="D137" s="36" t="n">
        <v>1702</v>
      </c>
      <c r="E137" s="8" t="inlineStr">
        <is>
          <t>100 m</t>
        </is>
      </c>
      <c r="F137" s="34" t="n">
        <v>346.86</v>
      </c>
      <c r="G137" s="34" t="n">
        <v>50.9</v>
      </c>
      <c r="H137" s="7" t="inlineStr">
        <is>
          <t>1,702 metres manual carrying per shift</t>
        </is>
      </c>
    </row>
    <row r="138" ht="20" customHeight="1">
      <c r="A138" s="2" t="inlineStr">
        <is>
          <t>1.2.17.2</t>
        </is>
      </c>
      <c r="B138" s="3" t="inlineStr">
        <is>
          <t>R.C.C. pipes 125 mm dia</t>
        </is>
      </c>
      <c r="C138" s="35" t="n">
        <v>1391</v>
      </c>
      <c r="D138" s="35" t="n">
        <v>1391</v>
      </c>
      <c r="E138" s="4" t="inlineStr">
        <is>
          <t>100 m</t>
        </is>
      </c>
      <c r="F138" s="32" t="n">
        <v>424.42</v>
      </c>
      <c r="G138" s="32" t="n">
        <v>62.28</v>
      </c>
      <c r="H138" s="3" t="inlineStr">
        <is>
          <t>1,391 metres manual carrying per shift</t>
        </is>
      </c>
    </row>
    <row r="139" ht="20" customHeight="1">
      <c r="A139" s="6" t="inlineStr">
        <is>
          <t>1.2.17.3</t>
        </is>
      </c>
      <c r="B139" s="7" t="inlineStr">
        <is>
          <t>R.C.C. pipes 150 mm dia</t>
        </is>
      </c>
      <c r="C139" s="36" t="n">
        <v>1208</v>
      </c>
      <c r="D139" s="36" t="n">
        <v>1208</v>
      </c>
      <c r="E139" s="8" t="inlineStr">
        <is>
          <t>100 m</t>
        </is>
      </c>
      <c r="F139" s="34" t="n">
        <v>488.71</v>
      </c>
      <c r="G139" s="34" t="n">
        <v>71.70999999999999</v>
      </c>
      <c r="H139" s="7" t="inlineStr">
        <is>
          <t>1,208 metres manual carrying per shift</t>
        </is>
      </c>
    </row>
    <row r="140" ht="20" customHeight="1">
      <c r="A140" s="2" t="inlineStr">
        <is>
          <t>1.2.17.4</t>
        </is>
      </c>
      <c r="B140" s="3" t="inlineStr">
        <is>
          <t>R.C.C. pipes 200 mm dia</t>
        </is>
      </c>
      <c r="C140" s="35" t="n">
        <v>805</v>
      </c>
      <c r="D140" s="35" t="n">
        <v>805</v>
      </c>
      <c r="E140" s="4" t="inlineStr">
        <is>
          <t>100 m</t>
        </is>
      </c>
      <c r="F140" s="32" t="n">
        <v>733.37</v>
      </c>
      <c r="G140" s="32" t="n">
        <v>107.61</v>
      </c>
      <c r="H140" s="3" t="inlineStr">
        <is>
          <t>805 metres manual carrying per shift</t>
        </is>
      </c>
    </row>
    <row r="141" ht="20" customHeight="1">
      <c r="A141" s="6" t="inlineStr">
        <is>
          <t>1.2.17.5</t>
        </is>
      </c>
      <c r="B141" s="7" t="inlineStr">
        <is>
          <t>R.C.C. pipes 250 mm dia</t>
        </is>
      </c>
      <c r="C141" s="36" t="n">
        <v>458</v>
      </c>
      <c r="D141" s="36" t="n">
        <v>458</v>
      </c>
      <c r="E141" s="8" t="inlineStr">
        <is>
          <t>100 m</t>
        </is>
      </c>
      <c r="F141" s="34" t="n">
        <v>1289</v>
      </c>
      <c r="G141" s="34" t="n">
        <v>189.15</v>
      </c>
      <c r="H141" s="7" t="inlineStr">
        <is>
          <t>458 metres manual carrying per shift</t>
        </is>
      </c>
    </row>
    <row r="142" ht="20" customHeight="1">
      <c r="A142" s="2" t="inlineStr">
        <is>
          <t>1.2.17.6</t>
        </is>
      </c>
      <c r="B142" s="3" t="inlineStr">
        <is>
          <t>R.C.C. pipes 300 mm dia</t>
        </is>
      </c>
      <c r="C142" s="35" t="n">
        <v>366</v>
      </c>
      <c r="D142" s="35" t="n">
        <v>366</v>
      </c>
      <c r="E142" s="4" t="inlineStr">
        <is>
          <t>100 m</t>
        </is>
      </c>
      <c r="F142" s="32" t="n">
        <v>1613.02</v>
      </c>
      <c r="G142" s="32" t="n">
        <v>236.69</v>
      </c>
      <c r="H142" s="3" t="inlineStr">
        <is>
          <t>366 metres manual carrying per shift</t>
        </is>
      </c>
    </row>
    <row r="143" ht="20" customHeight="1">
      <c r="A143" s="6" t="inlineStr">
        <is>
          <t>1.2.17.10</t>
        </is>
      </c>
      <c r="B143" s="7" t="inlineStr">
        <is>
          <t>R.C.C. pipes 600, 700, 750 &amp; 800 mm dia</t>
        </is>
      </c>
      <c r="C143" s="36" t="n">
        <v>150</v>
      </c>
      <c r="D143" s="36" t="n">
        <v>150</v>
      </c>
      <c r="E143" s="8" t="inlineStr">
        <is>
          <t>100 m</t>
        </is>
      </c>
      <c r="F143" s="34" t="n">
        <v>3935.76</v>
      </c>
      <c r="G143" s="34" t="n">
        <v>577.53</v>
      </c>
      <c r="H143" s="7" t="inlineStr">
        <is>
          <t>150 metres manual carrying per shift</t>
        </is>
      </c>
    </row>
    <row r="144" ht="12" customHeight="1"/>
    <row r="145" ht="24" customHeight="1">
      <c r="A145" s="42" t="inlineStr">
        <is>
          <t>5. RUNNING CUSTOM NON-DSR ITEMS LIBRARY FOR CARRIAGE (Mechanical &amp; Manual)</t>
        </is>
      </c>
    </row>
    <row r="146" ht="20" customHeight="1">
      <c r="A146" s="90" t="inlineStr">
        <is>
          <t>Log and save completed custom haulage rate analyses (Mechanical or Manual) below for immediate reference across project estimates.</t>
        </is>
      </c>
    </row>
    <row r="147" ht="24" customHeight="1">
      <c r="A147" s="1" t="inlineStr">
        <is>
          <t>Item Code</t>
        </is>
      </c>
      <c r="B147" s="1" t="inlineStr">
        <is>
          <t>Item Nomenclature / Specification</t>
        </is>
      </c>
      <c r="C147" s="1" t="inlineStr">
        <is>
          <t>Unit</t>
        </is>
      </c>
      <c r="D147" s="1" t="inlineStr">
        <is>
          <t>Output Basis</t>
        </is>
      </c>
      <c r="E147" s="1" t="inlineStr">
        <is>
          <t>Direct Cost W (Rs)</t>
        </is>
      </c>
      <c r="F147" s="1" t="inlineStr">
        <is>
          <t>Markups Applied</t>
        </is>
      </c>
      <c r="G147" s="1" t="inlineStr">
        <is>
          <t>Unit Rate (Rs)</t>
        </is>
      </c>
      <c r="H147" s="1" t="inlineStr">
        <is>
          <t>Say Rate (Rs)</t>
        </is>
      </c>
    </row>
    <row r="148" ht="20" customHeight="1">
      <c r="A148" s="81" t="inlineStr">
        <is>
          <t>1.1.18</t>
        </is>
      </c>
      <c r="B148" s="103" t="inlineStr">
        <is>
          <t>Disposal of building malba by mechanical transport - lead 10 km (Restricted urban 3 trips, 8 cum/trip)</t>
        </is>
      </c>
      <c r="C148" s="104" t="inlineStr">
        <is>
          <t>cum</t>
        </is>
      </c>
      <c r="D148" s="104" t="n">
        <v>24</v>
      </c>
      <c r="E148" s="105" t="n">
        <v>5939.58</v>
      </c>
      <c r="F148" s="104" t="inlineStr">
        <is>
          <t>15% CPOH only</t>
        </is>
      </c>
      <c r="G148" s="105" t="n">
        <v>284.6</v>
      </c>
      <c r="H148" s="106" t="n">
        <v>284.6</v>
      </c>
    </row>
    <row r="149" ht="20" customHeight="1">
      <c r="A149" s="107" t="inlineStr">
        <is>
          <t>1.1.17.12-VAR</t>
        </is>
      </c>
      <c r="B149" s="108" t="inlineStr">
        <is>
          <t>Transport of 1000, 1100 &amp; 1200 mm dia pipes - lead 26 km (N=2.86 trips, Speed 29 km/h, Payload 10.98 m/trip)</t>
        </is>
      </c>
      <c r="C149" s="109" t="inlineStr">
        <is>
          <t>metre</t>
        </is>
      </c>
      <c r="D149" s="109" t="n">
        <v>31.4</v>
      </c>
      <c r="E149" s="110" t="n">
        <v>7470.17</v>
      </c>
      <c r="F149" s="109" t="inlineStr">
        <is>
          <t>15% CPOH only</t>
        </is>
      </c>
      <c r="G149" s="110" t="n">
        <v>273.56</v>
      </c>
      <c r="H149" s="111" t="n">
        <v>273.6</v>
      </c>
    </row>
    <row r="150" ht="20" customHeight="1">
      <c r="A150" s="81" t="inlineStr">
        <is>
          <t>1.1.1</t>
        </is>
      </c>
      <c r="B150" s="103" t="inlineStr">
        <is>
          <t>Carriage of Lime, moorum, building rubbish by mechanical transport - lead 5 km (N=5.19 trips, 8 cum/trip)</t>
        </is>
      </c>
      <c r="C150" s="104" t="inlineStr">
        <is>
          <t>cum</t>
        </is>
      </c>
      <c r="D150" s="104" t="n">
        <v>41.52</v>
      </c>
      <c r="E150" s="105" t="n">
        <v>5829.54</v>
      </c>
      <c r="F150" s="104" t="inlineStr">
        <is>
          <t>15% CPOH only</t>
        </is>
      </c>
      <c r="G150" s="105" t="n">
        <v>161.46</v>
      </c>
      <c r="H150" s="106" t="n">
        <v>161.5</v>
      </c>
    </row>
    <row r="151" ht="20" customHeight="1">
      <c r="A151" s="107" t="inlineStr">
        <is>
          <t>1.2.1</t>
        </is>
      </c>
      <c r="B151" s="108" t="inlineStr">
        <is>
          <t>Manual carriage of lime, moorum, rubbish for lead upto 50 metres (Category A)</t>
        </is>
      </c>
      <c r="C151" s="109" t="inlineStr">
        <is>
          <t>cum</t>
        </is>
      </c>
      <c r="D151" s="109" t="n">
        <v>35</v>
      </c>
      <c r="E151" s="110" t="n">
        <v>4279.86</v>
      </c>
      <c r="F151" s="109" t="inlineStr">
        <is>
          <t>15% CPOH only</t>
        </is>
      </c>
      <c r="G151" s="110" t="n">
        <v>140.62</v>
      </c>
      <c r="H151" s="111" t="n">
        <v>140.6</v>
      </c>
    </row>
    <row r="152" ht="20" customHeight="1">
      <c r="A152" s="81" t="inlineStr">
        <is>
          <t>1.2.13</t>
        </is>
      </c>
      <c r="B152" s="103" t="inlineStr">
        <is>
          <t>Manual carriage of steel bars &amp; structural steel for lead upto 50 metres (Category B)</t>
        </is>
      </c>
      <c r="C152" s="104" t="inlineStr">
        <is>
          <t>tonne</t>
        </is>
      </c>
      <c r="D152" s="104" t="n">
        <v>27</v>
      </c>
      <c r="E152" s="105" t="n">
        <v>5133.6</v>
      </c>
      <c r="F152" s="104" t="inlineStr">
        <is>
          <t>15% CPOH only</t>
        </is>
      </c>
      <c r="G152" s="105" t="n">
        <v>218.65</v>
      </c>
      <c r="H152" s="106" t="n">
        <v>218.65</v>
      </c>
    </row>
    <row r="153" ht="20" customHeight="1">
      <c r="A153" s="107" t="inlineStr">
        <is>
          <t>1.2.17.1</t>
        </is>
      </c>
      <c r="B153" s="108" t="inlineStr">
        <is>
          <t>Manual carriage of R.C.C. pipes 100 mm dia for lead upto 100 metres (Category B)</t>
        </is>
      </c>
      <c r="C153" s="109" t="inlineStr">
        <is>
          <t>100 m</t>
        </is>
      </c>
      <c r="D153" s="109" t="n">
        <v>17.02</v>
      </c>
      <c r="E153" s="110" t="n">
        <v>5886.9</v>
      </c>
      <c r="F153" s="109" t="inlineStr">
        <is>
          <t>15% CPOH only</t>
        </is>
      </c>
      <c r="G153" s="110" t="n">
        <v>397.76</v>
      </c>
      <c r="H153" s="111" t="n">
        <v>397.75</v>
      </c>
    </row>
    <row r="154" ht="20" customHeight="1">
      <c r="A154" s="81" t="inlineStr">
        <is>
          <t>C-01.07</t>
        </is>
      </c>
      <c r="B154" s="103" t="inlineStr">
        <is>
          <t>(Available for new custom carriage analysis)</t>
        </is>
      </c>
      <c r="C154" s="104" t="inlineStr">
        <is>
          <t>cum</t>
        </is>
      </c>
      <c r="D154" s="104" t="n">
        <v>1</v>
      </c>
      <c r="E154" s="105" t="n"/>
      <c r="F154" s="104" t="inlineStr">
        <is>
          <t>15% CPOH only</t>
        </is>
      </c>
      <c r="G154" s="105" t="n"/>
      <c r="H154" s="106" t="n"/>
    </row>
    <row r="155" ht="20" customHeight="1">
      <c r="A155" s="107" t="inlineStr">
        <is>
          <t>C-01.08</t>
        </is>
      </c>
      <c r="B155" s="108" t="inlineStr">
        <is>
          <t>(Available for new custom carriage analysis)</t>
        </is>
      </c>
      <c r="C155" s="109" t="inlineStr">
        <is>
          <t>cum</t>
        </is>
      </c>
      <c r="D155" s="109" t="n">
        <v>1</v>
      </c>
      <c r="E155" s="110" t="n"/>
      <c r="F155" s="109" t="inlineStr">
        <is>
          <t>15% CPOH only</t>
        </is>
      </c>
      <c r="G155" s="110" t="n"/>
      <c r="H155" s="111" t="n"/>
    </row>
    <row r="156" ht="20" customHeight="1">
      <c r="A156" s="81" t="inlineStr">
        <is>
          <t>C-01.09</t>
        </is>
      </c>
      <c r="B156" s="103" t="inlineStr">
        <is>
          <t>(Available for new custom carriage analysis)</t>
        </is>
      </c>
      <c r="C156" s="104" t="inlineStr">
        <is>
          <t>cum</t>
        </is>
      </c>
      <c r="D156" s="104" t="n">
        <v>1</v>
      </c>
      <c r="E156" s="105" t="n"/>
      <c r="F156" s="104" t="inlineStr">
        <is>
          <t>15% CPOH only</t>
        </is>
      </c>
      <c r="G156" s="105" t="n"/>
      <c r="H156" s="106" t="n"/>
    </row>
    <row r="157" ht="20" customHeight="1">
      <c r="A157" s="107" t="inlineStr">
        <is>
          <t>C-01.10</t>
        </is>
      </c>
      <c r="B157" s="108" t="inlineStr">
        <is>
          <t>(Available for new custom carriage analysis)</t>
        </is>
      </c>
      <c r="C157" s="109" t="inlineStr">
        <is>
          <t>cum</t>
        </is>
      </c>
      <c r="D157" s="109" t="n">
        <v>1</v>
      </c>
      <c r="E157" s="110" t="n"/>
      <c r="F157" s="109" t="inlineStr">
        <is>
          <t>15% CPOH only</t>
        </is>
      </c>
      <c r="G157" s="110" t="n"/>
      <c r="H157" s="111" t="n"/>
    </row>
    <row r="158" ht="20" customHeight="1">
      <c r="A158" s="81" t="inlineStr">
        <is>
          <t>C-01.11</t>
        </is>
      </c>
      <c r="B158" s="103" t="inlineStr">
        <is>
          <t>(Available for new custom carriage analysis)</t>
        </is>
      </c>
      <c r="C158" s="104" t="inlineStr">
        <is>
          <t>cum</t>
        </is>
      </c>
      <c r="D158" s="104" t="n">
        <v>1</v>
      </c>
      <c r="E158" s="105" t="n"/>
      <c r="F158" s="104" t="inlineStr">
        <is>
          <t>15% CPOH only</t>
        </is>
      </c>
      <c r="G158" s="105" t="n"/>
      <c r="H158" s="106" t="n"/>
    </row>
    <row r="159" ht="20" customHeight="1">
      <c r="A159" s="107" t="inlineStr">
        <is>
          <t>C-01.12</t>
        </is>
      </c>
      <c r="B159" s="108" t="inlineStr">
        <is>
          <t>(Available for new custom carriage analysis)</t>
        </is>
      </c>
      <c r="C159" s="109" t="inlineStr">
        <is>
          <t>cum</t>
        </is>
      </c>
      <c r="D159" s="109" t="n">
        <v>1</v>
      </c>
      <c r="E159" s="110" t="n"/>
      <c r="F159" s="109" t="inlineStr">
        <is>
          <t>15% CPOH only</t>
        </is>
      </c>
      <c r="G159" s="110" t="n"/>
      <c r="H159" s="111" t="n"/>
    </row>
  </sheetData>
  <sheetProtection selectLockedCells="0" selectUnlockedCells="0" sheet="1" objects="0" insertRows="1" insertHyperlinks="1" autoFilter="1" scenarios="0" formatColumns="1" deleteColumns="1" insertColumns="1" pivotTables="1" deleteRows="1" formatCells="1" formatRows="1" sort="1"/>
  <mergeCells count="20">
    <mergeCell ref="A51:H51"/>
    <mergeCell ref="A1:H1"/>
    <mergeCell ref="A45:H45"/>
    <mergeCell ref="A146:H146"/>
    <mergeCell ref="A16:H16"/>
    <mergeCell ref="B47:H47"/>
    <mergeCell ref="B7:H7"/>
    <mergeCell ref="A84:H84"/>
    <mergeCell ref="A27:E27"/>
    <mergeCell ref="A145:H145"/>
    <mergeCell ref="A3:H3"/>
    <mergeCell ref="A26:E26"/>
    <mergeCell ref="A86:H86"/>
    <mergeCell ref="A116:H116"/>
    <mergeCell ref="A5:H5"/>
    <mergeCell ref="B8:H8"/>
    <mergeCell ref="A29:H29"/>
    <mergeCell ref="A52:H52"/>
    <mergeCell ref="A10:H10"/>
    <mergeCell ref="A44:H44"/>
  </mergeCells>
  <dataValidations count="8">
    <dataValidation sqref="C32 C34 C36" showDropDown="0" showInputMessage="0" showErrorMessage="0" allowBlank="0" type="list">
      <formula1>"YES,NO"</formula1>
    </dataValidation>
    <dataValidation sqref="D12" showDropDown="0" showInputMessage="0" showErrorMessage="0" allowBlank="0" type="list">
      <formula1>"FORMULA,FIXED TRIPS"</formula1>
    </dataValidation>
    <dataValidation sqref="B12 D48" showDropDown="0" showInputMessage="0" showErrorMessage="0" allowBlank="0" type="list">
      <formula1>"metre,100 m,cum,tonne,1000 Nos"</formula1>
    </dataValidation>
    <dataValidation sqref="D46" showDropDown="0" showInputMessage="0" showErrorMessage="0" allowBlank="0" type="list">
      <formula1>"Category A (Bulk / Earth / Bricks),Category B (Heavy / Pipes / Steel)"</formula1>
    </dataValidation>
    <dataValidation sqref="F46" showDropDown="0" showInputMessage="0" showErrorMessage="0" allowBlank="0" type="list">
      <formula1>"50,100,150,200,250,300,350,400,450,500"</formula1>
    </dataValidation>
    <dataValidation sqref="D6" showDropDown="0" showInputMessage="0" showErrorMessage="0" allowBlank="0" type="list">
      <formula1>=CPWD_Carriage_Materials</formula1>
    </dataValidation>
    <dataValidation sqref="F6" showDropDown="0" showInputMessage="0" showErrorMessage="0" allowBlank="0" type="list">
      <formula1>"including loading, transporting, unloading and stacking,including loading, transporting, unloading to approved municipal dumping ground,including loading, transporting and unloading,including unloading and stacking at railway siding"</formula1>
    </dataValidation>
    <dataValidation sqref="H6" showDropDown="0" showInputMessage="0" showErrorMessage="0" allowBlank="0" type="list">
      <formula1>"for all lifts,for all lifts and leads,for lift upto 1.5 m"</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4" t="inlineStr">
        <is>
          <t>C-02.01</t>
        </is>
      </c>
      <c r="C5" s="16" t="inlineStr">
        <is>
          <t>Batch Output Basis:</t>
        </is>
      </c>
      <c r="D5" s="53" t="n">
        <v>100</v>
      </c>
      <c r="E5" s="16" t="inlineStr">
        <is>
          <t>Output Unit:</t>
        </is>
      </c>
      <c r="F5" s="44" t="inlineStr">
        <is>
          <t>sqm</t>
        </is>
      </c>
      <c r="G5" s="16" t="inlineStr">
        <is>
          <t>Trade Sub-Head:</t>
        </is>
      </c>
      <c r="H5" s="112" t="inlineStr">
        <is>
          <t>02 Earth Work</t>
        </is>
      </c>
    </row>
    <row r="6" ht="36" customHeight="1">
      <c r="A6" s="16" t="inlineStr">
        <is>
          <t>Item Nomenclature / Full Description:</t>
        </is>
      </c>
      <c r="B6" s="46" t="inlineStr">
        <is>
          <t>Earth work in surface excavation not exceeding 30 cm in depth, exceeding 1.5m width and 10 sqm plan, getting out and disposal upto 50m lead and 1.5m lift in all kinds of soil</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IF(G27&gt;0, "OK", "ERR: W&lt;=0")</f>
        <v/>
      </c>
      <c r="G7" s="59" t="inlineStr">
        <is>
          <t>Markup Flow Check:</t>
        </is>
      </c>
      <c r="H7" s="60">
        <f>IF(AND(G27&lt;=G29, G29&lt;=G31, G31&lt;=G33), "OK", "ERR: Markups Broken")</f>
        <v/>
      </c>
    </row>
    <row r="8" ht="24" customHeight="1">
      <c r="A8" s="42" t="inlineStr">
        <is>
          <t>1. LABOUR &amp; MACHINERY COMPONENT BUILD-UP (Note: Equipment codes 0001-0083 include driver, fuel &amp; lubricants per 8-hr shift)</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9" t="n">
        <v>1</v>
      </c>
      <c r="B10" s="44" t="inlineStr">
        <is>
          <t>0114</t>
        </is>
      </c>
      <c r="C10" s="63">
        <f>IF(B10="","", IFERROR(INDEX(Rates_Master!$C:$C, MATCH(B10, Rates_Master!$A:$A, 0)), "Custom Resource"))</f>
        <v/>
      </c>
      <c r="D10" s="64">
        <f>IF(B10="","", IFERROR(INDEX(Rates_Master!$D:$D, MATCH(B10, Rates_Master!$A:$A, 0)), ""))</f>
        <v/>
      </c>
      <c r="E10" s="65" t="n">
        <v>6.8</v>
      </c>
      <c r="F10" s="66">
        <f>IF(B10="","", IFERROR(INDEX(Rates_Master!$E:$E, MATCH(B10, Rates_Master!$A:$A, 0)), 0))</f>
        <v/>
      </c>
      <c r="G10" s="34">
        <f>IF(OR(B10="", E10=""), 0, ROUND(E10 * F10, 2))</f>
        <v/>
      </c>
      <c r="H10" s="67" t="inlineStr">
        <is>
          <t>Beldar (excavation &amp; throwing)</t>
        </is>
      </c>
    </row>
    <row r="11" ht="20" customHeight="1">
      <c r="A11" s="19" t="n">
        <v>2</v>
      </c>
      <c r="B11" s="44" t="inlineStr">
        <is>
          <t>0115</t>
        </is>
      </c>
      <c r="C11" s="63">
        <f>IF(B11="","", IFERROR(INDEX(Rates_Master!$C:$C, MATCH(B11, Rates_Master!$A:$A, 0)), "Custom Resource"))</f>
        <v/>
      </c>
      <c r="D11" s="64">
        <f>IF(B11="","", IFERROR(INDEX(Rates_Master!$D:$D, MATCH(B11, Rates_Master!$A:$A, 0)), ""))</f>
        <v/>
      </c>
      <c r="E11" s="65" t="n">
        <v>5.6</v>
      </c>
      <c r="F11" s="66">
        <f>IF(B11="","", IFERROR(INDEX(Rates_Master!$E:$E, MATCH(B11, Rates_Master!$A:$A, 0)), 0))</f>
        <v/>
      </c>
      <c r="G11" s="34">
        <f>IF(OR(B11="", E11=""), 0, ROUND(E11 * F11, 2))</f>
        <v/>
      </c>
      <c r="H11" s="67" t="inlineStr">
        <is>
          <t>Coolie (carrying &amp; disposal upto 50m)</t>
        </is>
      </c>
    </row>
    <row r="12" ht="20" customHeight="1">
      <c r="A12" s="19" t="n">
        <v>3</v>
      </c>
      <c r="B12" s="44" t="inlineStr"/>
      <c r="C12" s="63">
        <f>IF(B12="","", IFERROR(INDEX(Rates_Master!$C:$C, MATCH(B12, Rates_Master!$A:$A, 0)), "Custom Resource"))</f>
        <v/>
      </c>
      <c r="D12" s="64">
        <f>IF(B12="","", IFERROR(INDEX(Rates_Master!$D:$D, MATCH(B12, Rates_Master!$A:$A, 0)), ""))</f>
        <v/>
      </c>
      <c r="E12" s="65" t="n"/>
      <c r="F12" s="66">
        <f>IF(B12="","", IFERROR(INDEX(Rates_Master!$E:$E, MATCH(B12, Rates_Master!$A:$A, 0)), 0))</f>
        <v/>
      </c>
      <c r="G12" s="34">
        <f>IF(OR(B12="", E12=""), 0, ROUND(E12 * F12, 2))</f>
        <v/>
      </c>
      <c r="H12" s="67" t="inlineStr"/>
    </row>
    <row r="13" ht="20" customHeight="1">
      <c r="A13" s="19" t="n">
        <v>4</v>
      </c>
      <c r="B13" s="44" t="inlineStr"/>
      <c r="C13" s="63">
        <f>IF(B13="","", IFERROR(INDEX(Rates_Master!$C:$C, MATCH(B13, Rates_Master!$A:$A, 0)), "Custom Resource"))</f>
        <v/>
      </c>
      <c r="D13" s="64">
        <f>IF(B13="","", IFERROR(INDEX(Rates_Master!$D:$D, MATCH(B13, Rates_Master!$A:$A, 0)), ""))</f>
        <v/>
      </c>
      <c r="E13" s="65" t="n"/>
      <c r="F13" s="66">
        <f>IF(B13="","", IFERROR(INDEX(Rates_Master!$E:$E, MATCH(B13, Rates_Master!$A:$A, 0)), 0))</f>
        <v/>
      </c>
      <c r="G13" s="34">
        <f>IF(OR(B13="", E13=""), 0, ROUND(E13 * F13, 2))</f>
        <v/>
      </c>
      <c r="H13" s="67" t="inlineStr"/>
    </row>
    <row r="14" ht="20" customHeight="1">
      <c r="A14" s="19" t="n">
        <v>5</v>
      </c>
      <c r="B14" s="44" t="inlineStr"/>
      <c r="C14" s="63">
        <f>IF(B14="","", IFERROR(INDEX(Rates_Master!$C:$C, MATCH(B14, Rates_Master!$A:$A, 0)), "Custom Resource"))</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Resource"))</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Resource"))</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Resource"))</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Resource"))</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Resource"))</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Labour &amp; Plant Hire (₹):</t>
        </is>
      </c>
      <c r="B20" s="69" t="n"/>
      <c r="C20" s="69" t="n"/>
      <c r="D20" s="69" t="n"/>
      <c r="E20" s="69" t="n"/>
      <c r="F20" s="69" t="n"/>
      <c r="G20" s="70">
        <f>SUM(G10:G19)</f>
        <v/>
      </c>
      <c r="H20" s="69" t="n"/>
    </row>
    <row r="21"/>
    <row r="22" ht="24" customHeight="1">
      <c r="A22" s="42" t="inlineStr">
        <is>
          <t>2. SUNDRIES &amp; LUMP-SUM ALLOWANCES</t>
        </is>
      </c>
    </row>
    <row r="23" ht="22" customHeight="1">
      <c r="A23" s="19" t="inlineStr">
        <is>
          <t>1</t>
        </is>
      </c>
      <c r="B23" s="60" t="inlineStr">
        <is>
          <t>9999</t>
        </is>
      </c>
      <c r="C23" s="72" t="inlineStr">
        <is>
          <t>Sundries (guided by Sundries_Reference sheet)</t>
        </is>
      </c>
      <c r="D23" s="19" t="inlineStr">
        <is>
          <t>L.S.</t>
        </is>
      </c>
      <c r="E23" s="113" t="n">
        <v>0</v>
      </c>
      <c r="F23" s="114">
        <f>Factor_Sundries</f>
        <v/>
      </c>
      <c r="G23" s="9">
        <f>ROUND(E23 * F23, 2)</f>
        <v/>
      </c>
      <c r="H23" s="115" t="inlineStr">
        <is>
          <t>Cost Index Multiplier (2.00) applied on base allowance</t>
        </is>
      </c>
    </row>
    <row r="24"/>
    <row r="25" ht="24" customHeight="1">
      <c r="A25" s="42"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75" t="inlineStr">
        <is>
          <t>Base Direct Production Cost (Labour + Plant + Sundries)</t>
        </is>
      </c>
      <c r="C27" s="76" t="inlineStr">
        <is>
          <t>—</t>
        </is>
      </c>
      <c r="D27" s="76" t="inlineStr">
        <is>
          <t>Direct Sum</t>
        </is>
      </c>
      <c r="E27" s="77" t="inlineStr">
        <is>
          <t>—</t>
        </is>
      </c>
      <c r="F27" s="77" t="inlineStr">
        <is>
          <t>—</t>
        </is>
      </c>
      <c r="G27" s="5">
        <f>G20 + G23</f>
        <v/>
      </c>
      <c r="H27" s="24" t="inlineStr">
        <is>
          <t>Total direct cost of production (W) before statutory overheads</t>
        </is>
      </c>
    </row>
    <row r="28" ht="24" customHeight="1">
      <c r="A28" s="60" t="inlineStr">
        <is>
          <t>X1</t>
        </is>
      </c>
      <c r="B28" s="20" t="inlineStr">
        <is>
          <t>Add Water Charges (1% on W)</t>
        </is>
      </c>
      <c r="C28" s="44" t="inlineStr">
        <is>
          <t>YES</t>
        </is>
      </c>
      <c r="D28" s="19" t="inlineStr">
        <is>
          <t>On "W"</t>
        </is>
      </c>
      <c r="E28" s="78">
        <f>G27</f>
        <v/>
      </c>
      <c r="F28" s="79">
        <f>Factor_Water</f>
        <v/>
      </c>
      <c r="G28" s="80">
        <f>IF(C28="YES", ROUND(E28 * F28, 2), 0)</f>
        <v/>
      </c>
      <c r="H28" s="24" t="inlineStr">
        <is>
          <t>CPWD Standard: 1% water charges on labour cost for site compaction water and dust suppression.</t>
        </is>
      </c>
    </row>
    <row r="29" ht="24" customHeight="1">
      <c r="A29" s="2" t="inlineStr">
        <is>
          <t>X</t>
        </is>
      </c>
      <c r="B29" s="75" t="inlineStr">
        <is>
          <t>Subtotal "X" (W + Water Charges)</t>
        </is>
      </c>
      <c r="C29" s="76" t="inlineStr">
        <is>
          <t>—</t>
        </is>
      </c>
      <c r="D29" s="76" t="inlineStr">
        <is>
          <t>W + Water</t>
        </is>
      </c>
      <c r="E29" s="77" t="inlineStr">
        <is>
          <t>—</t>
        </is>
      </c>
      <c r="F29" s="77" t="inlineStr">
        <is>
          <t>—</t>
        </is>
      </c>
      <c r="G29" s="5">
        <f>G27 + G28</f>
        <v/>
      </c>
      <c r="H29" s="24" t="inlineStr">
        <is>
          <t>Compounded base for GST calculation</t>
        </is>
      </c>
    </row>
    <row r="30" ht="24" customHeight="1">
      <c r="A30" s="60" t="inlineStr">
        <is>
          <t>Y1</t>
        </is>
      </c>
      <c r="B30" s="20" t="inlineStr">
        <is>
          <t>Add GST on Works Contract</t>
        </is>
      </c>
      <c r="C30" s="44" t="inlineStr">
        <is>
          <t>YES</t>
        </is>
      </c>
      <c r="D30" s="19" t="inlineStr">
        <is>
          <t>On "X"</t>
        </is>
      </c>
      <c r="E30" s="78">
        <f>G29</f>
        <v/>
      </c>
      <c r="F30" s="79">
        <f>Factor_GST</f>
        <v/>
      </c>
      <c r="G30" s="80">
        <f>IF(C30="YES", ROUND(E30 * F30, 2), 0)</f>
        <v/>
      </c>
      <c r="H30" s="24" t="inlineStr">
        <is>
          <t>CPWD DAR multiplying factor 0.1405 (works contract tax).</t>
        </is>
      </c>
    </row>
    <row r="31" ht="24" customHeight="1">
      <c r="A31" s="2" t="inlineStr">
        <is>
          <t>Y</t>
        </is>
      </c>
      <c r="B31" s="75" t="inlineStr">
        <is>
          <t>Subtotal "Y" (X + GST)</t>
        </is>
      </c>
      <c r="C31" s="76" t="inlineStr">
        <is>
          <t>—</t>
        </is>
      </c>
      <c r="D31" s="76" t="inlineStr">
        <is>
          <t>X + GST</t>
        </is>
      </c>
      <c r="E31" s="77" t="inlineStr">
        <is>
          <t>—</t>
        </is>
      </c>
      <c r="F31" s="77" t="inlineStr">
        <is>
          <t>—</t>
        </is>
      </c>
      <c r="G31" s="5">
        <f>G29 + G30</f>
        <v/>
      </c>
      <c r="H31" s="24" t="inlineStr">
        <is>
          <t>Compounded base for Contractor Profit &amp; Overheads</t>
        </is>
      </c>
    </row>
    <row r="32" ht="24" customHeight="1">
      <c r="A32" s="60" t="inlineStr">
        <is>
          <t>Z1</t>
        </is>
      </c>
      <c r="B32" s="20" t="inlineStr">
        <is>
          <t>Add Contractor Profit &amp; Overheads (15% CPOH)</t>
        </is>
      </c>
      <c r="C32" s="44" t="inlineStr">
        <is>
          <t>YES</t>
        </is>
      </c>
      <c r="D32" s="19" t="inlineStr">
        <is>
          <t>On "Y"</t>
        </is>
      </c>
      <c r="E32" s="78">
        <f>G31</f>
        <v/>
      </c>
      <c r="F32" s="79">
        <f>Factor_CPOH</f>
        <v/>
      </c>
      <c r="G32" s="80">
        <f>IF(C32="YES", ROUND(E32 * F32, 2), 0)</f>
        <v/>
      </c>
      <c r="H32" s="24" t="inlineStr">
        <is>
          <t>Standard 15% Contractor Profit &amp; Overheads.</t>
        </is>
      </c>
    </row>
    <row r="33" ht="24" customHeight="1">
      <c r="A33" s="2" t="inlineStr">
        <is>
          <t>Z</t>
        </is>
      </c>
      <c r="B33" s="75" t="inlineStr">
        <is>
          <t>Subtotal "Z" (Y + CPOH)</t>
        </is>
      </c>
      <c r="C33" s="76" t="inlineStr">
        <is>
          <t>—</t>
        </is>
      </c>
      <c r="D33" s="76" t="inlineStr">
        <is>
          <t>Y + CPOH</t>
        </is>
      </c>
      <c r="E33" s="77" t="inlineStr">
        <is>
          <t>—</t>
        </is>
      </c>
      <c r="F33" s="77" t="inlineStr">
        <is>
          <t>—</t>
        </is>
      </c>
      <c r="G33" s="5">
        <f>G31 + G32</f>
        <v/>
      </c>
      <c r="H33" s="24" t="inlineStr">
        <is>
          <t>Compounded base for Labour Welfare Cess</t>
        </is>
      </c>
    </row>
    <row r="34" ht="24" customHeight="1">
      <c r="A34" s="60" t="inlineStr">
        <is>
          <t>Z2</t>
        </is>
      </c>
      <c r="B34" s="20" t="inlineStr">
        <is>
          <t>Add Labour Welfare Cess (1% BOCW Cess)</t>
        </is>
      </c>
      <c r="C34" s="44" t="inlineStr">
        <is>
          <t>YES</t>
        </is>
      </c>
      <c r="D34" s="19" t="inlineStr">
        <is>
          <t>On "Z"</t>
        </is>
      </c>
      <c r="E34" s="78">
        <f>G33</f>
        <v/>
      </c>
      <c r="F34" s="79">
        <f>Factor_Cess</f>
        <v/>
      </c>
      <c r="G34" s="80">
        <f>IF(C34="YES", ROUND(E34 * F34, 2), 0)</f>
        <v/>
      </c>
      <c r="H34" s="24" t="inlineStr">
        <is>
          <t>Statutory 1% BOCW Welfare Cess.</t>
        </is>
      </c>
    </row>
    <row r="35" ht="24" customHeight="1">
      <c r="A35" s="30" t="inlineStr">
        <is>
          <t>Cost</t>
        </is>
      </c>
      <c r="B35" s="82">
        <f>"Total Cost of Batch (" &amp; TEXT(D5, "0.00") &amp; " " &amp; F5 &amp; "):"</f>
        <v/>
      </c>
      <c r="C35" s="83" t="inlineStr">
        <is>
          <t>—</t>
        </is>
      </c>
      <c r="D35" s="83" t="inlineStr">
        <is>
          <t>Z + Cess</t>
        </is>
      </c>
      <c r="E35" s="84" t="inlineStr">
        <is>
          <t>—</t>
        </is>
      </c>
      <c r="F35" s="84" t="inlineStr">
        <is>
          <t>—</t>
        </is>
      </c>
      <c r="G35" s="73">
        <f>G33 + G34</f>
        <v/>
      </c>
      <c r="H35" s="24" t="inlineStr">
        <is>
          <t>Total cost for batch specified in row 5</t>
        </is>
      </c>
    </row>
    <row r="36" ht="24" customHeight="1">
      <c r="A36" s="2" t="inlineStr">
        <is>
          <t>Rate</t>
        </is>
      </c>
      <c r="B36" s="75">
        <f>"Analyzed Unit Rate per 1.00 " &amp; F5 &amp; ":"</f>
        <v/>
      </c>
      <c r="C36" s="76" t="inlineStr">
        <is>
          <t>—</t>
        </is>
      </c>
      <c r="D36" s="76" t="inlineStr">
        <is>
          <t>Cost / Batch Qty</t>
        </is>
      </c>
      <c r="E36" s="77" t="inlineStr">
        <is>
          <t>—</t>
        </is>
      </c>
      <c r="F36" s="77" t="inlineStr">
        <is>
          <t>—</t>
        </is>
      </c>
      <c r="G36" s="5">
        <f>ROUND(G35 / D5, 2)</f>
        <v/>
      </c>
      <c r="H36" s="24" t="inlineStr">
        <is>
          <t>Base rate per single unit of measurement</t>
        </is>
      </c>
    </row>
    <row r="37" ht="30" customHeight="1">
      <c r="A37" s="85" t="inlineStr">
        <is>
          <t>SAY</t>
        </is>
      </c>
      <c r="B37" s="86">
        <f>"OFFICIAL SAY RATE (₹ per " &amp; F5 &amp; "):"</f>
        <v/>
      </c>
      <c r="C37" s="87" t="inlineStr">
        <is>
          <t>—</t>
        </is>
      </c>
      <c r="D37" s="87" t="inlineStr">
        <is>
          <t>Final Say</t>
        </is>
      </c>
      <c r="E37" s="88" t="inlineStr">
        <is>
          <t>—</t>
        </is>
      </c>
      <c r="F37" s="88" t="inlineStr">
        <is>
          <t>—</t>
        </is>
      </c>
      <c r="G37" s="89">
        <f>ROUND(G36, 2)</f>
        <v/>
      </c>
      <c r="H37" s="24" t="inlineStr">
        <is>
          <t>OFFICIAL CPWD ROUNDED RATE FOR TENDER SCHEDULES &amp; ESTIMATES</t>
        </is>
      </c>
    </row>
    <row r="38"/>
    <row r="39"/>
    <row r="40" ht="24" customHeight="1">
      <c r="A40" s="42" t="inlineStr">
        <is>
          <t>4. RUNNING CUSTOM NON-DSR ITEMS LIBRARY FOR EARTH WORK</t>
        </is>
      </c>
    </row>
    <row r="41" ht="20" customHeight="1">
      <c r="A41" s="116"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107" t="inlineStr">
        <is>
          <t>2.1.1</t>
        </is>
      </c>
      <c r="B43" s="108" t="inlineStr">
        <is>
          <t>Earth work in surface excavation in all kinds of soil upto 50m lead and 1.5m lift</t>
        </is>
      </c>
      <c r="C43" s="109" t="inlineStr">
        <is>
          <t>sqm</t>
        </is>
      </c>
      <c r="D43" s="109" t="n">
        <v>100</v>
      </c>
      <c r="E43" s="110" t="n">
        <v>6919.2</v>
      </c>
      <c r="F43" s="109" t="inlineStr">
        <is>
          <t>Full W-&gt;X-&gt;Y-&gt;Z</t>
        </is>
      </c>
      <c r="G43" s="110" t="n">
        <v>92.56999999999999</v>
      </c>
      <c r="H43" s="111" t="n">
        <v>92.55</v>
      </c>
    </row>
    <row r="44" ht="20" customHeight="1">
      <c r="A44" s="81" t="inlineStr">
        <is>
          <t>2.2.1</t>
        </is>
      </c>
      <c r="B44" s="103" t="inlineStr">
        <is>
          <t>Earth work in rough excavation, banking excavated earth in layers with watering &amp; rolling</t>
        </is>
      </c>
      <c r="C44" s="104" t="inlineStr">
        <is>
          <t>cum</t>
        </is>
      </c>
      <c r="D44" s="104" t="n">
        <v>10</v>
      </c>
      <c r="E44" s="105" t="n">
        <v>5581.72</v>
      </c>
      <c r="F44" s="104" t="inlineStr">
        <is>
          <t>Full W-&gt;X-&gt;Y-&gt;Z</t>
        </is>
      </c>
      <c r="G44" s="105" t="n">
        <v>746.8</v>
      </c>
      <c r="H44" s="106" t="n">
        <v>746.8</v>
      </c>
    </row>
    <row r="45" ht="20" customHeight="1">
      <c r="A45" s="107" t="inlineStr">
        <is>
          <t>C-02.03</t>
        </is>
      </c>
      <c r="B45" s="108" t="inlineStr">
        <is>
          <t>(Available for new custom earthwork item)</t>
        </is>
      </c>
      <c r="C45" s="109" t="inlineStr">
        <is>
          <t>sqm</t>
        </is>
      </c>
      <c r="D45" s="109" t="n">
        <v>100</v>
      </c>
      <c r="E45" s="110" t="n"/>
      <c r="F45" s="109" t="inlineStr">
        <is>
          <t>Full W-&gt;X-&gt;Y-&gt;Z</t>
        </is>
      </c>
      <c r="G45" s="110" t="n"/>
      <c r="H45" s="111" t="n"/>
    </row>
    <row r="46" ht="20" customHeight="1">
      <c r="A46" s="81" t="inlineStr">
        <is>
          <t>C-02.04</t>
        </is>
      </c>
      <c r="B46" s="103" t="inlineStr">
        <is>
          <t>(Available for new custom earthwork item)</t>
        </is>
      </c>
      <c r="C46" s="104" t="inlineStr">
        <is>
          <t>sqm</t>
        </is>
      </c>
      <c r="D46" s="104" t="n">
        <v>100</v>
      </c>
      <c r="E46" s="105" t="n"/>
      <c r="F46" s="104" t="inlineStr">
        <is>
          <t>Full W-&gt;X-&gt;Y-&gt;Z</t>
        </is>
      </c>
      <c r="G46" s="105" t="n"/>
      <c r="H46" s="106" t="n"/>
    </row>
    <row r="47" ht="20" customHeight="1">
      <c r="A47" s="107" t="inlineStr">
        <is>
          <t>C-02.05</t>
        </is>
      </c>
      <c r="B47" s="108" t="inlineStr">
        <is>
          <t>(Available for new custom earthwork item)</t>
        </is>
      </c>
      <c r="C47" s="109" t="inlineStr">
        <is>
          <t>sqm</t>
        </is>
      </c>
      <c r="D47" s="109" t="n">
        <v>100</v>
      </c>
      <c r="E47" s="110" t="n"/>
      <c r="F47" s="109" t="inlineStr">
        <is>
          <t>Full W-&gt;X-&gt;Y-&gt;Z</t>
        </is>
      </c>
      <c r="G47" s="110" t="n"/>
      <c r="H47" s="111" t="n"/>
    </row>
    <row r="48" ht="20" customHeight="1">
      <c r="A48" s="81" t="inlineStr">
        <is>
          <t>C-02.06</t>
        </is>
      </c>
      <c r="B48" s="103" t="inlineStr">
        <is>
          <t>(Available for new custom earthwork item)</t>
        </is>
      </c>
      <c r="C48" s="104" t="inlineStr">
        <is>
          <t>sqm</t>
        </is>
      </c>
      <c r="D48" s="104" t="n">
        <v>100</v>
      </c>
      <c r="E48" s="105" t="n"/>
      <c r="F48" s="104" t="inlineStr">
        <is>
          <t>Full W-&gt;X-&gt;Y-&gt;Z</t>
        </is>
      </c>
      <c r="G48" s="105" t="n"/>
      <c r="H48" s="106" t="n"/>
    </row>
    <row r="49" ht="20" customHeight="1">
      <c r="A49" s="107" t="inlineStr">
        <is>
          <t>C-02.07</t>
        </is>
      </c>
      <c r="B49" s="108" t="inlineStr">
        <is>
          <t>(Available for new custom earthwork item)</t>
        </is>
      </c>
      <c r="C49" s="109" t="inlineStr">
        <is>
          <t>sqm</t>
        </is>
      </c>
      <c r="D49" s="109" t="n">
        <v>100</v>
      </c>
      <c r="E49" s="110" t="n"/>
      <c r="F49" s="109" t="inlineStr">
        <is>
          <t>Full W-&gt;X-&gt;Y-&gt;Z</t>
        </is>
      </c>
      <c r="G49" s="110" t="n"/>
      <c r="H49" s="111" t="n"/>
    </row>
    <row r="50" ht="20" customHeight="1">
      <c r="A50" s="81" t="inlineStr">
        <is>
          <t>C-02.08</t>
        </is>
      </c>
      <c r="B50" s="103" t="inlineStr">
        <is>
          <t>(Available for new custom earthwork item)</t>
        </is>
      </c>
      <c r="C50" s="104" t="inlineStr">
        <is>
          <t>sqm</t>
        </is>
      </c>
      <c r="D50" s="104" t="n">
        <v>100</v>
      </c>
      <c r="E50" s="105" t="n"/>
      <c r="F50" s="104" t="inlineStr">
        <is>
          <t>Full W-&gt;X-&gt;Y-&gt;Z</t>
        </is>
      </c>
      <c r="G50" s="105" t="n"/>
      <c r="H50" s="106"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4" t="inlineStr">
        <is>
          <t>C-03.01</t>
        </is>
      </c>
      <c r="C5" s="16" t="inlineStr">
        <is>
          <t>Batch Output Basis:</t>
        </is>
      </c>
      <c r="D5" s="53" t="n">
        <v>1</v>
      </c>
      <c r="E5" s="16" t="inlineStr">
        <is>
          <t>Output Unit:</t>
        </is>
      </c>
      <c r="F5" s="44" t="inlineStr">
        <is>
          <t>cum</t>
        </is>
      </c>
      <c r="G5" s="16" t="inlineStr">
        <is>
          <t>Trade Sub-Head:</t>
        </is>
      </c>
      <c r="H5" s="112" t="inlineStr">
        <is>
          <t>03 Mortars</t>
        </is>
      </c>
    </row>
    <row r="6" ht="36" customHeight="1">
      <c r="A6" s="16" t="inlineStr">
        <is>
          <t>Item Nomenclature / Full Description:</t>
        </is>
      </c>
      <c r="B6" s="46" t="inlineStr">
        <is>
          <t>Cement mortar 1:4 (1 cement : 4 coarse sand) — Intermediate mix for downstream trade consumption</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0367</t>
        </is>
      </c>
      <c r="C10" s="63">
        <f>IF(B10="","", IFERROR(INDEX(Rates_Master!$C:$C, MATCH(B10, Rates_Master!$A:$A, 0)), "Custom / Intermediate Material"))</f>
        <v/>
      </c>
      <c r="D10" s="64">
        <f>IF(B10="","", IFERROR(INDEX(Rates_Master!$D:$D, MATCH(B10, Rates_Master!$A:$A, 0)), ""))</f>
        <v/>
      </c>
      <c r="E10" s="65" t="n">
        <v>0.38</v>
      </c>
      <c r="F10" s="66">
        <f>IF(B10="","", IFERROR(INDEX(Rates_Master!$E:$E, MATCH(B10, Rates_Master!$A:$A, 0)), 0))</f>
        <v/>
      </c>
      <c r="G10" s="34">
        <f>IF(OR(B10="", E10=""), 0, ROUND(E10 * F10, 2))</f>
        <v/>
      </c>
      <c r="H10" s="67" t="inlineStr">
        <is>
          <t>Portland Cement (0.269 cum = 0.38 tonne)</t>
        </is>
      </c>
    </row>
    <row r="11" ht="20" customHeight="1">
      <c r="A11" s="19" t="n">
        <v>2</v>
      </c>
      <c r="B11" s="44" t="inlineStr">
        <is>
          <t>2209</t>
        </is>
      </c>
      <c r="C11" s="63">
        <f>IF(B11="","", IFERROR(INDEX(Rates_Master!$C:$C, MATCH(B11, Rates_Master!$A:$A, 0)), "Custom / Intermediate Material"))</f>
        <v/>
      </c>
      <c r="D11" s="64">
        <f>IF(B11="","", IFERROR(INDEX(Rates_Master!$D:$D, MATCH(B11, Rates_Master!$A:$A, 0)), ""))</f>
        <v/>
      </c>
      <c r="E11" s="65" t="n">
        <v>0.38</v>
      </c>
      <c r="F11" s="66">
        <f>IF(B11="","", IFERROR(INDEX(Rates_Master!$E:$E, MATCH(B11, Rates_Master!$A:$A, 0)), 0))</f>
        <v/>
      </c>
      <c r="G11" s="34">
        <f>IF(OR(B11="", E11=""), 0, ROUND(E11 * F11, 2))</f>
        <v/>
      </c>
      <c r="H11" s="67" t="inlineStr">
        <is>
          <t>Carriage of Cement</t>
        </is>
      </c>
    </row>
    <row r="12" ht="20" customHeight="1">
      <c r="A12" s="19" t="n">
        <v>3</v>
      </c>
      <c r="B12" s="44" t="inlineStr">
        <is>
          <t>0982</t>
        </is>
      </c>
      <c r="C12" s="63">
        <f>IF(B12="","", IFERROR(INDEX(Rates_Master!$C:$C, MATCH(B12, Rates_Master!$A:$A, 0)), "Custom / Intermediate Material"))</f>
        <v/>
      </c>
      <c r="D12" s="64">
        <f>IF(B12="","", IFERROR(INDEX(Rates_Master!$D:$D, MATCH(B12, Rates_Master!$A:$A, 0)), ""))</f>
        <v/>
      </c>
      <c r="E12" s="65" t="n">
        <v>1.07</v>
      </c>
      <c r="F12" s="66">
        <f>IF(B12="","", IFERROR(INDEX(Rates_Master!$E:$E, MATCH(B12, Rates_Master!$A:$A, 0)), 0))</f>
        <v/>
      </c>
      <c r="G12" s="34">
        <f>IF(OR(B12="", E12=""), 0, ROUND(E12 * F12, 2))</f>
        <v/>
      </c>
      <c r="H12" s="67" t="inlineStr">
        <is>
          <t>Coarse sand (zone III)</t>
        </is>
      </c>
    </row>
    <row r="13" ht="20" customHeight="1">
      <c r="A13" s="19" t="n">
        <v>4</v>
      </c>
      <c r="B13" s="44" t="inlineStr">
        <is>
          <t>2203</t>
        </is>
      </c>
      <c r="C13" s="63">
        <f>IF(B13="","", IFERROR(INDEX(Rates_Master!$C:$C, MATCH(B13, Rates_Master!$A:$A, 0)), "Custom / Intermediate Material"))</f>
        <v/>
      </c>
      <c r="D13" s="64">
        <f>IF(B13="","", IFERROR(INDEX(Rates_Master!$D:$D, MATCH(B13, Rates_Master!$A:$A, 0)), ""))</f>
        <v/>
      </c>
      <c r="E13" s="65" t="n">
        <v>1.07</v>
      </c>
      <c r="F13" s="66">
        <f>IF(B13="","", IFERROR(INDEX(Rates_Master!$E:$E, MATCH(B13, Rates_Master!$A:$A, 0)), 0))</f>
        <v/>
      </c>
      <c r="G13" s="34">
        <f>IF(OR(B13="", E13=""), 0, ROUND(E13 * F13, 2))</f>
        <v/>
      </c>
      <c r="H13" s="67" t="inlineStr">
        <is>
          <t>Carriage of Coarse sand</t>
        </is>
      </c>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0114</t>
        </is>
      </c>
      <c r="C24" s="63">
        <f>IF(B24="","", IFERROR(INDEX(Rates_Master!$C:$C, MATCH(B24, Rates_Master!$A:$A, 0)), "Custom Labour/Plant"))</f>
        <v/>
      </c>
      <c r="D24" s="64">
        <f>IF(B24="","", IFERROR(INDEX(Rates_Master!$D:$D, MATCH(B24, Rates_Master!$A:$A, 0)), ""))</f>
        <v/>
      </c>
      <c r="E24" s="65" t="n">
        <v>0.75</v>
      </c>
      <c r="F24" s="66">
        <f>IF(B24="","", IFERROR(INDEX(Rates_Master!$E:$E, MATCH(B24, Rates_Master!$A:$A, 0)), 0))</f>
        <v/>
      </c>
      <c r="G24" s="34">
        <f>IF(OR(B24="", E24=""), 0, ROUND(E24 * F24, 2))</f>
        <v/>
      </c>
      <c r="H24" s="67" t="inlineStr">
        <is>
          <t>Beldar (measuring, carrying &amp; mixing)</t>
        </is>
      </c>
    </row>
    <row r="25" ht="20" customHeight="1">
      <c r="A25" s="19" t="n">
        <v>2</v>
      </c>
      <c r="B25" s="44" t="inlineStr">
        <is>
          <t>0101</t>
        </is>
      </c>
      <c r="C25" s="63">
        <f>IF(B25="","", IFERROR(INDEX(Rates_Master!$C:$C, MATCH(B25, Rates_Master!$A:$A, 0)), "Custom Labour/Plant"))</f>
        <v/>
      </c>
      <c r="D25" s="64">
        <f>IF(B25="","", IFERROR(INDEX(Rates_Master!$D:$D, MATCH(B25, Rates_Master!$A:$A, 0)), ""))</f>
        <v/>
      </c>
      <c r="E25" s="65" t="n">
        <v>0.07000000000000001</v>
      </c>
      <c r="F25" s="66">
        <f>IF(B25="","", IFERROR(INDEX(Rates_Master!$E:$E, MATCH(B25, Rates_Master!$A:$A, 0)), 0))</f>
        <v/>
      </c>
      <c r="G25" s="34">
        <f>IF(OR(B25="", E25=""), 0, ROUND(E25 * F25, 2))</f>
        <v/>
      </c>
      <c r="H25" s="67" t="inlineStr">
        <is>
          <t>Bhisti (watering)</t>
        </is>
      </c>
    </row>
    <row r="26" ht="20" customHeight="1">
      <c r="A26" s="19" t="n">
        <v>3</v>
      </c>
      <c r="B26" s="44" t="inlineStr"/>
      <c r="C26" s="63">
        <f>IF(B26="","", IFERROR(INDEX(Rates_Master!$C:$C, MATCH(B26, Rates_Master!$A:$A, 0)), "Custom Labour/Plant"))</f>
        <v/>
      </c>
      <c r="D26" s="64">
        <f>IF(B26="","", IFERROR(INDEX(Rates_Master!$D:$D, MATCH(B26, Rates_Master!$A:$A, 0)), ""))</f>
        <v/>
      </c>
      <c r="E26" s="65" t="n"/>
      <c r="F26" s="66">
        <f>IF(B26="","", IFERROR(INDEX(Rates_Master!$E:$E, MATCH(B26, Rates_Master!$A:$A, 0)), 0))</f>
        <v/>
      </c>
      <c r="G26" s="34">
        <f>IF(OR(B26="", E26=""), 0, ROUND(E26 * F26, 2))</f>
        <v/>
      </c>
      <c r="H26" s="67" t="inlineStr"/>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13.52</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NO</t>
        </is>
      </c>
      <c r="D42" s="19" t="inlineStr">
        <is>
          <t>On "W"</t>
        </is>
      </c>
      <c r="E42" s="78">
        <f>G41</f>
        <v/>
      </c>
      <c r="F42" s="79">
        <f>Factor_Water</f>
        <v/>
      </c>
      <c r="G42" s="80">
        <f>IF(C42="YES", ROUND(E42 * F42, 2), 0)</f>
        <v/>
      </c>
      <c r="H42" s="24" t="inlineStr">
        <is>
          <t>CPWD RULE: 0% markup default. Water is not added here as it is marked up once in Masonry/Flooring.</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NO</t>
        </is>
      </c>
      <c r="D44" s="19" t="inlineStr">
        <is>
          <t>On "X"</t>
        </is>
      </c>
      <c r="E44" s="78">
        <f>G43</f>
        <v/>
      </c>
      <c r="F44" s="79">
        <f>Factor_GST</f>
        <v/>
      </c>
      <c r="G44" s="80">
        <f>IF(C44="YES", ROUND(E44 * F44, 2), 0)</f>
        <v/>
      </c>
      <c r="H44" s="24" t="inlineStr">
        <is>
          <t>CPWD RULE: GST is not added here to prevent double taxation when imported into Masonry.</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NO</t>
        </is>
      </c>
      <c r="D46" s="19" t="inlineStr">
        <is>
          <t>On "Y"</t>
        </is>
      </c>
      <c r="E46" s="78">
        <f>G45</f>
        <v/>
      </c>
      <c r="F46" s="79">
        <f>Factor_CPOH</f>
        <v/>
      </c>
      <c r="G46" s="80">
        <f>IF(C46="YES", ROUND(E46 * F46, 2), 0)</f>
        <v/>
      </c>
      <c r="H46" s="24" t="inlineStr">
        <is>
          <t>CPWD RULE: Contractor profit is not added to intermediate mortar. Consuming trades add 15% CPOH over combined total.</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NO</t>
        </is>
      </c>
      <c r="D48" s="19" t="inlineStr">
        <is>
          <t>On "Z"</t>
        </is>
      </c>
      <c r="E48" s="78">
        <f>G47</f>
        <v/>
      </c>
      <c r="F48" s="79">
        <f>Factor_Cess</f>
        <v/>
      </c>
      <c r="G48" s="80">
        <f>IF(C48="YES", ROUND(E48 * F48, 2), 0)</f>
        <v/>
      </c>
      <c r="H48" s="24" t="inlineStr">
        <is>
          <t>CPWD RULE: 0% Cess here; applied once at the end of the consuming trade item.</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3.1</t>
        </is>
      </c>
      <c r="B57" s="108" t="inlineStr">
        <is>
          <t>Cement mortar 1:1 (1 cement : 1 fine sand)</t>
        </is>
      </c>
      <c r="C57" s="109" t="inlineStr">
        <is>
          <t>cum</t>
        </is>
      </c>
      <c r="D57" s="109" t="n">
        <v>1</v>
      </c>
      <c r="E57" s="110" t="n">
        <v>6390.6</v>
      </c>
      <c r="F57" s="109" t="inlineStr">
        <is>
          <t>No markups (base cost)</t>
        </is>
      </c>
      <c r="G57" s="110" t="n">
        <v>6390.6</v>
      </c>
      <c r="H57" s="111" t="n">
        <v>6390.6</v>
      </c>
    </row>
    <row r="58" ht="20" customHeight="1">
      <c r="A58" s="81" t="inlineStr">
        <is>
          <t>3.9</t>
        </is>
      </c>
      <c r="B58" s="103" t="inlineStr">
        <is>
          <t>Cement mortar 1:4 (1 cement : 4 coarse sand)</t>
        </is>
      </c>
      <c r="C58" s="104" t="inlineStr">
        <is>
          <t>cum</t>
        </is>
      </c>
      <c r="D58" s="104" t="n">
        <v>1</v>
      </c>
      <c r="E58" s="105" t="n">
        <v>4010.35</v>
      </c>
      <c r="F58" s="104" t="inlineStr">
        <is>
          <t>No markups (base cost)</t>
        </is>
      </c>
      <c r="G58" s="105" t="n">
        <v>4010.35</v>
      </c>
      <c r="H58" s="106" t="n">
        <v>4010.35</v>
      </c>
    </row>
    <row r="59" ht="20" customHeight="1">
      <c r="A59" s="107" t="inlineStr">
        <is>
          <t>C-03.03</t>
        </is>
      </c>
      <c r="B59" s="108" t="inlineStr">
        <is>
          <t>(Available for new custom item)</t>
        </is>
      </c>
      <c r="C59" s="109" t="inlineStr">
        <is>
          <t>cum</t>
        </is>
      </c>
      <c r="D59" s="109" t="n">
        <v>1</v>
      </c>
      <c r="E59" s="110" t="n"/>
      <c r="F59" s="109" t="inlineStr">
        <is>
          <t>Full W-&gt;X-&gt;Y-&gt;Z</t>
        </is>
      </c>
      <c r="G59" s="110" t="n"/>
      <c r="H59" s="111" t="n"/>
    </row>
    <row r="60" ht="20" customHeight="1">
      <c r="A60" s="81" t="inlineStr">
        <is>
          <t>C-03.04</t>
        </is>
      </c>
      <c r="B60" s="103" t="inlineStr">
        <is>
          <t>(Available for new custom item)</t>
        </is>
      </c>
      <c r="C60" s="104" t="inlineStr">
        <is>
          <t>cum</t>
        </is>
      </c>
      <c r="D60" s="104" t="n">
        <v>1</v>
      </c>
      <c r="E60" s="105" t="n"/>
      <c r="F60" s="104" t="inlineStr">
        <is>
          <t>Full W-&gt;X-&gt;Y-&gt;Z</t>
        </is>
      </c>
      <c r="G60" s="105" t="n"/>
      <c r="H60" s="106" t="n"/>
    </row>
    <row r="61" ht="20" customHeight="1">
      <c r="A61" s="107" t="inlineStr">
        <is>
          <t>C-03.05</t>
        </is>
      </c>
      <c r="B61" s="108" t="inlineStr">
        <is>
          <t>(Available for new custom item)</t>
        </is>
      </c>
      <c r="C61" s="109" t="inlineStr">
        <is>
          <t>cum</t>
        </is>
      </c>
      <c r="D61" s="109" t="n">
        <v>1</v>
      </c>
      <c r="E61" s="110" t="n"/>
      <c r="F61" s="109" t="inlineStr">
        <is>
          <t>Full W-&gt;X-&gt;Y-&gt;Z</t>
        </is>
      </c>
      <c r="G61" s="110" t="n"/>
      <c r="H61" s="111" t="n"/>
    </row>
    <row r="62" ht="20" customHeight="1">
      <c r="A62" s="81" t="inlineStr">
        <is>
          <t>C-03.06</t>
        </is>
      </c>
      <c r="B62" s="103" t="inlineStr">
        <is>
          <t>(Available for new custom item)</t>
        </is>
      </c>
      <c r="C62" s="104" t="inlineStr">
        <is>
          <t>cum</t>
        </is>
      </c>
      <c r="D62" s="104" t="n">
        <v>1</v>
      </c>
      <c r="E62" s="105" t="n"/>
      <c r="F62" s="104" t="inlineStr">
        <is>
          <t>Full W-&gt;X-&gt;Y-&gt;Z</t>
        </is>
      </c>
      <c r="G62" s="105" t="n"/>
      <c r="H62" s="106" t="n"/>
    </row>
    <row r="63" ht="20" customHeight="1">
      <c r="A63" s="107" t="inlineStr">
        <is>
          <t>C-03.07</t>
        </is>
      </c>
      <c r="B63" s="108" t="inlineStr">
        <is>
          <t>(Available for new custom item)</t>
        </is>
      </c>
      <c r="C63" s="109" t="inlineStr">
        <is>
          <t>cum</t>
        </is>
      </c>
      <c r="D63" s="109" t="n">
        <v>1</v>
      </c>
      <c r="E63" s="110" t="n"/>
      <c r="F63" s="109" t="inlineStr">
        <is>
          <t>Full W-&gt;X-&gt;Y-&gt;Z</t>
        </is>
      </c>
      <c r="G63" s="110" t="n"/>
      <c r="H63" s="111" t="n"/>
    </row>
    <row r="64" ht="20" customHeight="1">
      <c r="A64" s="81" t="inlineStr">
        <is>
          <t>C-03.08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4" t="inlineStr">
        <is>
          <t>C-04.01</t>
        </is>
      </c>
      <c r="C5" s="16" t="inlineStr">
        <is>
          <t>Batch Output Basis:</t>
        </is>
      </c>
      <c r="D5" s="53" t="n">
        <v>1</v>
      </c>
      <c r="E5" s="16" t="inlineStr">
        <is>
          <t>Output Unit:</t>
        </is>
      </c>
      <c r="F5" s="44" t="inlineStr">
        <is>
          <t>cum</t>
        </is>
      </c>
      <c r="G5" s="16" t="inlineStr">
        <is>
          <t>Trade Sub-Head:</t>
        </is>
      </c>
      <c r="H5" s="112" t="inlineStr">
        <is>
          <t>04 Concrete Work</t>
        </is>
      </c>
    </row>
    <row r="6" ht="36" customHeight="1">
      <c r="A6" s="16" t="inlineStr">
        <is>
          <t>Item Nomenclature / Full Description:</t>
        </is>
      </c>
      <c r="B6" s="46" t="inlineStr">
        <is>
          <t>Cement concrete 1:2:4 (1 cement : 2 coarse sand : 4 graded stone aggregate 20 mm nominal size) up to plinth level</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3">
        <f>IF(B10="","", IFERROR(INDEX(Rates_Master!$C:$C, MATCH(B10, Rates_Master!$A:$A, 0)), "Custom / Intermediate Material"))</f>
        <v/>
      </c>
      <c r="D10" s="64">
        <f>IF(B10="","", IFERROR(INDEX(Rates_Master!$D:$D, MATCH(B10, Rates_Master!$A:$A, 0)), ""))</f>
        <v/>
      </c>
      <c r="E10" s="65" t="n">
        <v>0.57</v>
      </c>
      <c r="F10" s="66">
        <f>IF(B10="","", IFERROR(INDEX(Rates_Master!$E:$E, MATCH(B10, Rates_Master!$A:$A, 0)), 0))</f>
        <v/>
      </c>
      <c r="G10" s="34">
        <f>IF(OR(B10="", E10=""), 0, ROUND(E10 * F10, 2))</f>
        <v/>
      </c>
      <c r="H10" s="67" t="inlineStr">
        <is>
          <t>Stone Aggregate 20 mm nominal size</t>
        </is>
      </c>
    </row>
    <row r="11" ht="20" customHeight="1">
      <c r="A11" s="19" t="n">
        <v>2</v>
      </c>
      <c r="B11" s="44" t="inlineStr">
        <is>
          <t>0297</t>
        </is>
      </c>
      <c r="C11" s="63">
        <f>IF(B11="","", IFERROR(INDEX(Rates_Master!$C:$C, MATCH(B11, Rates_Master!$A:$A, 0)), "Custom / Intermediate Material"))</f>
        <v/>
      </c>
      <c r="D11" s="64">
        <f>IF(B11="","", IFERROR(INDEX(Rates_Master!$D:$D, MATCH(B11, Rates_Master!$A:$A, 0)), ""))</f>
        <v/>
      </c>
      <c r="E11" s="65" t="n">
        <v>0.28</v>
      </c>
      <c r="F11" s="66">
        <f>IF(B11="","", IFERROR(INDEX(Rates_Master!$E:$E, MATCH(B11, Rates_Master!$A:$A, 0)), 0))</f>
        <v/>
      </c>
      <c r="G11" s="34">
        <f>IF(OR(B11="", E11=""), 0, ROUND(E11 * F11, 2))</f>
        <v/>
      </c>
      <c r="H11" s="67" t="inlineStr">
        <is>
          <t>Stone Aggregate 10 mm nominal size</t>
        </is>
      </c>
    </row>
    <row r="12" ht="20" customHeight="1">
      <c r="A12" s="19" t="n">
        <v>3</v>
      </c>
      <c r="B12" s="44" t="inlineStr">
        <is>
          <t>2202</t>
        </is>
      </c>
      <c r="C12" s="63">
        <f>IF(B12="","", IFERROR(INDEX(Rates_Master!$C:$C, MATCH(B12, Rates_Master!$A:$A, 0)), "Custom / Intermediate Material"))</f>
        <v/>
      </c>
      <c r="D12" s="64">
        <f>IF(B12="","", IFERROR(INDEX(Rates_Master!$D:$D, MATCH(B12, Rates_Master!$A:$A, 0)), ""))</f>
        <v/>
      </c>
      <c r="E12" s="65" t="n">
        <v>0.85</v>
      </c>
      <c r="F12" s="66">
        <f>IF(B12="","", IFERROR(INDEX(Rates_Master!$E:$E, MATCH(B12, Rates_Master!$A:$A, 0)), 0))</f>
        <v/>
      </c>
      <c r="G12" s="34">
        <f>IF(OR(B12="", E12=""), 0, ROUND(E12 * F12, 2))</f>
        <v/>
      </c>
      <c r="H12" s="67" t="inlineStr">
        <is>
          <t>Carriage of Stone aggregate below 40 mm</t>
        </is>
      </c>
    </row>
    <row r="13" ht="20" customHeight="1">
      <c r="A13" s="19" t="n">
        <v>4</v>
      </c>
      <c r="B13" s="44" t="inlineStr">
        <is>
          <t>0982</t>
        </is>
      </c>
      <c r="C13" s="63">
        <f>IF(B13="","", IFERROR(INDEX(Rates_Master!$C:$C, MATCH(B13, Rates_Master!$A:$A, 0)), "Custom / Intermediate Material"))</f>
        <v/>
      </c>
      <c r="D13" s="64">
        <f>IF(B13="","", IFERROR(INDEX(Rates_Master!$D:$D, MATCH(B13, Rates_Master!$A:$A, 0)), ""))</f>
        <v/>
      </c>
      <c r="E13" s="65" t="n">
        <v>0.425</v>
      </c>
      <c r="F13" s="66">
        <f>IF(B13="","", IFERROR(INDEX(Rates_Master!$E:$E, MATCH(B13, Rates_Master!$A:$A, 0)), 0))</f>
        <v/>
      </c>
      <c r="G13" s="34">
        <f>IF(OR(B13="", E13=""), 0, ROUND(E13 * F13, 2))</f>
        <v/>
      </c>
      <c r="H13" s="67" t="inlineStr">
        <is>
          <t>Coarse sand (zone III)</t>
        </is>
      </c>
    </row>
    <row r="14" ht="20" customHeight="1">
      <c r="A14" s="19" t="n">
        <v>5</v>
      </c>
      <c r="B14" s="44" t="inlineStr">
        <is>
          <t>2203</t>
        </is>
      </c>
      <c r="C14" s="63">
        <f>IF(B14="","", IFERROR(INDEX(Rates_Master!$C:$C, MATCH(B14, Rates_Master!$A:$A, 0)), "Custom / Intermediate Material"))</f>
        <v/>
      </c>
      <c r="D14" s="64">
        <f>IF(B14="","", IFERROR(INDEX(Rates_Master!$D:$D, MATCH(B14, Rates_Master!$A:$A, 0)), ""))</f>
        <v/>
      </c>
      <c r="E14" s="65" t="n">
        <v>0.425</v>
      </c>
      <c r="F14" s="66">
        <f>IF(B14="","", IFERROR(INDEX(Rates_Master!$E:$E, MATCH(B14, Rates_Master!$A:$A, 0)), 0))</f>
        <v/>
      </c>
      <c r="G14" s="34">
        <f>IF(OR(B14="", E14=""), 0, ROUND(E14 * F14, 2))</f>
        <v/>
      </c>
      <c r="H14" s="67" t="inlineStr">
        <is>
          <t>Carriage of Coarse sand</t>
        </is>
      </c>
    </row>
    <row r="15" ht="20" customHeight="1">
      <c r="A15" s="19" t="n">
        <v>6</v>
      </c>
      <c r="B15" s="44" t="inlineStr">
        <is>
          <t>0367</t>
        </is>
      </c>
      <c r="C15" s="63">
        <f>IF(B15="","", IFERROR(INDEX(Rates_Master!$C:$C, MATCH(B15, Rates_Master!$A:$A, 0)), "Custom / Intermediate Material"))</f>
        <v/>
      </c>
      <c r="D15" s="64">
        <f>IF(B15="","", IFERROR(INDEX(Rates_Master!$D:$D, MATCH(B15, Rates_Master!$A:$A, 0)), ""))</f>
        <v/>
      </c>
      <c r="E15" s="65" t="n">
        <v>0.32</v>
      </c>
      <c r="F15" s="66">
        <f>IF(B15="","", IFERROR(INDEX(Rates_Master!$E:$E, MATCH(B15, Rates_Master!$A:$A, 0)), 0))</f>
        <v/>
      </c>
      <c r="G15" s="34">
        <f>IF(OR(B15="", E15=""), 0, ROUND(E15 * F15, 2))</f>
        <v/>
      </c>
      <c r="H15" s="67" t="inlineStr">
        <is>
          <t>Portland Cement</t>
        </is>
      </c>
    </row>
    <row r="16" ht="20" customHeight="1">
      <c r="A16" s="19" t="n">
        <v>7</v>
      </c>
      <c r="B16" s="44" t="inlineStr">
        <is>
          <t>2209</t>
        </is>
      </c>
      <c r="C16" s="63">
        <f>IF(B16="","", IFERROR(INDEX(Rates_Master!$C:$C, MATCH(B16, Rates_Master!$A:$A, 0)), "Custom / Intermediate Material"))</f>
        <v/>
      </c>
      <c r="D16" s="64">
        <f>IF(B16="","", IFERROR(INDEX(Rates_Master!$D:$D, MATCH(B16, Rates_Master!$A:$A, 0)), ""))</f>
        <v/>
      </c>
      <c r="E16" s="65" t="n">
        <v>0.32</v>
      </c>
      <c r="F16" s="66">
        <f>IF(B16="","", IFERROR(INDEX(Rates_Master!$E:$E, MATCH(B16, Rates_Master!$A:$A, 0)), 0))</f>
        <v/>
      </c>
      <c r="G16" s="34">
        <f>IF(OR(B16="", E16=""), 0, ROUND(E16 * F16, 2))</f>
        <v/>
      </c>
      <c r="H16" s="67" t="inlineStr">
        <is>
          <t>Carriage of Cement</t>
        </is>
      </c>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3">
        <f>IF(B24="","", IFERROR(INDEX(Rates_Master!$C:$C, MATCH(B24, Rates_Master!$A:$A, 0)), "Custom Labour/Plant"))</f>
        <v/>
      </c>
      <c r="D24" s="64">
        <f>IF(B24="","", IFERROR(INDEX(Rates_Master!$D:$D, MATCH(B24, Rates_Master!$A:$A, 0)), ""))</f>
        <v/>
      </c>
      <c r="E24" s="65" t="n">
        <v>0.1</v>
      </c>
      <c r="F24" s="66">
        <f>IF(B24="","", IFERROR(INDEX(Rates_Master!$E:$E, MATCH(B24, Rates_Master!$A:$A, 0)), 0))</f>
        <v/>
      </c>
      <c r="G24" s="34">
        <f>IF(OR(B24="", E24=""), 0, ROUND(E24 * F24, 2))</f>
        <v/>
      </c>
      <c r="H24" s="67" t="inlineStr">
        <is>
          <t>Mason (average)</t>
        </is>
      </c>
    </row>
    <row r="25" ht="20" customHeight="1">
      <c r="A25" s="19" t="n">
        <v>2</v>
      </c>
      <c r="B25" s="44" t="inlineStr">
        <is>
          <t>0114</t>
        </is>
      </c>
      <c r="C25" s="63">
        <f>IF(B25="","", IFERROR(INDEX(Rates_Master!$C:$C, MATCH(B25, Rates_Master!$A:$A, 0)), "Custom Labour/Plant"))</f>
        <v/>
      </c>
      <c r="D25" s="64">
        <f>IF(B25="","", IFERROR(INDEX(Rates_Master!$D:$D, MATCH(B25, Rates_Master!$A:$A, 0)), ""))</f>
        <v/>
      </c>
      <c r="E25" s="65" t="n">
        <v>1.63</v>
      </c>
      <c r="F25" s="66">
        <f>IF(B25="","", IFERROR(INDEX(Rates_Master!$E:$E, MATCH(B25, Rates_Master!$A:$A, 0)), 0))</f>
        <v/>
      </c>
      <c r="G25" s="34">
        <f>IF(OR(B25="", E25=""), 0, ROUND(E25 * F25, 2))</f>
        <v/>
      </c>
      <c r="H25" s="67" t="inlineStr">
        <is>
          <t>Beldar (carrying &amp; placing)</t>
        </is>
      </c>
    </row>
    <row r="26" ht="20" customHeight="1">
      <c r="A26" s="19" t="n">
        <v>3</v>
      </c>
      <c r="B26" s="44" t="inlineStr">
        <is>
          <t>0101</t>
        </is>
      </c>
      <c r="C26" s="63">
        <f>IF(B26="","", IFERROR(INDEX(Rates_Master!$C:$C, MATCH(B26, Rates_Master!$A:$A, 0)), "Custom Labour/Plant"))</f>
        <v/>
      </c>
      <c r="D26" s="64">
        <f>IF(B26="","", IFERROR(INDEX(Rates_Master!$D:$D, MATCH(B26, Rates_Master!$A:$A, 0)), ""))</f>
        <v/>
      </c>
      <c r="E26" s="65" t="n">
        <v>0.7</v>
      </c>
      <c r="F26" s="66">
        <f>IF(B26="","", IFERROR(INDEX(Rates_Master!$E:$E, MATCH(B26, Rates_Master!$A:$A, 0)), 0))</f>
        <v/>
      </c>
      <c r="G26" s="34">
        <f>IF(OR(B26="", E26=""), 0, ROUND(E26 * F26, 2))</f>
        <v/>
      </c>
      <c r="H26" s="67" t="inlineStr">
        <is>
          <t>Bhisti (curing)</t>
        </is>
      </c>
    </row>
    <row r="27" ht="20" customHeight="1">
      <c r="A27" s="19" t="n">
        <v>4</v>
      </c>
      <c r="B27" s="44" t="inlineStr">
        <is>
          <t>0002</t>
        </is>
      </c>
      <c r="C27" s="63">
        <f>IF(B27="","", IFERROR(INDEX(Rates_Master!$C:$C, MATCH(B27, Rates_Master!$A:$A, 0)), "Custom Labour/Plant"))</f>
        <v/>
      </c>
      <c r="D27" s="64">
        <f>IF(B27="","", IFERROR(INDEX(Rates_Master!$D:$D, MATCH(B27, Rates_Master!$A:$A, 0)), ""))</f>
        <v/>
      </c>
      <c r="E27" s="65" t="n">
        <v>0.07000000000000001</v>
      </c>
      <c r="F27" s="66">
        <f>IF(B27="","", IFERROR(INDEX(Rates_Master!$E:$E, MATCH(B27, Rates_Master!$A:$A, 0)), 0))</f>
        <v/>
      </c>
      <c r="G27" s="34">
        <f>IF(OR(B27="", E27=""), 0, ROUND(E27 * F27, 2))</f>
        <v/>
      </c>
      <c r="H27" s="67" t="inlineStr">
        <is>
          <t>Hire charges of Concrete Mixer with hopper</t>
        </is>
      </c>
    </row>
    <row r="28" ht="20" customHeight="1">
      <c r="A28" s="19" t="n">
        <v>5</v>
      </c>
      <c r="B28" s="44" t="inlineStr">
        <is>
          <t>0012</t>
        </is>
      </c>
      <c r="C28" s="63">
        <f>IF(B28="","", IFERROR(INDEX(Rates_Master!$C:$C, MATCH(B28, Rates_Master!$A:$A, 0)), "Custom Labour/Plant"))</f>
        <v/>
      </c>
      <c r="D28" s="64">
        <f>IF(B28="","", IFERROR(INDEX(Rates_Master!$D:$D, MATCH(B28, Rates_Master!$A:$A, 0)), ""))</f>
        <v/>
      </c>
      <c r="E28" s="65" t="n">
        <v>0.07000000000000001</v>
      </c>
      <c r="F28" s="66">
        <f>IF(B28="","", IFERROR(INDEX(Rates_Master!$E:$E, MATCH(B28, Rates_Master!$A:$A, 0)), 0))</f>
        <v/>
      </c>
      <c r="G28" s="34">
        <f>IF(OR(B28="", E28=""), 0, ROUND(E28 * F28, 2))</f>
        <v/>
      </c>
      <c r="H28" s="67" t="inlineStr">
        <is>
          <t>Vibrator (Needle type 40mm)</t>
        </is>
      </c>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14.3</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CPWD Standard: 1% for curing &amp; concrete water.</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DAR factor 0.1405 (works contract tax).</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Standard 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Statutory 1% BOCW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4.1.2</t>
        </is>
      </c>
      <c r="B57" s="108" t="inlineStr">
        <is>
          <t>PCC 1:1.5:3 with 20mm graded stone aggregate up to plinth level</t>
        </is>
      </c>
      <c r="C57" s="109" t="inlineStr">
        <is>
          <t>cum</t>
        </is>
      </c>
      <c r="D57" s="109" t="n">
        <v>1</v>
      </c>
      <c r="E57" s="110" t="n">
        <v>5389.89</v>
      </c>
      <c r="F57" s="109" t="inlineStr">
        <is>
          <t>Full W-&gt;X-&gt;Y-&gt;Z</t>
        </is>
      </c>
      <c r="G57" s="110" t="n">
        <v>7210.58</v>
      </c>
      <c r="H57" s="111" t="n">
        <v>7210.55</v>
      </c>
    </row>
    <row r="58" ht="20" customHeight="1">
      <c r="A58" s="81" t="inlineStr">
        <is>
          <t>4.1.3</t>
        </is>
      </c>
      <c r="B58" s="103" t="inlineStr">
        <is>
          <t>PCC 1:2:4 with 20mm graded stone aggregate up to plinth level</t>
        </is>
      </c>
      <c r="C58" s="104" t="inlineStr">
        <is>
          <t>cum</t>
        </is>
      </c>
      <c r="D58" s="104" t="n">
        <v>1</v>
      </c>
      <c r="E58" s="105" t="n">
        <v>5074.69</v>
      </c>
      <c r="F58" s="104" t="inlineStr">
        <is>
          <t>Full W-&gt;X-&gt;Y-&gt;Z</t>
        </is>
      </c>
      <c r="G58" s="105" t="n">
        <v>6788.62</v>
      </c>
      <c r="H58" s="106" t="n">
        <v>6788.6</v>
      </c>
    </row>
    <row r="59" ht="20" customHeight="1">
      <c r="A59" s="107" t="inlineStr">
        <is>
          <t>C-04.03</t>
        </is>
      </c>
      <c r="B59" s="108" t="inlineStr">
        <is>
          <t>(Available for new custom item)</t>
        </is>
      </c>
      <c r="C59" s="109" t="inlineStr">
        <is>
          <t>cum</t>
        </is>
      </c>
      <c r="D59" s="109" t="n">
        <v>1</v>
      </c>
      <c r="E59" s="110" t="n"/>
      <c r="F59" s="109" t="inlineStr">
        <is>
          <t>Full W-&gt;X-&gt;Y-&gt;Z</t>
        </is>
      </c>
      <c r="G59" s="110" t="n"/>
      <c r="H59" s="111" t="n"/>
    </row>
    <row r="60" ht="20" customHeight="1">
      <c r="A60" s="81" t="inlineStr">
        <is>
          <t>C-04.04</t>
        </is>
      </c>
      <c r="B60" s="103" t="inlineStr">
        <is>
          <t>(Available for new custom item)</t>
        </is>
      </c>
      <c r="C60" s="104" t="inlineStr">
        <is>
          <t>cum</t>
        </is>
      </c>
      <c r="D60" s="104" t="n">
        <v>1</v>
      </c>
      <c r="E60" s="105" t="n"/>
      <c r="F60" s="104" t="inlineStr">
        <is>
          <t>Full W-&gt;X-&gt;Y-&gt;Z</t>
        </is>
      </c>
      <c r="G60" s="105" t="n"/>
      <c r="H60" s="106" t="n"/>
    </row>
    <row r="61" ht="20" customHeight="1">
      <c r="A61" s="107" t="inlineStr">
        <is>
          <t>C-04.05</t>
        </is>
      </c>
      <c r="B61" s="108" t="inlineStr">
        <is>
          <t>(Available for new custom item)</t>
        </is>
      </c>
      <c r="C61" s="109" t="inlineStr">
        <is>
          <t>cum</t>
        </is>
      </c>
      <c r="D61" s="109" t="n">
        <v>1</v>
      </c>
      <c r="E61" s="110" t="n"/>
      <c r="F61" s="109" t="inlineStr">
        <is>
          <t>Full W-&gt;X-&gt;Y-&gt;Z</t>
        </is>
      </c>
      <c r="G61" s="110" t="n"/>
      <c r="H61" s="111" t="n"/>
    </row>
    <row r="62" ht="20" customHeight="1">
      <c r="A62" s="81" t="inlineStr">
        <is>
          <t>C-04.06</t>
        </is>
      </c>
      <c r="B62" s="103" t="inlineStr">
        <is>
          <t>(Available for new custom item)</t>
        </is>
      </c>
      <c r="C62" s="104" t="inlineStr">
        <is>
          <t>cum</t>
        </is>
      </c>
      <c r="D62" s="104" t="n">
        <v>1</v>
      </c>
      <c r="E62" s="105" t="n"/>
      <c r="F62" s="104" t="inlineStr">
        <is>
          <t>Full W-&gt;X-&gt;Y-&gt;Z</t>
        </is>
      </c>
      <c r="G62" s="105" t="n"/>
      <c r="H62" s="106" t="n"/>
    </row>
    <row r="63" ht="20" customHeight="1">
      <c r="A63" s="107" t="inlineStr">
        <is>
          <t>C-04.07</t>
        </is>
      </c>
      <c r="B63" s="108" t="inlineStr">
        <is>
          <t>(Available for new custom item)</t>
        </is>
      </c>
      <c r="C63" s="109" t="inlineStr">
        <is>
          <t>cum</t>
        </is>
      </c>
      <c r="D63" s="109" t="n">
        <v>1</v>
      </c>
      <c r="E63" s="110" t="n"/>
      <c r="F63" s="109" t="inlineStr">
        <is>
          <t>Full W-&gt;X-&gt;Y-&gt;Z</t>
        </is>
      </c>
      <c r="G63" s="110" t="n"/>
      <c r="H63" s="111" t="n"/>
    </row>
    <row r="64" ht="20" customHeight="1">
      <c r="A64" s="81" t="inlineStr">
        <is>
          <t>C-04.08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4" t="inlineStr">
        <is>
          <t>C-05.01</t>
        </is>
      </c>
      <c r="C5" s="16" t="inlineStr">
        <is>
          <t>Batch Output Basis:</t>
        </is>
      </c>
      <c r="D5" s="53" t="n">
        <v>1</v>
      </c>
      <c r="E5" s="16" t="inlineStr">
        <is>
          <t>Output Unit:</t>
        </is>
      </c>
      <c r="F5" s="44" t="inlineStr">
        <is>
          <t>cum</t>
        </is>
      </c>
      <c r="G5" s="16" t="inlineStr">
        <is>
          <t>Trade Sub-Head:</t>
        </is>
      </c>
      <c r="H5" s="112" t="inlineStr">
        <is>
          <t>05 RCC Work</t>
        </is>
      </c>
    </row>
    <row r="6" ht="36" customHeight="1">
      <c r="A6" s="16" t="inlineStr">
        <is>
          <t>Item Nomenclature / Full Description:</t>
        </is>
      </c>
      <c r="B6" s="46" t="inlineStr">
        <is>
          <t>Reinforced cement concrete 1:1.5:3 (1 cement : 1.5 coarse sand : 3 graded stone aggregate 20mm nominal size) up to plinth level</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0295</t>
        </is>
      </c>
      <c r="C10" s="63">
        <f>IF(B10="","", IFERROR(INDEX(Rates_Master!$C:$C, MATCH(B10, Rates_Master!$A:$A, 0)), "Custom / Intermediate Material"))</f>
        <v/>
      </c>
      <c r="D10" s="64">
        <f>IF(B10="","", IFERROR(INDEX(Rates_Master!$D:$D, MATCH(B10, Rates_Master!$A:$A, 0)), ""))</f>
        <v/>
      </c>
      <c r="E10" s="65" t="n">
        <v>0.57</v>
      </c>
      <c r="F10" s="66">
        <f>IF(B10="","", IFERROR(INDEX(Rates_Master!$E:$E, MATCH(B10, Rates_Master!$A:$A, 0)), 0))</f>
        <v/>
      </c>
      <c r="G10" s="34">
        <f>IF(OR(B10="", E10=""), 0, ROUND(E10 * F10, 2))</f>
        <v/>
      </c>
      <c r="H10" s="67" t="inlineStr">
        <is>
          <t>Stone Aggregate 20 mm nominal size</t>
        </is>
      </c>
    </row>
    <row r="11" ht="20" customHeight="1">
      <c r="A11" s="19" t="n">
        <v>2</v>
      </c>
      <c r="B11" s="44" t="inlineStr">
        <is>
          <t>0297</t>
        </is>
      </c>
      <c r="C11" s="63">
        <f>IF(B11="","", IFERROR(INDEX(Rates_Master!$C:$C, MATCH(B11, Rates_Master!$A:$A, 0)), "Custom / Intermediate Material"))</f>
        <v/>
      </c>
      <c r="D11" s="64">
        <f>IF(B11="","", IFERROR(INDEX(Rates_Master!$D:$D, MATCH(B11, Rates_Master!$A:$A, 0)), ""))</f>
        <v/>
      </c>
      <c r="E11" s="65" t="n">
        <v>0.28</v>
      </c>
      <c r="F11" s="66">
        <f>IF(B11="","", IFERROR(INDEX(Rates_Master!$E:$E, MATCH(B11, Rates_Master!$A:$A, 0)), 0))</f>
        <v/>
      </c>
      <c r="G11" s="34">
        <f>IF(OR(B11="", E11=""), 0, ROUND(E11 * F11, 2))</f>
        <v/>
      </c>
      <c r="H11" s="67" t="inlineStr">
        <is>
          <t>Stone Aggregate 10 mm nominal size</t>
        </is>
      </c>
    </row>
    <row r="12" ht="20" customHeight="1">
      <c r="A12" s="19" t="n">
        <v>3</v>
      </c>
      <c r="B12" s="44" t="inlineStr">
        <is>
          <t>2202</t>
        </is>
      </c>
      <c r="C12" s="63">
        <f>IF(B12="","", IFERROR(INDEX(Rates_Master!$C:$C, MATCH(B12, Rates_Master!$A:$A, 0)), "Custom / Intermediate Material"))</f>
        <v/>
      </c>
      <c r="D12" s="64">
        <f>IF(B12="","", IFERROR(INDEX(Rates_Master!$D:$D, MATCH(B12, Rates_Master!$A:$A, 0)), ""))</f>
        <v/>
      </c>
      <c r="E12" s="65" t="n">
        <v>0.85</v>
      </c>
      <c r="F12" s="66">
        <f>IF(B12="","", IFERROR(INDEX(Rates_Master!$E:$E, MATCH(B12, Rates_Master!$A:$A, 0)), 0))</f>
        <v/>
      </c>
      <c r="G12" s="34">
        <f>IF(OR(B12="", E12=""), 0, ROUND(E12 * F12, 2))</f>
        <v/>
      </c>
      <c r="H12" s="67" t="inlineStr">
        <is>
          <t>Carriage of Stone aggregate</t>
        </is>
      </c>
    </row>
    <row r="13" ht="20" customHeight="1">
      <c r="A13" s="19" t="n">
        <v>4</v>
      </c>
      <c r="B13" s="44" t="inlineStr">
        <is>
          <t>0982</t>
        </is>
      </c>
      <c r="C13" s="63">
        <f>IF(B13="","", IFERROR(INDEX(Rates_Master!$C:$C, MATCH(B13, Rates_Master!$A:$A, 0)), "Custom / Intermediate Material"))</f>
        <v/>
      </c>
      <c r="D13" s="64">
        <f>IF(B13="","", IFERROR(INDEX(Rates_Master!$D:$D, MATCH(B13, Rates_Master!$A:$A, 0)), ""))</f>
        <v/>
      </c>
      <c r="E13" s="65" t="n">
        <v>0.425</v>
      </c>
      <c r="F13" s="66">
        <f>IF(B13="","", IFERROR(INDEX(Rates_Master!$E:$E, MATCH(B13, Rates_Master!$A:$A, 0)), 0))</f>
        <v/>
      </c>
      <c r="G13" s="34">
        <f>IF(OR(B13="", E13=""), 0, ROUND(E13 * F13, 2))</f>
        <v/>
      </c>
      <c r="H13" s="67" t="inlineStr">
        <is>
          <t>Coarse sand (zone III)</t>
        </is>
      </c>
    </row>
    <row r="14" ht="20" customHeight="1">
      <c r="A14" s="19" t="n">
        <v>5</v>
      </c>
      <c r="B14" s="44" t="inlineStr">
        <is>
          <t>2203</t>
        </is>
      </c>
      <c r="C14" s="63">
        <f>IF(B14="","", IFERROR(INDEX(Rates_Master!$C:$C, MATCH(B14, Rates_Master!$A:$A, 0)), "Custom / Intermediate Material"))</f>
        <v/>
      </c>
      <c r="D14" s="64">
        <f>IF(B14="","", IFERROR(INDEX(Rates_Master!$D:$D, MATCH(B14, Rates_Master!$A:$A, 0)), ""))</f>
        <v/>
      </c>
      <c r="E14" s="65" t="n">
        <v>0.425</v>
      </c>
      <c r="F14" s="66">
        <f>IF(B14="","", IFERROR(INDEX(Rates_Master!$E:$E, MATCH(B14, Rates_Master!$A:$A, 0)), 0))</f>
        <v/>
      </c>
      <c r="G14" s="34">
        <f>IF(OR(B14="", E14=""), 0, ROUND(E14 * F14, 2))</f>
        <v/>
      </c>
      <c r="H14" s="67" t="inlineStr">
        <is>
          <t>Carriage of Coarse sand</t>
        </is>
      </c>
    </row>
    <row r="15" ht="20" customHeight="1">
      <c r="A15" s="19" t="n">
        <v>6</v>
      </c>
      <c r="B15" s="44" t="inlineStr">
        <is>
          <t>0367</t>
        </is>
      </c>
      <c r="C15" s="63">
        <f>IF(B15="","", IFERROR(INDEX(Rates_Master!$C:$C, MATCH(B15, Rates_Master!$A:$A, 0)), "Custom / Intermediate Material"))</f>
        <v/>
      </c>
      <c r="D15" s="64">
        <f>IF(B15="","", IFERROR(INDEX(Rates_Master!$D:$D, MATCH(B15, Rates_Master!$A:$A, 0)), ""))</f>
        <v/>
      </c>
      <c r="E15" s="65" t="n">
        <v>0.4</v>
      </c>
      <c r="F15" s="66">
        <f>IF(B15="","", IFERROR(INDEX(Rates_Master!$E:$E, MATCH(B15, Rates_Master!$A:$A, 0)), 0))</f>
        <v/>
      </c>
      <c r="G15" s="34">
        <f>IF(OR(B15="", E15=""), 0, ROUND(E15 * F15, 2))</f>
        <v/>
      </c>
      <c r="H15" s="67" t="inlineStr">
        <is>
          <t>Portland Cement</t>
        </is>
      </c>
    </row>
    <row r="16" ht="20" customHeight="1">
      <c r="A16" s="19" t="n">
        <v>7</v>
      </c>
      <c r="B16" s="44" t="inlineStr">
        <is>
          <t>2209</t>
        </is>
      </c>
      <c r="C16" s="63">
        <f>IF(B16="","", IFERROR(INDEX(Rates_Master!$C:$C, MATCH(B16, Rates_Master!$A:$A, 0)), "Custom / Intermediate Material"))</f>
        <v/>
      </c>
      <c r="D16" s="64">
        <f>IF(B16="","", IFERROR(INDEX(Rates_Master!$D:$D, MATCH(B16, Rates_Master!$A:$A, 0)), ""))</f>
        <v/>
      </c>
      <c r="E16" s="65" t="n">
        <v>0.4</v>
      </c>
      <c r="F16" s="66">
        <f>IF(B16="","", IFERROR(INDEX(Rates_Master!$E:$E, MATCH(B16, Rates_Master!$A:$A, 0)), 0))</f>
        <v/>
      </c>
      <c r="G16" s="34">
        <f>IF(OR(B16="", E16=""), 0, ROUND(E16 * F16, 2))</f>
        <v/>
      </c>
      <c r="H16" s="67" t="inlineStr">
        <is>
          <t>Carriage of Cement</t>
        </is>
      </c>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3">
        <f>IF(B24="","", IFERROR(INDEX(Rates_Master!$C:$C, MATCH(B24, Rates_Master!$A:$A, 0)), "Custom Labour/Plant"))</f>
        <v/>
      </c>
      <c r="D24" s="64">
        <f>IF(B24="","", IFERROR(INDEX(Rates_Master!$D:$D, MATCH(B24, Rates_Master!$A:$A, 0)), ""))</f>
        <v/>
      </c>
      <c r="E24" s="65" t="n">
        <v>0.17</v>
      </c>
      <c r="F24" s="66">
        <f>IF(B24="","", IFERROR(INDEX(Rates_Master!$E:$E, MATCH(B24, Rates_Master!$A:$A, 0)), 0))</f>
        <v/>
      </c>
      <c r="G24" s="34">
        <f>IF(OR(B24="", E24=""), 0, ROUND(E24 * F24, 2))</f>
        <v/>
      </c>
      <c r="H24" s="67" t="inlineStr">
        <is>
          <t>Mason (average)</t>
        </is>
      </c>
    </row>
    <row r="25" ht="20" customHeight="1">
      <c r="A25" s="19" t="n">
        <v>2</v>
      </c>
      <c r="B25" s="44" t="inlineStr">
        <is>
          <t>0114</t>
        </is>
      </c>
      <c r="C25" s="63">
        <f>IF(B25="","", IFERROR(INDEX(Rates_Master!$C:$C, MATCH(B25, Rates_Master!$A:$A, 0)), "Custom Labour/Plant"))</f>
        <v/>
      </c>
      <c r="D25" s="64">
        <f>IF(B25="","", IFERROR(INDEX(Rates_Master!$D:$D, MATCH(B25, Rates_Master!$A:$A, 0)), ""))</f>
        <v/>
      </c>
      <c r="E25" s="65" t="n">
        <v>2</v>
      </c>
      <c r="F25" s="66">
        <f>IF(B25="","", IFERROR(INDEX(Rates_Master!$E:$E, MATCH(B25, Rates_Master!$A:$A, 0)), 0))</f>
        <v/>
      </c>
      <c r="G25" s="34">
        <f>IF(OR(B25="", E25=""), 0, ROUND(E25 * F25, 2))</f>
        <v/>
      </c>
      <c r="H25" s="67" t="inlineStr">
        <is>
          <t>Beldar (mixing &amp; placing)</t>
        </is>
      </c>
    </row>
    <row r="26" ht="20" customHeight="1">
      <c r="A26" s="19" t="n">
        <v>3</v>
      </c>
      <c r="B26" s="44" t="inlineStr">
        <is>
          <t>0101</t>
        </is>
      </c>
      <c r="C26" s="63">
        <f>IF(B26="","", IFERROR(INDEX(Rates_Master!$C:$C, MATCH(B26, Rates_Master!$A:$A, 0)), "Custom Labour/Plant"))</f>
        <v/>
      </c>
      <c r="D26" s="64">
        <f>IF(B26="","", IFERROR(INDEX(Rates_Master!$D:$D, MATCH(B26, Rates_Master!$A:$A, 0)), ""))</f>
        <v/>
      </c>
      <c r="E26" s="65" t="n">
        <v>0.9</v>
      </c>
      <c r="F26" s="66">
        <f>IF(B26="","", IFERROR(INDEX(Rates_Master!$E:$E, MATCH(B26, Rates_Master!$A:$A, 0)), 0))</f>
        <v/>
      </c>
      <c r="G26" s="34">
        <f>IF(OR(B26="", E26=""), 0, ROUND(E26 * F26, 2))</f>
        <v/>
      </c>
      <c r="H26" s="67" t="inlineStr">
        <is>
          <t>Bhisti (curing)</t>
        </is>
      </c>
    </row>
    <row r="27" ht="20" customHeight="1">
      <c r="A27" s="19" t="n">
        <v>4</v>
      </c>
      <c r="B27" s="44" t="inlineStr">
        <is>
          <t>0002</t>
        </is>
      </c>
      <c r="C27" s="63">
        <f>IF(B27="","", IFERROR(INDEX(Rates_Master!$C:$C, MATCH(B27, Rates_Master!$A:$A, 0)), "Custom Labour/Plant"))</f>
        <v/>
      </c>
      <c r="D27" s="64">
        <f>IF(B27="","", IFERROR(INDEX(Rates_Master!$D:$D, MATCH(B27, Rates_Master!$A:$A, 0)), ""))</f>
        <v/>
      </c>
      <c r="E27" s="65" t="n">
        <v>0.07000000000000001</v>
      </c>
      <c r="F27" s="66">
        <f>IF(B27="","", IFERROR(INDEX(Rates_Master!$E:$E, MATCH(B27, Rates_Master!$A:$A, 0)), 0))</f>
        <v/>
      </c>
      <c r="G27" s="34">
        <f>IF(OR(B27="", E27=""), 0, ROUND(E27 * F27, 2))</f>
        <v/>
      </c>
      <c r="H27" s="67" t="inlineStr">
        <is>
          <t>Hire charges of Concrete Mixer</t>
        </is>
      </c>
    </row>
    <row r="28" ht="20" customHeight="1">
      <c r="A28" s="19" t="n">
        <v>5</v>
      </c>
      <c r="B28" s="44" t="inlineStr">
        <is>
          <t>0012</t>
        </is>
      </c>
      <c r="C28" s="63">
        <f>IF(B28="","", IFERROR(INDEX(Rates_Master!$C:$C, MATCH(B28, Rates_Master!$A:$A, 0)), "Custom Labour/Plant"))</f>
        <v/>
      </c>
      <c r="D28" s="64">
        <f>IF(B28="","", IFERROR(INDEX(Rates_Master!$D:$D, MATCH(B28, Rates_Master!$A:$A, 0)), ""))</f>
        <v/>
      </c>
      <c r="E28" s="65" t="n">
        <v>0.07000000000000001</v>
      </c>
      <c r="F28" s="66">
        <f>IF(B28="","", IFERROR(INDEX(Rates_Master!$E:$E, MATCH(B28, Rates_Master!$A:$A, 0)), 0))</f>
        <v/>
      </c>
      <c r="G28" s="34">
        <f>IF(OR(B28="", E28=""), 0, ROUND(E28 * F28, 2))</f>
        <v/>
      </c>
      <c r="H28" s="67" t="inlineStr">
        <is>
          <t>Needle Vibrator 40mm</t>
        </is>
      </c>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14.3</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CPWD Standard: 1% for curing &amp; site water.</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DAR factor 0.1405 (works contract tax).</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Standard 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Statutory 1% BOCW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5.1.2</t>
        </is>
      </c>
      <c r="B57" s="108" t="inlineStr">
        <is>
          <t>RCC 1:1.5:3 up to plinth level (excl. shuttering &amp; reinforcement)</t>
        </is>
      </c>
      <c r="C57" s="109" t="inlineStr">
        <is>
          <t>cum</t>
        </is>
      </c>
      <c r="D57" s="109" t="n">
        <v>1</v>
      </c>
      <c r="E57" s="110" t="n">
        <v>5768.78</v>
      </c>
      <c r="F57" s="109" t="inlineStr">
        <is>
          <t>Full W-&gt;X-&gt;Y-&gt;Z</t>
        </is>
      </c>
      <c r="G57" s="110" t="n">
        <v>7717.15</v>
      </c>
      <c r="H57" s="111" t="n">
        <v>7717.15</v>
      </c>
    </row>
    <row r="58" ht="20" customHeight="1">
      <c r="A58" s="81" t="inlineStr">
        <is>
          <t>5.1.3</t>
        </is>
      </c>
      <c r="B58" s="103" t="inlineStr">
        <is>
          <t>RCC 1:2:4 up to plinth level (excl. shuttering &amp; reinforcement)</t>
        </is>
      </c>
      <c r="C58" s="104" t="inlineStr">
        <is>
          <t>cum</t>
        </is>
      </c>
      <c r="D58" s="104" t="n">
        <v>1</v>
      </c>
      <c r="E58" s="105" t="n">
        <v>5373.98</v>
      </c>
      <c r="F58" s="104" t="inlineStr">
        <is>
          <t>Full W-&gt;X-&gt;Y-&gt;Z</t>
        </is>
      </c>
      <c r="G58" s="105" t="n">
        <v>7189.02</v>
      </c>
      <c r="H58" s="106" t="n">
        <v>7189</v>
      </c>
    </row>
    <row r="59" ht="20" customHeight="1">
      <c r="A59" s="107" t="inlineStr">
        <is>
          <t>C-05.03</t>
        </is>
      </c>
      <c r="B59" s="108" t="inlineStr">
        <is>
          <t>(Available for new custom item)</t>
        </is>
      </c>
      <c r="C59" s="109" t="inlineStr">
        <is>
          <t>cum</t>
        </is>
      </c>
      <c r="D59" s="109" t="n">
        <v>1</v>
      </c>
      <c r="E59" s="110" t="n"/>
      <c r="F59" s="109" t="inlineStr">
        <is>
          <t>Full W-&gt;X-&gt;Y-&gt;Z</t>
        </is>
      </c>
      <c r="G59" s="110" t="n"/>
      <c r="H59" s="111" t="n"/>
    </row>
    <row r="60" ht="20" customHeight="1">
      <c r="A60" s="81" t="inlineStr">
        <is>
          <t>C-05.04</t>
        </is>
      </c>
      <c r="B60" s="103" t="inlineStr">
        <is>
          <t>(Available for new custom item)</t>
        </is>
      </c>
      <c r="C60" s="104" t="inlineStr">
        <is>
          <t>cum</t>
        </is>
      </c>
      <c r="D60" s="104" t="n">
        <v>1</v>
      </c>
      <c r="E60" s="105" t="n"/>
      <c r="F60" s="104" t="inlineStr">
        <is>
          <t>Full W-&gt;X-&gt;Y-&gt;Z</t>
        </is>
      </c>
      <c r="G60" s="105" t="n"/>
      <c r="H60" s="106" t="n"/>
    </row>
    <row r="61" ht="20" customHeight="1">
      <c r="A61" s="107" t="inlineStr">
        <is>
          <t>C-05.05</t>
        </is>
      </c>
      <c r="B61" s="108" t="inlineStr">
        <is>
          <t>(Available for new custom item)</t>
        </is>
      </c>
      <c r="C61" s="109" t="inlineStr">
        <is>
          <t>cum</t>
        </is>
      </c>
      <c r="D61" s="109" t="n">
        <v>1</v>
      </c>
      <c r="E61" s="110" t="n"/>
      <c r="F61" s="109" t="inlineStr">
        <is>
          <t>Full W-&gt;X-&gt;Y-&gt;Z</t>
        </is>
      </c>
      <c r="G61" s="110" t="n"/>
      <c r="H61" s="111" t="n"/>
    </row>
    <row r="62" ht="20" customHeight="1">
      <c r="A62" s="81" t="inlineStr">
        <is>
          <t>C-05.06</t>
        </is>
      </c>
      <c r="B62" s="103" t="inlineStr">
        <is>
          <t>(Available for new custom item)</t>
        </is>
      </c>
      <c r="C62" s="104" t="inlineStr">
        <is>
          <t>cum</t>
        </is>
      </c>
      <c r="D62" s="104" t="n">
        <v>1</v>
      </c>
      <c r="E62" s="105" t="n"/>
      <c r="F62" s="104" t="inlineStr">
        <is>
          <t>Full W-&gt;X-&gt;Y-&gt;Z</t>
        </is>
      </c>
      <c r="G62" s="105" t="n"/>
      <c r="H62" s="106" t="n"/>
    </row>
    <row r="63" ht="20" customHeight="1">
      <c r="A63" s="107" t="inlineStr">
        <is>
          <t>C-05.07</t>
        </is>
      </c>
      <c r="B63" s="108" t="inlineStr">
        <is>
          <t>(Available for new custom item)</t>
        </is>
      </c>
      <c r="C63" s="109" t="inlineStr">
        <is>
          <t>cum</t>
        </is>
      </c>
      <c r="D63" s="109" t="n">
        <v>1</v>
      </c>
      <c r="E63" s="110" t="n"/>
      <c r="F63" s="109" t="inlineStr">
        <is>
          <t>Full W-&gt;X-&gt;Y-&gt;Z</t>
        </is>
      </c>
      <c r="G63" s="110" t="n"/>
      <c r="H63" s="111" t="n"/>
    </row>
    <row r="64" ht="20" customHeight="1">
      <c r="A64" s="81" t="inlineStr">
        <is>
          <t>C-05.08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4" t="inlineStr">
        <is>
          <t>C-06.01</t>
        </is>
      </c>
      <c r="C5" s="16" t="inlineStr">
        <is>
          <t>Batch Output Basis:</t>
        </is>
      </c>
      <c r="D5" s="53" t="n">
        <v>1</v>
      </c>
      <c r="E5" s="16" t="inlineStr">
        <is>
          <t>Output Unit:</t>
        </is>
      </c>
      <c r="F5" s="44" t="inlineStr">
        <is>
          <t>cum</t>
        </is>
      </c>
      <c r="G5" s="16" t="inlineStr">
        <is>
          <t>Trade Sub-Head:</t>
        </is>
      </c>
      <c r="H5" s="112" t="inlineStr">
        <is>
          <t>06 Masonry Work</t>
        </is>
      </c>
    </row>
    <row r="6" ht="36" customHeight="1">
      <c r="A6" s="16" t="inlineStr">
        <is>
          <t>Item Nomenclature / Full Description:</t>
        </is>
      </c>
      <c r="B6" s="46" t="inlineStr">
        <is>
          <t>Brick work with common burnt clay F.P.S. bricks class 7.5 in foundation and plinth in cement mortar 1:4 (1 cement : 4 coarse sand)</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2602</t>
        </is>
      </c>
      <c r="C10" s="63">
        <f>IF(B10="","", IFERROR(INDEX(Rates_Master!$C:$C, MATCH(B10, Rates_Master!$A:$A, 0)), "Custom / Intermediate Material"))</f>
        <v/>
      </c>
      <c r="D10" s="64">
        <f>IF(B10="","", IFERROR(INDEX(Rates_Master!$D:$D, MATCH(B10, Rates_Master!$A:$A, 0)), ""))</f>
        <v/>
      </c>
      <c r="E10" s="65" t="n">
        <v>0.494</v>
      </c>
      <c r="F10" s="66">
        <f>IF(B10="","", IFERROR(INDEX(Rates_Master!$E:$E, MATCH(B10, Rates_Master!$A:$A, 0)), 0))</f>
        <v/>
      </c>
      <c r="G10" s="34">
        <f>IF(OR(B10="", E10=""), 0, ROUND(E10 * F10, 2))</f>
        <v/>
      </c>
      <c r="H10" s="67" t="inlineStr">
        <is>
          <t>Common burnt clay F.P.S. bricks class 7.5 (thousand)</t>
        </is>
      </c>
    </row>
    <row r="11" ht="20" customHeight="1">
      <c r="A11" s="19" t="n">
        <v>2</v>
      </c>
      <c r="B11" s="44" t="inlineStr">
        <is>
          <t>2201</t>
        </is>
      </c>
      <c r="C11" s="63">
        <f>IF(B11="","", IFERROR(INDEX(Rates_Master!$C:$C, MATCH(B11, Rates_Master!$A:$A, 0)), "Custom / Intermediate Material"))</f>
        <v/>
      </c>
      <c r="D11" s="64">
        <f>IF(B11="","", IFERROR(INDEX(Rates_Master!$D:$D, MATCH(B11, Rates_Master!$A:$A, 0)), ""))</f>
        <v/>
      </c>
      <c r="E11" s="65" t="n">
        <v>0.494</v>
      </c>
      <c r="F11" s="66">
        <f>IF(B11="","", IFERROR(INDEX(Rates_Master!$E:$E, MATCH(B11, Rates_Master!$A:$A, 0)), 0))</f>
        <v/>
      </c>
      <c r="G11" s="34">
        <f>IF(OR(B11="", E11=""), 0, ROUND(E11 * F11, 2))</f>
        <v/>
      </c>
      <c r="H11" s="67" t="inlineStr">
        <is>
          <t>Carriage of Bricks (thousand)</t>
        </is>
      </c>
    </row>
    <row r="12" ht="20" customHeight="1">
      <c r="A12" s="19" t="n">
        <v>3</v>
      </c>
      <c r="B12" s="44" t="inlineStr">
        <is>
          <t>03_Mortars</t>
        </is>
      </c>
      <c r="C12" s="63" t="inlineStr">
        <is>
          <t>Cement mortar 1:4 (Rate pulled from 03_Mortars builder or DAR Item 3.9)</t>
        </is>
      </c>
      <c r="D12" s="64" t="inlineStr">
        <is>
          <t>cum</t>
        </is>
      </c>
      <c r="E12" s="65" t="n">
        <v>0.25</v>
      </c>
      <c r="F12" s="66">
        <f>'03_Mortars'!G51</f>
        <v/>
      </c>
      <c r="G12" s="34">
        <f>IF(OR(B12="", E12=""), 0, ROUND(E12 * F12, 2))</f>
        <v/>
      </c>
      <c r="H12" s="67" t="inlineStr">
        <is>
          <t>Live link to 03_Mortars output rate</t>
        </is>
      </c>
    </row>
    <row r="13" ht="20" customHeight="1">
      <c r="A13" s="19" t="n">
        <v>4</v>
      </c>
      <c r="B13" s="44" t="inlineStr"/>
      <c r="C13" s="63">
        <f>IF(B13="","", IFERROR(INDEX(Rates_Master!$C:$C, MATCH(B13, Rates_Master!$A:$A, 0)), "Custom / Intermediate Material"))</f>
        <v/>
      </c>
      <c r="D13" s="64">
        <f>IF(B13="","", IFERROR(INDEX(Rates_Master!$D:$D, MATCH(B13, Rates_Master!$A:$A, 0)), ""))</f>
        <v/>
      </c>
      <c r="E13" s="65" t="n"/>
      <c r="F13" s="66">
        <f>IF(B13="","", IFERROR(INDEX(Rates_Master!$E:$E, MATCH(B13, Rates_Master!$A:$A, 0)), 0))</f>
        <v/>
      </c>
      <c r="G13" s="34">
        <f>IF(OR(B13="", E13=""), 0, ROUND(E13 * F13, 2))</f>
        <v/>
      </c>
      <c r="H13" s="67" t="inlineStr"/>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0123</t>
        </is>
      </c>
      <c r="C24" s="63">
        <f>IF(B24="","", IFERROR(INDEX(Rates_Master!$C:$C, MATCH(B24, Rates_Master!$A:$A, 0)), "Custom Labour/Plant"))</f>
        <v/>
      </c>
      <c r="D24" s="64">
        <f>IF(B24="","", IFERROR(INDEX(Rates_Master!$D:$D, MATCH(B24, Rates_Master!$A:$A, 0)), ""))</f>
        <v/>
      </c>
      <c r="E24" s="65" t="n">
        <v>0.36</v>
      </c>
      <c r="F24" s="66">
        <f>IF(B24="","", IFERROR(INDEX(Rates_Master!$E:$E, MATCH(B24, Rates_Master!$A:$A, 0)), 0))</f>
        <v/>
      </c>
      <c r="G24" s="34">
        <f>IF(OR(B24="", E24=""), 0, ROUND(E24 * F24, 2))</f>
        <v/>
      </c>
      <c r="H24" s="67" t="inlineStr">
        <is>
          <t>Mason (brick layer) 1st class</t>
        </is>
      </c>
    </row>
    <row r="25" ht="20" customHeight="1">
      <c r="A25" s="19" t="n">
        <v>2</v>
      </c>
      <c r="B25" s="44" t="inlineStr">
        <is>
          <t>0124</t>
        </is>
      </c>
      <c r="C25" s="63">
        <f>IF(B25="","", IFERROR(INDEX(Rates_Master!$C:$C, MATCH(B25, Rates_Master!$A:$A, 0)), "Custom Labour/Plant"))</f>
        <v/>
      </c>
      <c r="D25" s="64">
        <f>IF(B25="","", IFERROR(INDEX(Rates_Master!$D:$D, MATCH(B25, Rates_Master!$A:$A, 0)), ""))</f>
        <v/>
      </c>
      <c r="E25" s="65" t="n">
        <v>0.36</v>
      </c>
      <c r="F25" s="66">
        <f>IF(B25="","", IFERROR(INDEX(Rates_Master!$E:$E, MATCH(B25, Rates_Master!$A:$A, 0)), 0))</f>
        <v/>
      </c>
      <c r="G25" s="34">
        <f>IF(OR(B25="", E25=""), 0, ROUND(E25 * F25, 2))</f>
        <v/>
      </c>
      <c r="H25" s="67" t="inlineStr">
        <is>
          <t>Mason (brick layer) 2nd class</t>
        </is>
      </c>
    </row>
    <row r="26" ht="20" customHeight="1">
      <c r="A26" s="19" t="n">
        <v>3</v>
      </c>
      <c r="B26" s="44" t="inlineStr">
        <is>
          <t>0115</t>
        </is>
      </c>
      <c r="C26" s="63">
        <f>IF(B26="","", IFERROR(INDEX(Rates_Master!$C:$C, MATCH(B26, Rates_Master!$A:$A, 0)), "Custom Labour/Plant"))</f>
        <v/>
      </c>
      <c r="D26" s="64">
        <f>IF(B26="","", IFERROR(INDEX(Rates_Master!$D:$D, MATCH(B26, Rates_Master!$A:$A, 0)), ""))</f>
        <v/>
      </c>
      <c r="E26" s="65" t="n">
        <v>1.37</v>
      </c>
      <c r="F26" s="66">
        <f>IF(B26="","", IFERROR(INDEX(Rates_Master!$E:$E, MATCH(B26, Rates_Master!$A:$A, 0)), 0))</f>
        <v/>
      </c>
      <c r="G26" s="34">
        <f>IF(OR(B26="", E26=""), 0, ROUND(E26 * F26, 2))</f>
        <v/>
      </c>
      <c r="H26" s="67" t="inlineStr">
        <is>
          <t>Coolie</t>
        </is>
      </c>
    </row>
    <row r="27" ht="20" customHeight="1">
      <c r="A27" s="19" t="n">
        <v>4</v>
      </c>
      <c r="B27" s="44" t="inlineStr">
        <is>
          <t>0101</t>
        </is>
      </c>
      <c r="C27" s="63">
        <f>IF(B27="","", IFERROR(INDEX(Rates_Master!$C:$C, MATCH(B27, Rates_Master!$A:$A, 0)), "Custom Labour/Plant"))</f>
        <v/>
      </c>
      <c r="D27" s="64">
        <f>IF(B27="","", IFERROR(INDEX(Rates_Master!$D:$D, MATCH(B27, Rates_Master!$A:$A, 0)), ""))</f>
        <v/>
      </c>
      <c r="E27" s="65" t="n">
        <v>0.2</v>
      </c>
      <c r="F27" s="66">
        <f>IF(B27="","", IFERROR(INDEX(Rates_Master!$E:$E, MATCH(B27, Rates_Master!$A:$A, 0)), 0))</f>
        <v/>
      </c>
      <c r="G27" s="34">
        <f>IF(OR(B27="", E27=""), 0, ROUND(E27 * F27, 2))</f>
        <v/>
      </c>
      <c r="H27" s="67" t="inlineStr">
        <is>
          <t>Bhisti</t>
        </is>
      </c>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2.73</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CPWD Standard: 1% water charges on combined material and labour total.</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DAR factor 0.1405 (works contract tax).</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Standard 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Statutory 1% BOCW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6.1.1</t>
        </is>
      </c>
      <c r="B57" s="108" t="inlineStr">
        <is>
          <t>Brick work class 7.5 in foundation and plinth in CM 1:4</t>
        </is>
      </c>
      <c r="C57" s="109" t="inlineStr">
        <is>
          <t>cum</t>
        </is>
      </c>
      <c r="D57" s="109" t="n">
        <v>1</v>
      </c>
      <c r="E57" s="110" t="n">
        <v>4765.73</v>
      </c>
      <c r="F57" s="109" t="inlineStr">
        <is>
          <t>Full W-&gt;X-&gt;Y-&gt;Z</t>
        </is>
      </c>
      <c r="G57" s="110" t="n">
        <v>6375.31</v>
      </c>
      <c r="H57" s="111" t="n">
        <v>6375.3</v>
      </c>
    </row>
    <row r="58" ht="20" customHeight="1">
      <c r="A58" s="81" t="inlineStr">
        <is>
          <t>6.1.2</t>
        </is>
      </c>
      <c r="B58" s="103" t="inlineStr">
        <is>
          <t>Brick work class 7.5 in foundation and plinth in CM 1:6</t>
        </is>
      </c>
      <c r="C58" s="104" t="inlineStr">
        <is>
          <t>cum</t>
        </is>
      </c>
      <c r="D58" s="104" t="n">
        <v>1</v>
      </c>
      <c r="E58" s="105" t="n">
        <v>4539.06</v>
      </c>
      <c r="F58" s="104" t="inlineStr">
        <is>
          <t>Full W-&gt;X-&gt;Y-&gt;Z</t>
        </is>
      </c>
      <c r="G58" s="105" t="n">
        <v>6072.07</v>
      </c>
      <c r="H58" s="106" t="n">
        <v>6072.05</v>
      </c>
    </row>
    <row r="59" ht="20" customHeight="1">
      <c r="A59" s="107" t="inlineStr">
        <is>
          <t>C-06.03</t>
        </is>
      </c>
      <c r="B59" s="108" t="inlineStr">
        <is>
          <t>(Available for new custom item)</t>
        </is>
      </c>
      <c r="C59" s="109" t="inlineStr">
        <is>
          <t>cum</t>
        </is>
      </c>
      <c r="D59" s="109" t="n">
        <v>1</v>
      </c>
      <c r="E59" s="110" t="n"/>
      <c r="F59" s="109" t="inlineStr">
        <is>
          <t>Full W-&gt;X-&gt;Y-&gt;Z</t>
        </is>
      </c>
      <c r="G59" s="110" t="n"/>
      <c r="H59" s="111" t="n"/>
    </row>
    <row r="60" ht="20" customHeight="1">
      <c r="A60" s="81" t="inlineStr">
        <is>
          <t>C-06.04</t>
        </is>
      </c>
      <c r="B60" s="103" t="inlineStr">
        <is>
          <t>(Available for new custom item)</t>
        </is>
      </c>
      <c r="C60" s="104" t="inlineStr">
        <is>
          <t>cum</t>
        </is>
      </c>
      <c r="D60" s="104" t="n">
        <v>1</v>
      </c>
      <c r="E60" s="105" t="n"/>
      <c r="F60" s="104" t="inlineStr">
        <is>
          <t>Full W-&gt;X-&gt;Y-&gt;Z</t>
        </is>
      </c>
      <c r="G60" s="105" t="n"/>
      <c r="H60" s="106" t="n"/>
    </row>
    <row r="61" ht="20" customHeight="1">
      <c r="A61" s="107" t="inlineStr">
        <is>
          <t>C-06.05</t>
        </is>
      </c>
      <c r="B61" s="108" t="inlineStr">
        <is>
          <t>(Available for new custom item)</t>
        </is>
      </c>
      <c r="C61" s="109" t="inlineStr">
        <is>
          <t>cum</t>
        </is>
      </c>
      <c r="D61" s="109" t="n">
        <v>1</v>
      </c>
      <c r="E61" s="110" t="n"/>
      <c r="F61" s="109" t="inlineStr">
        <is>
          <t>Full W-&gt;X-&gt;Y-&gt;Z</t>
        </is>
      </c>
      <c r="G61" s="110" t="n"/>
      <c r="H61" s="111" t="n"/>
    </row>
    <row r="62" ht="20" customHeight="1">
      <c r="A62" s="81" t="inlineStr">
        <is>
          <t>C-06.06</t>
        </is>
      </c>
      <c r="B62" s="103" t="inlineStr">
        <is>
          <t>(Available for new custom item)</t>
        </is>
      </c>
      <c r="C62" s="104" t="inlineStr">
        <is>
          <t>cum</t>
        </is>
      </c>
      <c r="D62" s="104" t="n">
        <v>1</v>
      </c>
      <c r="E62" s="105" t="n"/>
      <c r="F62" s="104" t="inlineStr">
        <is>
          <t>Full W-&gt;X-&gt;Y-&gt;Z</t>
        </is>
      </c>
      <c r="G62" s="105" t="n"/>
      <c r="H62" s="106" t="n"/>
    </row>
    <row r="63" ht="20" customHeight="1">
      <c r="A63" s="107" t="inlineStr">
        <is>
          <t>C-06.07</t>
        </is>
      </c>
      <c r="B63" s="108" t="inlineStr">
        <is>
          <t>(Available for new custom item)</t>
        </is>
      </c>
      <c r="C63" s="109" t="inlineStr">
        <is>
          <t>cum</t>
        </is>
      </c>
      <c r="D63" s="109" t="n">
        <v>1</v>
      </c>
      <c r="E63" s="110" t="n"/>
      <c r="F63" s="109" t="inlineStr">
        <is>
          <t>Full W-&gt;X-&gt;Y-&gt;Z</t>
        </is>
      </c>
      <c r="G63" s="110" t="n"/>
      <c r="H63" s="111" t="n"/>
    </row>
    <row r="64" ht="20" customHeight="1">
      <c r="A64" s="81" t="inlineStr">
        <is>
          <t>C-06.08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07: Random rubble and ashlar stone masonry. Consumes un-marked Mortar from 03_Mortars, quarry stone, bond stones, dressing labour, and masons.</t>
        </is>
      </c>
    </row>
    <row r="4"/>
    <row r="5" ht="22" customHeight="1">
      <c r="A5" s="16" t="inlineStr">
        <is>
          <t>Custom Item Code:</t>
        </is>
      </c>
      <c r="B5" s="44" t="inlineStr">
        <is>
          <t>C-07.01</t>
        </is>
      </c>
      <c r="C5" s="16" t="inlineStr">
        <is>
          <t>Batch Output Basis:</t>
        </is>
      </c>
      <c r="D5" s="53" t="n">
        <v>1</v>
      </c>
      <c r="E5" s="16" t="inlineStr">
        <is>
          <t>Output Unit:</t>
        </is>
      </c>
      <c r="F5" s="44" t="inlineStr">
        <is>
          <t>cum</t>
        </is>
      </c>
      <c r="G5" s="16" t="inlineStr">
        <is>
          <t>Trade Sub-Head:</t>
        </is>
      </c>
      <c r="H5" s="112" t="inlineStr">
        <is>
          <t>07 Stone Work</t>
        </is>
      </c>
    </row>
    <row r="6" ht="36" customHeight="1">
      <c r="A6" s="16" t="inlineStr">
        <is>
          <t>Item Nomenclature / Full Description:</t>
        </is>
      </c>
      <c r="B6" s="46" t="inlineStr">
        <is>
          <t>Random rubble masonry with hard stone in foundation and plinth in cement mortar 1:6 (1 cement : 6 coarse sand)</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0299</t>
        </is>
      </c>
      <c r="C10" s="63">
        <f>IF(B10="","", IFERROR(INDEX(Rates_Master!$C:$C, MATCH(B10, Rates_Master!$A:$A, 0)), "Custom / Intermediate Material"))</f>
        <v/>
      </c>
      <c r="D10" s="64">
        <f>IF(B10="","", IFERROR(INDEX(Rates_Master!$D:$D, MATCH(B10, Rates_Master!$A:$A, 0)), ""))</f>
        <v/>
      </c>
      <c r="E10" s="65" t="n">
        <v>1</v>
      </c>
      <c r="F10" s="66">
        <f>IF(B10="","", IFERROR(INDEX(Rates_Master!$E:$E, MATCH(B10, Rates_Master!$A:$A, 0)), 0))</f>
        <v/>
      </c>
      <c r="G10" s="34">
        <f>IF(OR(B10="", E10=""), 0, ROUND(E10 * F10, 2))</f>
        <v/>
      </c>
      <c r="H10" s="67" t="inlineStr">
        <is>
          <t>Stone for masonry (rubble)</t>
        </is>
      </c>
    </row>
    <row r="11" ht="20" customHeight="1">
      <c r="A11" s="19" t="n">
        <v>2</v>
      </c>
      <c r="B11" s="44" t="inlineStr">
        <is>
          <t>2202</t>
        </is>
      </c>
      <c r="C11" s="63">
        <f>IF(B11="","", IFERROR(INDEX(Rates_Master!$C:$C, MATCH(B11, Rates_Master!$A:$A, 0)), "Custom / Intermediate Material"))</f>
        <v/>
      </c>
      <c r="D11" s="64">
        <f>IF(B11="","", IFERROR(INDEX(Rates_Master!$D:$D, MATCH(B11, Rates_Master!$A:$A, 0)), ""))</f>
        <v/>
      </c>
      <c r="E11" s="65" t="n">
        <v>1</v>
      </c>
      <c r="F11" s="66">
        <f>IF(B11="","", IFERROR(INDEX(Rates_Master!$E:$E, MATCH(B11, Rates_Master!$A:$A, 0)), 0))</f>
        <v/>
      </c>
      <c r="G11" s="34">
        <f>IF(OR(B11="", E11=""), 0, ROUND(E11 * F11, 2))</f>
        <v/>
      </c>
      <c r="H11" s="67" t="inlineStr">
        <is>
          <t>Carriage of Stone</t>
        </is>
      </c>
    </row>
    <row r="12" ht="20" customHeight="1">
      <c r="A12" s="19" t="n">
        <v>3</v>
      </c>
      <c r="B12" s="44" t="inlineStr">
        <is>
          <t>0300</t>
        </is>
      </c>
      <c r="C12" s="63">
        <f>IF(B12="","", IFERROR(INDEX(Rates_Master!$C:$C, MATCH(B12, Rates_Master!$A:$A, 0)), "Custom / Intermediate Material"))</f>
        <v/>
      </c>
      <c r="D12" s="64">
        <f>IF(B12="","", IFERROR(INDEX(Rates_Master!$D:$D, MATCH(B12, Rates_Master!$A:$A, 0)), ""))</f>
        <v/>
      </c>
      <c r="E12" s="65" t="n">
        <v>0.1</v>
      </c>
      <c r="F12" s="66">
        <f>IF(B12="","", IFERROR(INDEX(Rates_Master!$E:$E, MATCH(B12, Rates_Master!$A:$A, 0)), 0))</f>
        <v/>
      </c>
      <c r="G12" s="34">
        <f>IF(OR(B12="", E12=""), 0, ROUND(E12 * F12, 2))</f>
        <v/>
      </c>
      <c r="H12" s="67" t="inlineStr">
        <is>
          <t>Through or bond stone</t>
        </is>
      </c>
    </row>
    <row r="13" ht="20" customHeight="1">
      <c r="A13" s="19" t="n">
        <v>4</v>
      </c>
      <c r="B13" s="44" t="inlineStr">
        <is>
          <t>03_Mortars</t>
        </is>
      </c>
      <c r="C13" s="63" t="inlineStr">
        <is>
          <t>Cement mortar 1:6 (Rate from 03_Mortars or DAR 3.11)</t>
        </is>
      </c>
      <c r="D13" s="64" t="inlineStr">
        <is>
          <t>cum</t>
        </is>
      </c>
      <c r="E13" s="65" t="n">
        <v>0.3</v>
      </c>
      <c r="F13" s="66">
        <f>'03_Mortars'!G51</f>
        <v/>
      </c>
      <c r="G13" s="34">
        <f>IF(OR(B13="", E13=""), 0, ROUND(E13 * F13, 2))</f>
        <v/>
      </c>
      <c r="H13" s="67" t="inlineStr">
        <is>
          <t>Mortar bedding rate</t>
        </is>
      </c>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3">
        <f>IF(B24="","", IFERROR(INDEX(Rates_Master!$C:$C, MATCH(B24, Rates_Master!$A:$A, 0)), "Custom Labour/Plant"))</f>
        <v/>
      </c>
      <c r="D24" s="64">
        <f>IF(B24="","", IFERROR(INDEX(Rates_Master!$D:$D, MATCH(B24, Rates_Master!$A:$A, 0)), ""))</f>
        <v/>
      </c>
      <c r="E24" s="65" t="n">
        <v>0.7</v>
      </c>
      <c r="F24" s="66">
        <f>IF(B24="","", IFERROR(INDEX(Rates_Master!$E:$E, MATCH(B24, Rates_Master!$A:$A, 0)), 0))</f>
        <v/>
      </c>
      <c r="G24" s="34">
        <f>IF(OR(B24="", E24=""), 0, ROUND(E24 * F24, 2))</f>
        <v/>
      </c>
      <c r="H24" s="67" t="inlineStr">
        <is>
          <t>Stone Mason (average)</t>
        </is>
      </c>
    </row>
    <row r="25" ht="20" customHeight="1">
      <c r="A25" s="19" t="n">
        <v>2</v>
      </c>
      <c r="B25" s="44" t="inlineStr">
        <is>
          <t>0115</t>
        </is>
      </c>
      <c r="C25" s="63">
        <f>IF(B25="","", IFERROR(INDEX(Rates_Master!$C:$C, MATCH(B25, Rates_Master!$A:$A, 0)), "Custom Labour/Plant"))</f>
        <v/>
      </c>
      <c r="D25" s="64">
        <f>IF(B25="","", IFERROR(INDEX(Rates_Master!$D:$D, MATCH(B25, Rates_Master!$A:$A, 0)), ""))</f>
        <v/>
      </c>
      <c r="E25" s="65" t="n">
        <v>1.4</v>
      </c>
      <c r="F25" s="66">
        <f>IF(B25="","", IFERROR(INDEX(Rates_Master!$E:$E, MATCH(B25, Rates_Master!$A:$A, 0)), 0))</f>
        <v/>
      </c>
      <c r="G25" s="34">
        <f>IF(OR(B25="", E25=""), 0, ROUND(E25 * F25, 2))</f>
        <v/>
      </c>
      <c r="H25" s="67" t="inlineStr">
        <is>
          <t>Coolie</t>
        </is>
      </c>
    </row>
    <row r="26" ht="20" customHeight="1">
      <c r="A26" s="19" t="n">
        <v>3</v>
      </c>
      <c r="B26" s="44" t="inlineStr">
        <is>
          <t>0101</t>
        </is>
      </c>
      <c r="C26" s="63">
        <f>IF(B26="","", IFERROR(INDEX(Rates_Master!$C:$C, MATCH(B26, Rates_Master!$A:$A, 0)), "Custom Labour/Plant"))</f>
        <v/>
      </c>
      <c r="D26" s="64">
        <f>IF(B26="","", IFERROR(INDEX(Rates_Master!$D:$D, MATCH(B26, Rates_Master!$A:$A, 0)), ""))</f>
        <v/>
      </c>
      <c r="E26" s="65" t="n">
        <v>0.2</v>
      </c>
      <c r="F26" s="66">
        <f>IF(B26="","", IFERROR(INDEX(Rates_Master!$E:$E, MATCH(B26, Rates_Master!$A:$A, 0)), 0))</f>
        <v/>
      </c>
      <c r="G26" s="34">
        <f>IF(OR(B26="", E26=""), 0, ROUND(E26 * F26, 2))</f>
        <v/>
      </c>
      <c r="H26" s="67" t="inlineStr">
        <is>
          <t>Bhisti</t>
        </is>
      </c>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3.5</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Labour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7.1.1</t>
        </is>
      </c>
      <c r="B57" s="108" t="inlineStr">
        <is>
          <t>Random rubble masonry with hard stone in CM 1:6 in foundation and plinth</t>
        </is>
      </c>
      <c r="C57" s="109" t="inlineStr">
        <is>
          <t>cum</t>
        </is>
      </c>
      <c r="D57" s="109" t="n">
        <v>1</v>
      </c>
      <c r="E57" s="110" t="n">
        <v>4150.2</v>
      </c>
      <c r="F57" s="109" t="inlineStr">
        <is>
          <t>Full W-&gt;X-&gt;Y-&gt;Z</t>
        </is>
      </c>
      <c r="G57" s="110" t="n">
        <v>5552</v>
      </c>
      <c r="H57" s="111" t="n">
        <v>5552</v>
      </c>
    </row>
    <row r="58" ht="20" customHeight="1">
      <c r="A58" s="81" t="inlineStr">
        <is>
          <t>C-07.02</t>
        </is>
      </c>
      <c r="B58" s="103" t="inlineStr">
        <is>
          <t>(Available for new custom item)</t>
        </is>
      </c>
      <c r="C58" s="104" t="inlineStr">
        <is>
          <t>cum</t>
        </is>
      </c>
      <c r="D58" s="104" t="n">
        <v>1</v>
      </c>
      <c r="E58" s="105" t="n"/>
      <c r="F58" s="104" t="inlineStr">
        <is>
          <t>Full W-&gt;X-&gt;Y-&gt;Z</t>
        </is>
      </c>
      <c r="G58" s="105" t="n"/>
      <c r="H58" s="106" t="n"/>
    </row>
    <row r="59" ht="20" customHeight="1">
      <c r="A59" s="107" t="inlineStr">
        <is>
          <t>C-07.03</t>
        </is>
      </c>
      <c r="B59" s="108" t="inlineStr">
        <is>
          <t>(Available for new custom item)</t>
        </is>
      </c>
      <c r="C59" s="109" t="inlineStr">
        <is>
          <t>cum</t>
        </is>
      </c>
      <c r="D59" s="109" t="n">
        <v>1</v>
      </c>
      <c r="E59" s="110" t="n"/>
      <c r="F59" s="109" t="inlineStr">
        <is>
          <t>Full W-&gt;X-&gt;Y-&gt;Z</t>
        </is>
      </c>
      <c r="G59" s="110" t="n"/>
      <c r="H59" s="111" t="n"/>
    </row>
    <row r="60" ht="20" customHeight="1">
      <c r="A60" s="81" t="inlineStr">
        <is>
          <t>C-07.04</t>
        </is>
      </c>
      <c r="B60" s="103" t="inlineStr">
        <is>
          <t>(Available for new custom item)</t>
        </is>
      </c>
      <c r="C60" s="104" t="inlineStr">
        <is>
          <t>cum</t>
        </is>
      </c>
      <c r="D60" s="104" t="n">
        <v>1</v>
      </c>
      <c r="E60" s="105" t="n"/>
      <c r="F60" s="104" t="inlineStr">
        <is>
          <t>Full W-&gt;X-&gt;Y-&gt;Z</t>
        </is>
      </c>
      <c r="G60" s="105" t="n"/>
      <c r="H60" s="106" t="n"/>
    </row>
    <row r="61" ht="20" customHeight="1">
      <c r="A61" s="107" t="inlineStr">
        <is>
          <t>C-07.05</t>
        </is>
      </c>
      <c r="B61" s="108" t="inlineStr">
        <is>
          <t>(Available for new custom item)</t>
        </is>
      </c>
      <c r="C61" s="109" t="inlineStr">
        <is>
          <t>cum</t>
        </is>
      </c>
      <c r="D61" s="109" t="n">
        <v>1</v>
      </c>
      <c r="E61" s="110" t="n"/>
      <c r="F61" s="109" t="inlineStr">
        <is>
          <t>Full W-&gt;X-&gt;Y-&gt;Z</t>
        </is>
      </c>
      <c r="G61" s="110" t="n"/>
      <c r="H61" s="111" t="n"/>
    </row>
    <row r="62" ht="20" customHeight="1">
      <c r="A62" s="81" t="inlineStr">
        <is>
          <t>C-07.06</t>
        </is>
      </c>
      <c r="B62" s="103" t="inlineStr">
        <is>
          <t>(Available for new custom item)</t>
        </is>
      </c>
      <c r="C62" s="104" t="inlineStr">
        <is>
          <t>cum</t>
        </is>
      </c>
      <c r="D62" s="104" t="n">
        <v>1</v>
      </c>
      <c r="E62" s="105" t="n"/>
      <c r="F62" s="104" t="inlineStr">
        <is>
          <t>Full W-&gt;X-&gt;Y-&gt;Z</t>
        </is>
      </c>
      <c r="G62" s="105" t="n"/>
      <c r="H62" s="106" t="n"/>
    </row>
    <row r="63" ht="20" customHeight="1">
      <c r="A63" s="107" t="inlineStr">
        <is>
          <t>C-07.07</t>
        </is>
      </c>
      <c r="B63" s="108" t="inlineStr">
        <is>
          <t>(Available for new custom item)</t>
        </is>
      </c>
      <c r="C63" s="109" t="inlineStr">
        <is>
          <t>cum</t>
        </is>
      </c>
      <c r="D63" s="109" t="n">
        <v>1</v>
      </c>
      <c r="E63" s="110" t="n"/>
      <c r="F63" s="109" t="inlineStr">
        <is>
          <t>Full W-&gt;X-&gt;Y-&gt;Z</t>
        </is>
      </c>
      <c r="G63" s="110" t="n"/>
      <c r="H63" s="111" t="n"/>
    </row>
    <row r="64" ht="20" customHeight="1">
      <c r="A64" s="81" t="inlineStr">
        <is>
          <t>C-07.08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08: Stone and marble veneer cladding. Incorporates bedding mortar and pointing mortar lines, slab cutting/wastage, scaffolding, and stone masons.</t>
        </is>
      </c>
    </row>
    <row r="4"/>
    <row r="5" ht="22" customHeight="1">
      <c r="A5" s="16" t="inlineStr">
        <is>
          <t>Custom Item Code:</t>
        </is>
      </c>
      <c r="B5" s="44" t="inlineStr">
        <is>
          <t>C-08.01</t>
        </is>
      </c>
      <c r="C5" s="16" t="inlineStr">
        <is>
          <t>Batch Output Basis:</t>
        </is>
      </c>
      <c r="D5" s="53" t="n">
        <v>10</v>
      </c>
      <c r="E5" s="16" t="inlineStr">
        <is>
          <t>Output Unit:</t>
        </is>
      </c>
      <c r="F5" s="44" t="inlineStr">
        <is>
          <t>sqm</t>
        </is>
      </c>
      <c r="G5" s="16" t="inlineStr">
        <is>
          <t>Trade Sub-Head:</t>
        </is>
      </c>
      <c r="H5" s="112" t="inlineStr">
        <is>
          <t>08 Cladding Work</t>
        </is>
      </c>
    </row>
    <row r="6" ht="36" customHeight="1">
      <c r="A6" s="16" t="inlineStr">
        <is>
          <t>Item Nomenclature / Full Description:</t>
        </is>
      </c>
      <c r="B6" s="46" t="inlineStr">
        <is>
          <t>30 mm thick gang saw cut red sand stone / white sand stone sun-shade / cladding in wall with CM 1:3</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0308</t>
        </is>
      </c>
      <c r="C10" s="63">
        <f>IF(B10="","", IFERROR(INDEX(Rates_Master!$C:$C, MATCH(B10, Rates_Master!$A:$A, 0)), "Custom / Intermediate Material"))</f>
        <v/>
      </c>
      <c r="D10" s="64">
        <f>IF(B10="","", IFERROR(INDEX(Rates_Master!$D:$D, MATCH(B10, Rates_Master!$A:$A, 0)), ""))</f>
        <v/>
      </c>
      <c r="E10" s="65" t="n">
        <v>10.5</v>
      </c>
      <c r="F10" s="66">
        <f>IF(B10="","", IFERROR(INDEX(Rates_Master!$E:$E, MATCH(B10, Rates_Master!$A:$A, 0)), 0))</f>
        <v/>
      </c>
      <c r="G10" s="34">
        <f>IF(OR(B10="", E10=""), 0, ROUND(E10 * F10, 2))</f>
        <v/>
      </c>
      <c r="H10" s="67" t="inlineStr">
        <is>
          <t>Red sand stone slab 30mm thick (with 5% cutting wastage)</t>
        </is>
      </c>
    </row>
    <row r="11" ht="20" customHeight="1">
      <c r="A11" s="19" t="n">
        <v>2</v>
      </c>
      <c r="B11" s="44" t="inlineStr">
        <is>
          <t>2202</t>
        </is>
      </c>
      <c r="C11" s="63">
        <f>IF(B11="","", IFERROR(INDEX(Rates_Master!$C:$C, MATCH(B11, Rates_Master!$A:$A, 0)), "Custom / Intermediate Material"))</f>
        <v/>
      </c>
      <c r="D11" s="64">
        <f>IF(B11="","", IFERROR(INDEX(Rates_Master!$D:$D, MATCH(B11, Rates_Master!$A:$A, 0)), ""))</f>
        <v/>
      </c>
      <c r="E11" s="65" t="n">
        <v>0.315</v>
      </c>
      <c r="F11" s="66">
        <f>IF(B11="","", IFERROR(INDEX(Rates_Master!$E:$E, MATCH(B11, Rates_Master!$A:$A, 0)), 0))</f>
        <v/>
      </c>
      <c r="G11" s="34">
        <f>IF(OR(B11="", E11=""), 0, ROUND(E11 * F11, 2))</f>
        <v/>
      </c>
      <c r="H11" s="67" t="inlineStr">
        <is>
          <t>Carriage of Stone slabs</t>
        </is>
      </c>
    </row>
    <row r="12" ht="20" customHeight="1">
      <c r="A12" s="19" t="n">
        <v>3</v>
      </c>
      <c r="B12" s="44" t="inlineStr">
        <is>
          <t>03_Mortars</t>
        </is>
      </c>
      <c r="C12" s="63" t="inlineStr">
        <is>
          <t>Cement mortar 1:3 (Bedding mortar from 03_Mortars or DAR 3.3)</t>
        </is>
      </c>
      <c r="D12" s="64" t="inlineStr">
        <is>
          <t>cum</t>
        </is>
      </c>
      <c r="E12" s="65" t="n">
        <v>0.2</v>
      </c>
      <c r="F12" s="66">
        <f>'03_Mortars'!G51</f>
        <v/>
      </c>
      <c r="G12" s="34">
        <f>IF(OR(B12="", E12=""), 0, ROUND(E12 * F12, 2))</f>
        <v/>
      </c>
      <c r="H12" s="67" t="inlineStr">
        <is>
          <t>Bedding mortar</t>
        </is>
      </c>
    </row>
    <row r="13" ht="20" customHeight="1">
      <c r="A13" s="19" t="n">
        <v>4</v>
      </c>
      <c r="B13" s="44" t="inlineStr"/>
      <c r="C13" s="63">
        <f>IF(B13="","", IFERROR(INDEX(Rates_Master!$C:$C, MATCH(B13, Rates_Master!$A:$A, 0)), "Custom / Intermediate Material"))</f>
        <v/>
      </c>
      <c r="D13" s="64">
        <f>IF(B13="","", IFERROR(INDEX(Rates_Master!$D:$D, MATCH(B13, Rates_Master!$A:$A, 0)), ""))</f>
        <v/>
      </c>
      <c r="E13" s="65" t="n"/>
      <c r="F13" s="66">
        <f>IF(B13="","", IFERROR(INDEX(Rates_Master!$E:$E, MATCH(B13, Rates_Master!$A:$A, 0)), 0))</f>
        <v/>
      </c>
      <c r="G13" s="34">
        <f>IF(OR(B13="", E13=""), 0, ROUND(E13 * F13, 2))</f>
        <v/>
      </c>
      <c r="H13" s="67" t="inlineStr"/>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3">
        <f>IF(B24="","", IFERROR(INDEX(Rates_Master!$C:$C, MATCH(B24, Rates_Master!$A:$A, 0)), "Custom Labour/Plant"))</f>
        <v/>
      </c>
      <c r="D24" s="64">
        <f>IF(B24="","", IFERROR(INDEX(Rates_Master!$D:$D, MATCH(B24, Rates_Master!$A:$A, 0)), ""))</f>
        <v/>
      </c>
      <c r="E24" s="65" t="n">
        <v>1.5</v>
      </c>
      <c r="F24" s="66">
        <f>IF(B24="","", IFERROR(INDEX(Rates_Master!$E:$E, MATCH(B24, Rates_Master!$A:$A, 0)), 0))</f>
        <v/>
      </c>
      <c r="G24" s="34">
        <f>IF(OR(B24="", E24=""), 0, ROUND(E24 * F24, 2))</f>
        <v/>
      </c>
      <c r="H24" s="67" t="inlineStr">
        <is>
          <t>Stone Mason (fixing &amp; pointing)</t>
        </is>
      </c>
    </row>
    <row r="25" ht="20" customHeight="1">
      <c r="A25" s="19" t="n">
        <v>2</v>
      </c>
      <c r="B25" s="44" t="inlineStr">
        <is>
          <t>0115</t>
        </is>
      </c>
      <c r="C25" s="63">
        <f>IF(B25="","", IFERROR(INDEX(Rates_Master!$C:$C, MATCH(B25, Rates_Master!$A:$A, 0)), "Custom Labour/Plant"))</f>
        <v/>
      </c>
      <c r="D25" s="64">
        <f>IF(B25="","", IFERROR(INDEX(Rates_Master!$D:$D, MATCH(B25, Rates_Master!$A:$A, 0)), ""))</f>
        <v/>
      </c>
      <c r="E25" s="65" t="n">
        <v>1.8</v>
      </c>
      <c r="F25" s="66">
        <f>IF(B25="","", IFERROR(INDEX(Rates_Master!$E:$E, MATCH(B25, Rates_Master!$A:$A, 0)), 0))</f>
        <v/>
      </c>
      <c r="G25" s="34">
        <f>IF(OR(B25="", E25=""), 0, ROUND(E25 * F25, 2))</f>
        <v/>
      </c>
      <c r="H25" s="67" t="inlineStr">
        <is>
          <t>Coolie</t>
        </is>
      </c>
    </row>
    <row r="26" ht="20" customHeight="1">
      <c r="A26" s="19" t="n">
        <v>3</v>
      </c>
      <c r="B26" s="44" t="inlineStr">
        <is>
          <t>0101</t>
        </is>
      </c>
      <c r="C26" s="63">
        <f>IF(B26="","", IFERROR(INDEX(Rates_Master!$C:$C, MATCH(B26, Rates_Master!$A:$A, 0)), "Custom Labour/Plant"))</f>
        <v/>
      </c>
      <c r="D26" s="64">
        <f>IF(B26="","", IFERROR(INDEX(Rates_Master!$D:$D, MATCH(B26, Rates_Master!$A:$A, 0)), ""))</f>
        <v/>
      </c>
      <c r="E26" s="65" t="n">
        <v>0.3</v>
      </c>
      <c r="F26" s="66">
        <f>IF(B26="","", IFERROR(INDEX(Rates_Master!$E:$E, MATCH(B26, Rates_Master!$A:$A, 0)), 0))</f>
        <v/>
      </c>
      <c r="G26" s="34">
        <f>IF(OR(B26="", E26=""), 0, ROUND(E26 * F26, 2))</f>
        <v/>
      </c>
      <c r="H26" s="67" t="inlineStr">
        <is>
          <t>Bhisti</t>
        </is>
      </c>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12</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Labour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8.1.1</t>
        </is>
      </c>
      <c r="B57" s="108" t="inlineStr">
        <is>
          <t>Red sand stone cladding 30mm thick with backing mortar</t>
        </is>
      </c>
      <c r="C57" s="109" t="inlineStr">
        <is>
          <t>sqm</t>
        </is>
      </c>
      <c r="D57" s="109" t="n">
        <v>10</v>
      </c>
      <c r="E57" s="110" t="n">
        <v>11250</v>
      </c>
      <c r="F57" s="109" t="inlineStr">
        <is>
          <t>Full W-&gt;X-&gt;Y-&gt;Z</t>
        </is>
      </c>
      <c r="G57" s="110" t="n">
        <v>1505.2</v>
      </c>
      <c r="H57" s="111" t="n">
        <v>1505.2</v>
      </c>
    </row>
    <row r="58" ht="20" customHeight="1">
      <c r="A58" s="81" t="inlineStr">
        <is>
          <t>C-08.02</t>
        </is>
      </c>
      <c r="B58" s="103" t="inlineStr">
        <is>
          <t>(Available for new custom item)</t>
        </is>
      </c>
      <c r="C58" s="104" t="inlineStr">
        <is>
          <t>sqm</t>
        </is>
      </c>
      <c r="D58" s="104" t="n">
        <v>10</v>
      </c>
      <c r="E58" s="105" t="n"/>
      <c r="F58" s="104" t="inlineStr">
        <is>
          <t>Full W-&gt;X-&gt;Y-&gt;Z</t>
        </is>
      </c>
      <c r="G58" s="105" t="n"/>
      <c r="H58" s="106" t="n"/>
    </row>
    <row r="59" ht="20" customHeight="1">
      <c r="A59" s="107" t="inlineStr">
        <is>
          <t>C-08.03</t>
        </is>
      </c>
      <c r="B59" s="108" t="inlineStr">
        <is>
          <t>(Available for new custom item)</t>
        </is>
      </c>
      <c r="C59" s="109" t="inlineStr">
        <is>
          <t>sqm</t>
        </is>
      </c>
      <c r="D59" s="109" t="n">
        <v>10</v>
      </c>
      <c r="E59" s="110" t="n"/>
      <c r="F59" s="109" t="inlineStr">
        <is>
          <t>Full W-&gt;X-&gt;Y-&gt;Z</t>
        </is>
      </c>
      <c r="G59" s="110" t="n"/>
      <c r="H59" s="111" t="n"/>
    </row>
    <row r="60" ht="20" customHeight="1">
      <c r="A60" s="81" t="inlineStr">
        <is>
          <t>C-08.04</t>
        </is>
      </c>
      <c r="B60" s="103" t="inlineStr">
        <is>
          <t>(Available for new custom item)</t>
        </is>
      </c>
      <c r="C60" s="104" t="inlineStr">
        <is>
          <t>sqm</t>
        </is>
      </c>
      <c r="D60" s="104" t="n">
        <v>10</v>
      </c>
      <c r="E60" s="105" t="n"/>
      <c r="F60" s="104" t="inlineStr">
        <is>
          <t>Full W-&gt;X-&gt;Y-&gt;Z</t>
        </is>
      </c>
      <c r="G60" s="105" t="n"/>
      <c r="H60" s="106" t="n"/>
    </row>
    <row r="61" ht="20" customHeight="1">
      <c r="A61" s="107" t="inlineStr">
        <is>
          <t>C-08.05</t>
        </is>
      </c>
      <c r="B61" s="108" t="inlineStr">
        <is>
          <t>(Available for new custom item)</t>
        </is>
      </c>
      <c r="C61" s="109" t="inlineStr">
        <is>
          <t>sqm</t>
        </is>
      </c>
      <c r="D61" s="109" t="n">
        <v>10</v>
      </c>
      <c r="E61" s="110" t="n"/>
      <c r="F61" s="109" t="inlineStr">
        <is>
          <t>Full W-&gt;X-&gt;Y-&gt;Z</t>
        </is>
      </c>
      <c r="G61" s="110" t="n"/>
      <c r="H61" s="111" t="n"/>
    </row>
    <row r="62" ht="20" customHeight="1">
      <c r="A62" s="81" t="inlineStr">
        <is>
          <t>C-08.06</t>
        </is>
      </c>
      <c r="B62" s="103" t="inlineStr">
        <is>
          <t>(Available for new custom item)</t>
        </is>
      </c>
      <c r="C62" s="104" t="inlineStr">
        <is>
          <t>sqm</t>
        </is>
      </c>
      <c r="D62" s="104" t="n">
        <v>10</v>
      </c>
      <c r="E62" s="105" t="n"/>
      <c r="F62" s="104" t="inlineStr">
        <is>
          <t>Full W-&gt;X-&gt;Y-&gt;Z</t>
        </is>
      </c>
      <c r="G62" s="105" t="n"/>
      <c r="H62" s="106" t="n"/>
    </row>
    <row r="63" ht="20" customHeight="1">
      <c r="A63" s="107" t="inlineStr">
        <is>
          <t>C-08.07</t>
        </is>
      </c>
      <c r="B63" s="108" t="inlineStr">
        <is>
          <t>(Available for new custom item)</t>
        </is>
      </c>
      <c r="C63" s="109" t="inlineStr">
        <is>
          <t>sqm</t>
        </is>
      </c>
      <c r="D63" s="109" t="n">
        <v>10</v>
      </c>
      <c r="E63" s="110" t="n"/>
      <c r="F63" s="109" t="inlineStr">
        <is>
          <t>Full W-&gt;X-&gt;Y-&gt;Z</t>
        </is>
      </c>
      <c r="G63" s="110" t="n"/>
      <c r="H63" s="111" t="n"/>
    </row>
    <row r="64" ht="20" customHeight="1">
      <c r="A64" s="81" t="inlineStr">
        <is>
          <t>C-08.08</t>
        </is>
      </c>
      <c r="B64" s="103" t="inlineStr">
        <is>
          <t>(Available for new custom item)</t>
        </is>
      </c>
      <c r="C64" s="104" t="inlineStr">
        <is>
          <t>sqm</t>
        </is>
      </c>
      <c r="D64" s="104" t="n">
        <v>10</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09: Timber frames, shutters, and fittings. Built from timber scantling (with standard 5% wastage allowance), carriage, holdfasts, and carpenter crews.</t>
        </is>
      </c>
    </row>
    <row r="4"/>
    <row r="5" ht="22" customHeight="1">
      <c r="A5" s="16" t="inlineStr">
        <is>
          <t>Custom Item Code:</t>
        </is>
      </c>
      <c r="B5" s="44" t="inlineStr">
        <is>
          <t>C-09.01</t>
        </is>
      </c>
      <c r="C5" s="16" t="inlineStr">
        <is>
          <t>Batch Output Basis:</t>
        </is>
      </c>
      <c r="D5" s="53" t="n">
        <v>36</v>
      </c>
      <c r="E5" s="16" t="inlineStr">
        <is>
          <t>Output Unit:</t>
        </is>
      </c>
      <c r="F5" s="44" t="inlineStr">
        <is>
          <t>cudm</t>
        </is>
      </c>
      <c r="G5" s="16" t="inlineStr">
        <is>
          <t>Trade Sub-Head:</t>
        </is>
      </c>
      <c r="H5" s="112" t="inlineStr">
        <is>
          <t>09 Wood and PVC Work</t>
        </is>
      </c>
    </row>
    <row r="6" ht="36" customHeight="1">
      <c r="A6" s="16" t="inlineStr">
        <is>
          <t>Item Nomenclature / Full Description:</t>
        </is>
      </c>
      <c r="B6" s="46" t="inlineStr">
        <is>
          <t>Second class teak wood in frames of doors, windows and other frames wrought, framed and fixed in position</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1189</t>
        </is>
      </c>
      <c r="C10" s="63">
        <f>IF(B10="","", IFERROR(INDEX(Rates_Master!$C:$C, MATCH(B10, Rates_Master!$A:$A, 0)), "Custom / Intermediate Material"))</f>
        <v/>
      </c>
      <c r="D10" s="64">
        <f>IF(B10="","", IFERROR(INDEX(Rates_Master!$D:$D, MATCH(B10, Rates_Master!$A:$A, 0)), ""))</f>
        <v/>
      </c>
      <c r="E10" s="65" t="n">
        <v>3.8</v>
      </c>
      <c r="F10" s="66">
        <f>IF(B10="","", IFERROR(INDEX(Rates_Master!$E:$E, MATCH(B10, Rates_Master!$A:$A, 0)), 0))</f>
        <v/>
      </c>
      <c r="G10" s="34">
        <f>IF(OR(B10="", E10=""), 0, ROUND(E10 * F10, 2))</f>
        <v/>
      </c>
      <c r="H10" s="67" t="inlineStr">
        <is>
          <t>Second class teak wood in scantling (36 cudm + 5% wastage = 38 cudm)</t>
        </is>
      </c>
    </row>
    <row r="11" ht="20" customHeight="1">
      <c r="A11" s="19" t="n">
        <v>2</v>
      </c>
      <c r="B11" s="44" t="inlineStr">
        <is>
          <t>2204</t>
        </is>
      </c>
      <c r="C11" s="63">
        <f>IF(B11="","", IFERROR(INDEX(Rates_Master!$C:$C, MATCH(B11, Rates_Master!$A:$A, 0)), "Custom / Intermediate Material"))</f>
        <v/>
      </c>
      <c r="D11" s="64">
        <f>IF(B11="","", IFERROR(INDEX(Rates_Master!$D:$D, MATCH(B11, Rates_Master!$A:$A, 0)), ""))</f>
        <v/>
      </c>
      <c r="E11" s="65" t="n">
        <v>0.038</v>
      </c>
      <c r="F11" s="66">
        <f>IF(B11="","", IFERROR(INDEX(Rates_Master!$E:$E, MATCH(B11, Rates_Master!$A:$A, 0)), 0))</f>
        <v/>
      </c>
      <c r="G11" s="34">
        <f>IF(OR(B11="", E11=""), 0, ROUND(E11 * F11, 2))</f>
        <v/>
      </c>
      <c r="H11" s="67" t="inlineStr">
        <is>
          <t>Carriage of Timber</t>
        </is>
      </c>
    </row>
    <row r="12" ht="20" customHeight="1">
      <c r="A12" s="19" t="n">
        <v>3</v>
      </c>
      <c r="B12" s="44" t="inlineStr"/>
      <c r="C12" s="63">
        <f>IF(B12="","", IFERROR(INDEX(Rates_Master!$C:$C, MATCH(B12, Rates_Master!$A:$A, 0)), "Custom / Intermediate Material"))</f>
        <v/>
      </c>
      <c r="D12" s="64">
        <f>IF(B12="","", IFERROR(INDEX(Rates_Master!$D:$D, MATCH(B12, Rates_Master!$A:$A, 0)), ""))</f>
        <v/>
      </c>
      <c r="E12" s="65" t="n"/>
      <c r="F12" s="66">
        <f>IF(B12="","", IFERROR(INDEX(Rates_Master!$E:$E, MATCH(B12, Rates_Master!$A:$A, 0)), 0))</f>
        <v/>
      </c>
      <c r="G12" s="34">
        <f>IF(OR(B12="", E12=""), 0, ROUND(E12 * F12, 2))</f>
        <v/>
      </c>
      <c r="H12" s="67" t="inlineStr"/>
    </row>
    <row r="13" ht="20" customHeight="1">
      <c r="A13" s="19" t="n">
        <v>4</v>
      </c>
      <c r="B13" s="44" t="inlineStr"/>
      <c r="C13" s="63">
        <f>IF(B13="","", IFERROR(INDEX(Rates_Master!$C:$C, MATCH(B13, Rates_Master!$A:$A, 0)), "Custom / Intermediate Material"))</f>
        <v/>
      </c>
      <c r="D13" s="64">
        <f>IF(B13="","", IFERROR(INDEX(Rates_Master!$D:$D, MATCH(B13, Rates_Master!$A:$A, 0)), ""))</f>
        <v/>
      </c>
      <c r="E13" s="65" t="n"/>
      <c r="F13" s="66">
        <f>IF(B13="","", IFERROR(INDEX(Rates_Master!$E:$E, MATCH(B13, Rates_Master!$A:$A, 0)), 0))</f>
        <v/>
      </c>
      <c r="G13" s="34">
        <f>IF(OR(B13="", E13=""), 0, ROUND(E13 * F13, 2))</f>
        <v/>
      </c>
      <c r="H13" s="67" t="inlineStr"/>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3">
        <f>IF(B24="","", IFERROR(INDEX(Rates_Master!$C:$C, MATCH(B24, Rates_Master!$A:$A, 0)), "Custom Labour/Plant"))</f>
        <v/>
      </c>
      <c r="D24" s="64">
        <f>IF(B24="","", IFERROR(INDEX(Rates_Master!$D:$D, MATCH(B24, Rates_Master!$A:$A, 0)), ""))</f>
        <v/>
      </c>
      <c r="E24" s="65" t="n">
        <v>0.72</v>
      </c>
      <c r="F24" s="66">
        <f>IF(B24="","", IFERROR(INDEX(Rates_Master!$E:$E, MATCH(B24, Rates_Master!$A:$A, 0)), 0))</f>
        <v/>
      </c>
      <c r="G24" s="34">
        <f>IF(OR(B24="", E24=""), 0, ROUND(E24 * F24, 2))</f>
        <v/>
      </c>
      <c r="H24" s="67" t="inlineStr">
        <is>
          <t>Carpenter (average)</t>
        </is>
      </c>
    </row>
    <row r="25" ht="20" customHeight="1">
      <c r="A25" s="19" t="n">
        <v>2</v>
      </c>
      <c r="B25" s="44" t="inlineStr">
        <is>
          <t>0114</t>
        </is>
      </c>
      <c r="C25" s="63">
        <f>IF(B25="","", IFERROR(INDEX(Rates_Master!$C:$C, MATCH(B25, Rates_Master!$A:$A, 0)), "Custom Labour/Plant"))</f>
        <v/>
      </c>
      <c r="D25" s="64">
        <f>IF(B25="","", IFERROR(INDEX(Rates_Master!$D:$D, MATCH(B25, Rates_Master!$A:$A, 0)), ""))</f>
        <v/>
      </c>
      <c r="E25" s="65" t="n">
        <v>0.07000000000000001</v>
      </c>
      <c r="F25" s="66">
        <f>IF(B25="","", IFERROR(INDEX(Rates_Master!$E:$E, MATCH(B25, Rates_Master!$A:$A, 0)), 0))</f>
        <v/>
      </c>
      <c r="G25" s="34">
        <f>IF(OR(B25="", E25=""), 0, ROUND(E25 * F25, 2))</f>
        <v/>
      </c>
      <c r="H25" s="67" t="inlineStr">
        <is>
          <t>Beldar</t>
        </is>
      </c>
    </row>
    <row r="26" ht="20" customHeight="1">
      <c r="A26" s="19" t="n">
        <v>3</v>
      </c>
      <c r="B26" s="44" t="inlineStr"/>
      <c r="C26" s="63">
        <f>IF(B26="","", IFERROR(INDEX(Rates_Master!$C:$C, MATCH(B26, Rates_Master!$A:$A, 0)), "Custom Labour/Plant"))</f>
        <v/>
      </c>
      <c r="D26" s="64">
        <f>IF(B26="","", IFERROR(INDEX(Rates_Master!$D:$D, MATCH(B26, Rates_Master!$A:$A, 0)), ""))</f>
        <v/>
      </c>
      <c r="E26" s="65" t="n"/>
      <c r="F26" s="66">
        <f>IF(B26="","", IFERROR(INDEX(Rates_Master!$E:$E, MATCH(B26, Rates_Master!$A:$A, 0)), 0))</f>
        <v/>
      </c>
      <c r="G26" s="34">
        <f>IF(OR(B26="", E26=""), 0, ROUND(E26 * F26, 2))</f>
        <v/>
      </c>
      <c r="H26" s="67" t="inlineStr"/>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0</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Labour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9.1.1</t>
        </is>
      </c>
      <c r="B57" s="108" t="inlineStr">
        <is>
          <t>Second class teak wood in frames of doors and windows</t>
        </is>
      </c>
      <c r="C57" s="109" t="inlineStr">
        <is>
          <t>cum</t>
        </is>
      </c>
      <c r="D57" s="109" t="n">
        <v>36</v>
      </c>
      <c r="E57" s="110" t="n">
        <v>3502.85</v>
      </c>
      <c r="F57" s="109" t="inlineStr">
        <is>
          <t>Full W-&gt;X-&gt;Y-&gt;Z</t>
        </is>
      </c>
      <c r="G57" s="110" t="n">
        <v>130183.06</v>
      </c>
      <c r="H57" s="111" t="n">
        <v>130183.05</v>
      </c>
    </row>
    <row r="58" ht="20" customHeight="1">
      <c r="A58" s="81" t="inlineStr">
        <is>
          <t>C-09.02</t>
        </is>
      </c>
      <c r="B58" s="103" t="inlineStr">
        <is>
          <t>(Available for new custom item)</t>
        </is>
      </c>
      <c r="C58" s="104" t="inlineStr">
        <is>
          <t>cudm</t>
        </is>
      </c>
      <c r="D58" s="104" t="n">
        <v>36</v>
      </c>
      <c r="E58" s="105" t="n"/>
      <c r="F58" s="104" t="inlineStr">
        <is>
          <t>Full W-&gt;X-&gt;Y-&gt;Z</t>
        </is>
      </c>
      <c r="G58" s="105" t="n"/>
      <c r="H58" s="106" t="n"/>
    </row>
    <row r="59" ht="20" customHeight="1">
      <c r="A59" s="107" t="inlineStr">
        <is>
          <t>C-09.03</t>
        </is>
      </c>
      <c r="B59" s="108" t="inlineStr">
        <is>
          <t>(Available for new custom item)</t>
        </is>
      </c>
      <c r="C59" s="109" t="inlineStr">
        <is>
          <t>cudm</t>
        </is>
      </c>
      <c r="D59" s="109" t="n">
        <v>36</v>
      </c>
      <c r="E59" s="110" t="n"/>
      <c r="F59" s="109" t="inlineStr">
        <is>
          <t>Full W-&gt;X-&gt;Y-&gt;Z</t>
        </is>
      </c>
      <c r="G59" s="110" t="n"/>
      <c r="H59" s="111" t="n"/>
    </row>
    <row r="60" ht="20" customHeight="1">
      <c r="A60" s="81" t="inlineStr">
        <is>
          <t>C-09.04</t>
        </is>
      </c>
      <c r="B60" s="103" t="inlineStr">
        <is>
          <t>(Available for new custom item)</t>
        </is>
      </c>
      <c r="C60" s="104" t="inlineStr">
        <is>
          <t>cudm</t>
        </is>
      </c>
      <c r="D60" s="104" t="n">
        <v>36</v>
      </c>
      <c r="E60" s="105" t="n"/>
      <c r="F60" s="104" t="inlineStr">
        <is>
          <t>Full W-&gt;X-&gt;Y-&gt;Z</t>
        </is>
      </c>
      <c r="G60" s="105" t="n"/>
      <c r="H60" s="106" t="n"/>
    </row>
    <row r="61" ht="20" customHeight="1">
      <c r="A61" s="107" t="inlineStr">
        <is>
          <t>C-09.05</t>
        </is>
      </c>
      <c r="B61" s="108" t="inlineStr">
        <is>
          <t>(Available for new custom item)</t>
        </is>
      </c>
      <c r="C61" s="109" t="inlineStr">
        <is>
          <t>cudm</t>
        </is>
      </c>
      <c r="D61" s="109" t="n">
        <v>36</v>
      </c>
      <c r="E61" s="110" t="n"/>
      <c r="F61" s="109" t="inlineStr">
        <is>
          <t>Full W-&gt;X-&gt;Y-&gt;Z</t>
        </is>
      </c>
      <c r="G61" s="110" t="n"/>
      <c r="H61" s="111" t="n"/>
    </row>
    <row r="62" ht="20" customHeight="1">
      <c r="A62" s="81" t="inlineStr">
        <is>
          <t>C-09.06</t>
        </is>
      </c>
      <c r="B62" s="103" t="inlineStr">
        <is>
          <t>(Available for new custom item)</t>
        </is>
      </c>
      <c r="C62" s="104" t="inlineStr">
        <is>
          <t>cudm</t>
        </is>
      </c>
      <c r="D62" s="104" t="n">
        <v>36</v>
      </c>
      <c r="E62" s="105" t="n"/>
      <c r="F62" s="104" t="inlineStr">
        <is>
          <t>Full W-&gt;X-&gt;Y-&gt;Z</t>
        </is>
      </c>
      <c r="G62" s="105" t="n"/>
      <c r="H62" s="106" t="n"/>
    </row>
    <row r="63" ht="20" customHeight="1">
      <c r="A63" s="107" t="inlineStr">
        <is>
          <t>C-09.07</t>
        </is>
      </c>
      <c r="B63" s="108" t="inlineStr">
        <is>
          <t>(Available for new custom item)</t>
        </is>
      </c>
      <c r="C63" s="109" t="inlineStr">
        <is>
          <t>cudm</t>
        </is>
      </c>
      <c r="D63" s="109" t="n">
        <v>36</v>
      </c>
      <c r="E63" s="110" t="n"/>
      <c r="F63" s="109" t="inlineStr">
        <is>
          <t>Full W-&gt;X-&gt;Y-&gt;Z</t>
        </is>
      </c>
      <c r="G63" s="110" t="n"/>
      <c r="H63" s="111" t="n"/>
    </row>
    <row r="64" ht="20" customHeight="1">
      <c r="A64" s="81" t="inlineStr">
        <is>
          <t>C-09.08</t>
        </is>
      </c>
      <c r="B64" s="103" t="inlineStr">
        <is>
          <t>(Available for new custom item)</t>
        </is>
      </c>
      <c r="C64" s="104" t="inlineStr">
        <is>
          <t>cudm</t>
        </is>
      </c>
      <c r="D64" s="104" t="n">
        <v>36</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4" t="inlineStr">
        <is>
          <t>C-10.01</t>
        </is>
      </c>
      <c r="C5" s="16" t="inlineStr">
        <is>
          <t>Batch Output Basis:</t>
        </is>
      </c>
      <c r="D5" s="53" t="n">
        <v>1</v>
      </c>
      <c r="E5" s="16" t="inlineStr">
        <is>
          <t>Output Unit:</t>
        </is>
      </c>
      <c r="F5" s="44" t="inlineStr">
        <is>
          <t>quintal</t>
        </is>
      </c>
      <c r="G5" s="16" t="inlineStr">
        <is>
          <t>Trade Sub-Head:</t>
        </is>
      </c>
      <c r="H5" s="112" t="inlineStr">
        <is>
          <t>10 Steel Work</t>
        </is>
      </c>
    </row>
    <row r="6" ht="36" customHeight="1">
      <c r="A6" s="16" t="inlineStr">
        <is>
          <t>Item Nomenclature / Full Description:</t>
        </is>
      </c>
      <c r="B6" s="46" t="inlineStr">
        <is>
          <t>Structural steel work in single section, fixed with or without connecting plate, including cutting, hoisting, fixing and applying priming coat</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1007</t>
        </is>
      </c>
      <c r="C10" s="63">
        <f>IF(B10="","", IFERROR(INDEX(Rates_Master!$C:$C, MATCH(B10, Rates_Master!$A:$A, 0)), "Custom / Intermediate Material"))</f>
        <v/>
      </c>
      <c r="D10" s="64">
        <f>IF(B10="","", IFERROR(INDEX(Rates_Master!$D:$D, MATCH(B10, Rates_Master!$A:$A, 0)), ""))</f>
        <v/>
      </c>
      <c r="E10" s="65" t="n">
        <v>1.05</v>
      </c>
      <c r="F10" s="66">
        <f>IF(B10="","", IFERROR(INDEX(Rates_Master!$E:$E, MATCH(B10, Rates_Master!$A:$A, 0)), 0))</f>
        <v/>
      </c>
      <c r="G10" s="34">
        <f>IF(OR(B10="", E10=""), 0, ROUND(E10 * F10, 2))</f>
        <v/>
      </c>
      <c r="H10" s="67" t="inlineStr">
        <is>
          <t>Structurals (tees, angles, channels, joists) + 5% wastage = 1.05 q</t>
        </is>
      </c>
    </row>
    <row r="11" ht="20" customHeight="1">
      <c r="A11" s="19" t="n">
        <v>2</v>
      </c>
      <c r="B11" s="44" t="inlineStr">
        <is>
          <t>2205</t>
        </is>
      </c>
      <c r="C11" s="63">
        <f>IF(B11="","", IFERROR(INDEX(Rates_Master!$C:$C, MATCH(B11, Rates_Master!$A:$A, 0)), "Custom / Intermediate Material"))</f>
        <v/>
      </c>
      <c r="D11" s="64">
        <f>IF(B11="","", IFERROR(INDEX(Rates_Master!$D:$D, MATCH(B11, Rates_Master!$A:$A, 0)), ""))</f>
        <v/>
      </c>
      <c r="E11" s="65" t="n">
        <v>0.105</v>
      </c>
      <c r="F11" s="66">
        <f>IF(B11="","", IFERROR(INDEX(Rates_Master!$E:$E, MATCH(B11, Rates_Master!$A:$A, 0)), 0))</f>
        <v/>
      </c>
      <c r="G11" s="34">
        <f>IF(OR(B11="", E11=""), 0, ROUND(E11 * F11, 2))</f>
        <v/>
      </c>
      <c r="H11" s="67" t="inlineStr">
        <is>
          <t>Carriage of Steel (0.105 tonne)</t>
        </is>
      </c>
    </row>
    <row r="12" ht="20" customHeight="1">
      <c r="A12" s="19" t="n">
        <v>3</v>
      </c>
      <c r="B12" s="44" t="inlineStr">
        <is>
          <t>13.50.3</t>
        </is>
      </c>
      <c r="C12" s="63" t="inlineStr">
        <is>
          <t>Red oxide zinc chromate primer on steel (Rate as per Item 13.50.3 of SH: Finishing)</t>
        </is>
      </c>
      <c r="D12" s="64" t="inlineStr">
        <is>
          <t>sqm</t>
        </is>
      </c>
      <c r="E12" s="65" t="n">
        <v>3</v>
      </c>
      <c r="F12" s="66" t="n">
        <v>50.7</v>
      </c>
      <c r="G12" s="34">
        <f>IF(OR(B12="", E12=""), 0, ROUND(E12 * F12, 2))</f>
        <v/>
      </c>
      <c r="H12" s="67" t="inlineStr">
        <is>
          <t>Priming coat @ ₹50.70/sqm (Deducted from W before markup per CPWD W-A rule)</t>
        </is>
      </c>
    </row>
    <row r="13" ht="20" customHeight="1">
      <c r="A13" s="19" t="n">
        <v>4</v>
      </c>
      <c r="B13" s="44" t="inlineStr"/>
      <c r="C13" s="63">
        <f>IF(B13="","", IFERROR(INDEX(Rates_Master!$C:$C, MATCH(B13, Rates_Master!$A:$A, 0)), "Custom / Intermediate Material"))</f>
        <v/>
      </c>
      <c r="D13" s="64">
        <f>IF(B13="","", IFERROR(INDEX(Rates_Master!$D:$D, MATCH(B13, Rates_Master!$A:$A, 0)), ""))</f>
        <v/>
      </c>
      <c r="E13" s="65" t="n"/>
      <c r="F13" s="66">
        <f>IF(B13="","", IFERROR(INDEX(Rates_Master!$E:$E, MATCH(B13, Rates_Master!$A:$A, 0)), 0))</f>
        <v/>
      </c>
      <c r="G13" s="34">
        <f>IF(OR(B13="", E13=""), 0, ROUND(E13 * F13, 2))</f>
        <v/>
      </c>
      <c r="H13" s="67" t="inlineStr"/>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0116</t>
        </is>
      </c>
      <c r="C24" s="63">
        <f>IF(B24="","", IFERROR(INDEX(Rates_Master!$C:$C, MATCH(B24, Rates_Master!$A:$A, 0)), "Custom Labour/Plant"))</f>
        <v/>
      </c>
      <c r="D24" s="64">
        <f>IF(B24="","", IFERROR(INDEX(Rates_Master!$D:$D, MATCH(B24, Rates_Master!$A:$A, 0)), ""))</f>
        <v/>
      </c>
      <c r="E24" s="65" t="n">
        <v>0.5</v>
      </c>
      <c r="F24" s="66">
        <f>IF(B24="","", IFERROR(INDEX(Rates_Master!$E:$E, MATCH(B24, Rates_Master!$A:$A, 0)), 0))</f>
        <v/>
      </c>
      <c r="G24" s="34">
        <f>IF(OR(B24="", E24=""), 0, ROUND(E24 * F24, 2))</f>
        <v/>
      </c>
      <c r="H24" s="67" t="inlineStr">
        <is>
          <t>Fitter (grade 1)</t>
        </is>
      </c>
    </row>
    <row r="25" ht="20" customHeight="1">
      <c r="A25" s="19" t="n">
        <v>2</v>
      </c>
      <c r="B25" s="44" t="inlineStr">
        <is>
          <t>0103</t>
        </is>
      </c>
      <c r="C25" s="63">
        <f>IF(B25="","", IFERROR(INDEX(Rates_Master!$C:$C, MATCH(B25, Rates_Master!$A:$A, 0)), "Custom Labour/Plant"))</f>
        <v/>
      </c>
      <c r="D25" s="64">
        <f>IF(B25="","", IFERROR(INDEX(Rates_Master!$D:$D, MATCH(B25, Rates_Master!$A:$A, 0)), ""))</f>
        <v/>
      </c>
      <c r="E25" s="65" t="n">
        <v>0.75</v>
      </c>
      <c r="F25" s="66">
        <f>IF(B25="","", IFERROR(INDEX(Rates_Master!$E:$E, MATCH(B25, Rates_Master!$A:$A, 0)), 0))</f>
        <v/>
      </c>
      <c r="G25" s="34">
        <f>IF(OR(B25="", E25=""), 0, ROUND(E25 * F25, 2))</f>
        <v/>
      </c>
      <c r="H25" s="67" t="inlineStr">
        <is>
          <t>Blacksmith 2nd class</t>
        </is>
      </c>
    </row>
    <row r="26" ht="20" customHeight="1">
      <c r="A26" s="19" t="n">
        <v>3</v>
      </c>
      <c r="B26" s="44" t="inlineStr">
        <is>
          <t>0114</t>
        </is>
      </c>
      <c r="C26" s="63">
        <f>IF(B26="","", IFERROR(INDEX(Rates_Master!$C:$C, MATCH(B26, Rates_Master!$A:$A, 0)), "Custom Labour/Plant"))</f>
        <v/>
      </c>
      <c r="D26" s="64">
        <f>IF(B26="","", IFERROR(INDEX(Rates_Master!$D:$D, MATCH(B26, Rates_Master!$A:$A, 0)), ""))</f>
        <v/>
      </c>
      <c r="E26" s="65" t="n">
        <v>1</v>
      </c>
      <c r="F26" s="66">
        <f>IF(B26="","", IFERROR(INDEX(Rates_Master!$E:$E, MATCH(B26, Rates_Master!$A:$A, 0)), 0))</f>
        <v/>
      </c>
      <c r="G26" s="34">
        <f>IF(OR(B26="", E26=""), 0, ROUND(E26 * F26, 2))</f>
        <v/>
      </c>
      <c r="H26" s="67" t="inlineStr">
        <is>
          <t>Beldar</t>
        </is>
      </c>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20.67</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 applied on (W - Priming coat).</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 applied on (X - Priming coat).</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CPOH applied on (Y - Priming coat).</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Cess applied on (Z - Priming coat).</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10.1</t>
        </is>
      </c>
      <c r="B57" s="108" t="inlineStr">
        <is>
          <t>Structural steel work in single section fixed complete with priming coat</t>
        </is>
      </c>
      <c r="C57" s="109" t="inlineStr">
        <is>
          <t>quintal</t>
        </is>
      </c>
      <c r="D57" s="109" t="n">
        <v>1</v>
      </c>
      <c r="E57" s="110" t="n">
        <v>6469.38</v>
      </c>
      <c r="F57" s="109" t="inlineStr">
        <is>
          <t>Full W-&gt;X-&gt;Y-&gt;Z (excl. primer)</t>
        </is>
      </c>
      <c r="G57" s="110" t="n">
        <v>8604.219999999999</v>
      </c>
      <c r="H57" s="111" t="n">
        <v>8604.200000000001</v>
      </c>
    </row>
    <row r="58" ht="20" customHeight="1">
      <c r="A58" s="81" t="inlineStr">
        <is>
          <t>C-10.02</t>
        </is>
      </c>
      <c r="B58" s="103" t="inlineStr">
        <is>
          <t>(Available for new custom item)</t>
        </is>
      </c>
      <c r="C58" s="104" t="inlineStr">
        <is>
          <t>quintal</t>
        </is>
      </c>
      <c r="D58" s="104" t="n">
        <v>1</v>
      </c>
      <c r="E58" s="105" t="n"/>
      <c r="F58" s="104" t="inlineStr">
        <is>
          <t>Full W-&gt;X-&gt;Y-&gt;Z</t>
        </is>
      </c>
      <c r="G58" s="105" t="n"/>
      <c r="H58" s="106" t="n"/>
    </row>
    <row r="59" ht="20" customHeight="1">
      <c r="A59" s="107" t="inlineStr">
        <is>
          <t>C-10.03</t>
        </is>
      </c>
      <c r="B59" s="108" t="inlineStr">
        <is>
          <t>(Available for new custom item)</t>
        </is>
      </c>
      <c r="C59" s="109" t="inlineStr">
        <is>
          <t>quintal</t>
        </is>
      </c>
      <c r="D59" s="109" t="n">
        <v>1</v>
      </c>
      <c r="E59" s="110" t="n"/>
      <c r="F59" s="109" t="inlineStr">
        <is>
          <t>Full W-&gt;X-&gt;Y-&gt;Z</t>
        </is>
      </c>
      <c r="G59" s="110" t="n"/>
      <c r="H59" s="111" t="n"/>
    </row>
    <row r="60" ht="20" customHeight="1">
      <c r="A60" s="81" t="inlineStr">
        <is>
          <t>C-10.04</t>
        </is>
      </c>
      <c r="B60" s="103" t="inlineStr">
        <is>
          <t>(Available for new custom item)</t>
        </is>
      </c>
      <c r="C60" s="104" t="inlineStr">
        <is>
          <t>quintal</t>
        </is>
      </c>
      <c r="D60" s="104" t="n">
        <v>1</v>
      </c>
      <c r="E60" s="105" t="n"/>
      <c r="F60" s="104" t="inlineStr">
        <is>
          <t>Full W-&gt;X-&gt;Y-&gt;Z</t>
        </is>
      </c>
      <c r="G60" s="105" t="n"/>
      <c r="H60" s="106" t="n"/>
    </row>
    <row r="61" ht="20" customHeight="1">
      <c r="A61" s="107" t="inlineStr">
        <is>
          <t>C-10.05</t>
        </is>
      </c>
      <c r="B61" s="108" t="inlineStr">
        <is>
          <t>(Available for new custom item)</t>
        </is>
      </c>
      <c r="C61" s="109" t="inlineStr">
        <is>
          <t>quintal</t>
        </is>
      </c>
      <c r="D61" s="109" t="n">
        <v>1</v>
      </c>
      <c r="E61" s="110" t="n"/>
      <c r="F61" s="109" t="inlineStr">
        <is>
          <t>Full W-&gt;X-&gt;Y-&gt;Z</t>
        </is>
      </c>
      <c r="G61" s="110" t="n"/>
      <c r="H61" s="111" t="n"/>
    </row>
    <row r="62" ht="20" customHeight="1">
      <c r="A62" s="81" t="inlineStr">
        <is>
          <t>C-10.06</t>
        </is>
      </c>
      <c r="B62" s="103" t="inlineStr">
        <is>
          <t>(Available for new custom item)</t>
        </is>
      </c>
      <c r="C62" s="104" t="inlineStr">
        <is>
          <t>quintal</t>
        </is>
      </c>
      <c r="D62" s="104" t="n">
        <v>1</v>
      </c>
      <c r="E62" s="105" t="n"/>
      <c r="F62" s="104" t="inlineStr">
        <is>
          <t>Full W-&gt;X-&gt;Y-&gt;Z</t>
        </is>
      </c>
      <c r="G62" s="105" t="n"/>
      <c r="H62" s="106" t="n"/>
    </row>
    <row r="63" ht="20" customHeight="1">
      <c r="A63" s="107" t="inlineStr">
        <is>
          <t>C-10.07</t>
        </is>
      </c>
      <c r="B63" s="108" t="inlineStr">
        <is>
          <t>(Available for new custom item)</t>
        </is>
      </c>
      <c r="C63" s="109" t="inlineStr">
        <is>
          <t>quintal</t>
        </is>
      </c>
      <c r="D63" s="109" t="n">
        <v>1</v>
      </c>
      <c r="E63" s="110" t="n"/>
      <c r="F63" s="109" t="inlineStr">
        <is>
          <t>Full W-&gt;X-&gt;Y-&gt;Z</t>
        </is>
      </c>
      <c r="G63" s="110" t="n"/>
      <c r="H63" s="111" t="n"/>
    </row>
    <row r="64" ht="20" customHeight="1">
      <c r="A64" s="81" t="inlineStr">
        <is>
          <t>C-10.08</t>
        </is>
      </c>
      <c r="B64" s="103" t="inlineStr">
        <is>
          <t>(Available for new custom item)</t>
        </is>
      </c>
      <c r="C64" s="104" t="inlineStr">
        <is>
          <t>quintal</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11: Tile, stone, marble, and concrete flooring. Consumes mortar bedding (from 03_Mortars), flooring tiles, neat cement slurry, and floor polishing masons.</t>
        </is>
      </c>
    </row>
    <row r="4"/>
    <row r="5" ht="22" customHeight="1">
      <c r="A5" s="16" t="inlineStr">
        <is>
          <t>Custom Item Code:</t>
        </is>
      </c>
      <c r="B5" s="44" t="inlineStr">
        <is>
          <t>C-11.01</t>
        </is>
      </c>
      <c r="C5" s="16" t="inlineStr">
        <is>
          <t>Batch Output Basis:</t>
        </is>
      </c>
      <c r="D5" s="53" t="n">
        <v>10</v>
      </c>
      <c r="E5" s="16" t="inlineStr">
        <is>
          <t>Output Unit:</t>
        </is>
      </c>
      <c r="F5" s="44" t="inlineStr">
        <is>
          <t>sqm</t>
        </is>
      </c>
      <c r="G5" s="16" t="inlineStr">
        <is>
          <t>Trade Sub-Head:</t>
        </is>
      </c>
      <c r="H5" s="112" t="inlineStr">
        <is>
          <t>11 Flooring</t>
        </is>
      </c>
    </row>
    <row r="6" ht="36" customHeight="1">
      <c r="A6" s="16" t="inlineStr">
        <is>
          <t>Item Nomenclature / Full Description:</t>
        </is>
      </c>
      <c r="B6" s="46" t="inlineStr">
        <is>
          <t>Precast terrazzo tiles 20 mm thick with marble chips of size upto 6 mm laid in floors in CM 1:4 with neat cement slurry</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0291</t>
        </is>
      </c>
      <c r="C10" s="63">
        <f>IF(B10="","", IFERROR(INDEX(Rates_Master!$C:$C, MATCH(B10, Rates_Master!$A:$A, 0)), "Custom / Intermediate Material"))</f>
        <v/>
      </c>
      <c r="D10" s="64">
        <f>IF(B10="","", IFERROR(INDEX(Rates_Master!$D:$D, MATCH(B10, Rates_Master!$A:$A, 0)), ""))</f>
        <v/>
      </c>
      <c r="E10" s="65" t="n">
        <v>10</v>
      </c>
      <c r="F10" s="66">
        <f>IF(B10="","", IFERROR(INDEX(Rates_Master!$E:$E, MATCH(B10, Rates_Master!$A:$A, 0)), 0))</f>
        <v/>
      </c>
      <c r="G10" s="34">
        <f>IF(OR(B10="", E10=""), 0, ROUND(E10 * F10, 2))</f>
        <v/>
      </c>
      <c r="H10" s="67" t="inlineStr">
        <is>
          <t>Precast terrazzo tiles 20mm thick (sqm)</t>
        </is>
      </c>
    </row>
    <row r="11" ht="20" customHeight="1">
      <c r="A11" s="19" t="n">
        <v>2</v>
      </c>
      <c r="B11" s="44" t="inlineStr">
        <is>
          <t>2201</t>
        </is>
      </c>
      <c r="C11" s="63">
        <f>IF(B11="","", IFERROR(INDEX(Rates_Master!$C:$C, MATCH(B11, Rates_Master!$A:$A, 0)), "Custom / Intermediate Material"))</f>
        <v/>
      </c>
      <c r="D11" s="64">
        <f>IF(B11="","", IFERROR(INDEX(Rates_Master!$D:$D, MATCH(B11, Rates_Master!$A:$A, 0)), ""))</f>
        <v/>
      </c>
      <c r="E11" s="65" t="n">
        <v>0.05</v>
      </c>
      <c r="F11" s="66">
        <f>IF(B11="","", IFERROR(INDEX(Rates_Master!$E:$E, MATCH(B11, Rates_Master!$A:$A, 0)), 0))</f>
        <v/>
      </c>
      <c r="G11" s="34">
        <f>IF(OR(B11="", E11=""), 0, ROUND(E11 * F11, 2))</f>
        <v/>
      </c>
      <c r="H11" s="67" t="inlineStr">
        <is>
          <t>Carriage of tiles</t>
        </is>
      </c>
    </row>
    <row r="12" ht="20" customHeight="1">
      <c r="A12" s="19" t="n">
        <v>3</v>
      </c>
      <c r="B12" s="44" t="inlineStr">
        <is>
          <t>03_Mortars</t>
        </is>
      </c>
      <c r="C12" s="63" t="inlineStr">
        <is>
          <t>Cement mortar 1:4 (Bedding mortar from 03_Mortars or DAR 3.9)</t>
        </is>
      </c>
      <c r="D12" s="64" t="inlineStr">
        <is>
          <t>cum</t>
        </is>
      </c>
      <c r="E12" s="65" t="n">
        <v>0.2</v>
      </c>
      <c r="F12" s="66">
        <f>'03_Mortars'!G51</f>
        <v/>
      </c>
      <c r="G12" s="34">
        <f>IF(OR(B12="", E12=""), 0, ROUND(E12 * F12, 2))</f>
        <v/>
      </c>
      <c r="H12" s="67" t="inlineStr">
        <is>
          <t>Bedding mortar</t>
        </is>
      </c>
    </row>
    <row r="13" ht="20" customHeight="1">
      <c r="A13" s="19" t="n">
        <v>4</v>
      </c>
      <c r="B13" s="44" t="inlineStr">
        <is>
          <t>0367</t>
        </is>
      </c>
      <c r="C13" s="63">
        <f>IF(B13="","", IFERROR(INDEX(Rates_Master!$C:$C, MATCH(B13, Rates_Master!$A:$A, 0)), "Custom / Intermediate Material"))</f>
        <v/>
      </c>
      <c r="D13" s="64">
        <f>IF(B13="","", IFERROR(INDEX(Rates_Master!$D:$D, MATCH(B13, Rates_Master!$A:$A, 0)), ""))</f>
        <v/>
      </c>
      <c r="E13" s="65" t="n">
        <v>0.044</v>
      </c>
      <c r="F13" s="66">
        <f>IF(B13="","", IFERROR(INDEX(Rates_Master!$E:$E, MATCH(B13, Rates_Master!$A:$A, 0)), 0))</f>
        <v/>
      </c>
      <c r="G13" s="34">
        <f>IF(OR(B13="", E13=""), 0, ROUND(E13 * F13, 2))</f>
        <v/>
      </c>
      <c r="H13" s="67" t="inlineStr">
        <is>
          <t>Cement for neat cement slurry (4.4 kg/sqm)</t>
        </is>
      </c>
    </row>
    <row r="14" ht="20" customHeight="1">
      <c r="A14" s="19" t="n">
        <v>5</v>
      </c>
      <c r="B14" s="44" t="inlineStr"/>
      <c r="C14" s="63">
        <f>IF(B14="","", IFERROR(INDEX(Rates_Master!$C:$C, MATCH(B14, Rates_Master!$A:$A, 0)), "Custom / Intermediate Material"))</f>
        <v/>
      </c>
      <c r="D14" s="64">
        <f>IF(B14="","", IFERROR(INDEX(Rates_Master!$D:$D, MATCH(B14, Rates_Master!$A:$A, 0)), ""))</f>
        <v/>
      </c>
      <c r="E14" s="65" t="n"/>
      <c r="F14" s="66">
        <f>IF(B14="","", IFERROR(INDEX(Rates_Master!$E:$E, MATCH(B14, Rates_Master!$A:$A, 0)), 0))</f>
        <v/>
      </c>
      <c r="G14" s="34">
        <f>IF(OR(B14="", E14=""), 0, ROUND(E14 * F14, 2))</f>
        <v/>
      </c>
      <c r="H14" s="67" t="inlineStr"/>
    </row>
    <row r="15" ht="20" customHeight="1">
      <c r="A15" s="19" t="n">
        <v>6</v>
      </c>
      <c r="B15" s="44" t="inlineStr"/>
      <c r="C15" s="63">
        <f>IF(B15="","", IFERROR(INDEX(Rates_Master!$C:$C, MATCH(B15, Rates_Master!$A:$A, 0)), "Custom / Intermediate Material"))</f>
        <v/>
      </c>
      <c r="D15" s="64">
        <f>IF(B15="","", IFERROR(INDEX(Rates_Master!$D:$D, MATCH(B15, Rates_Master!$A:$A, 0)), ""))</f>
        <v/>
      </c>
      <c r="E15" s="65" t="n"/>
      <c r="F15" s="66">
        <f>IF(B15="","", IFERROR(INDEX(Rates_Master!$E:$E, MATCH(B15, Rates_Master!$A:$A, 0)), 0))</f>
        <v/>
      </c>
      <c r="G15" s="34">
        <f>IF(OR(B15="", E15=""), 0, ROUND(E15 * F15, 2))</f>
        <v/>
      </c>
      <c r="H15" s="67" t="inlineStr"/>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0155</t>
        </is>
      </c>
      <c r="C24" s="63">
        <f>IF(B24="","", IFERROR(INDEX(Rates_Master!$C:$C, MATCH(B24, Rates_Master!$A:$A, 0)), "Custom Labour/Plant"))</f>
        <v/>
      </c>
      <c r="D24" s="64">
        <f>IF(B24="","", IFERROR(INDEX(Rates_Master!$D:$D, MATCH(B24, Rates_Master!$A:$A, 0)), ""))</f>
        <v/>
      </c>
      <c r="E24" s="65" t="n">
        <v>1.2</v>
      </c>
      <c r="F24" s="66">
        <f>IF(B24="","", IFERROR(INDEX(Rates_Master!$E:$E, MATCH(B24, Rates_Master!$A:$A, 0)), 0))</f>
        <v/>
      </c>
      <c r="G24" s="34">
        <f>IF(OR(B24="", E24=""), 0, ROUND(E24 * F24, 2))</f>
        <v/>
      </c>
      <c r="H24" s="67" t="inlineStr">
        <is>
          <t>Mason (average)</t>
        </is>
      </c>
    </row>
    <row r="25" ht="20" customHeight="1">
      <c r="A25" s="19" t="n">
        <v>2</v>
      </c>
      <c r="B25" s="44" t="inlineStr">
        <is>
          <t>0115</t>
        </is>
      </c>
      <c r="C25" s="63">
        <f>IF(B25="","", IFERROR(INDEX(Rates_Master!$C:$C, MATCH(B25, Rates_Master!$A:$A, 0)), "Custom Labour/Plant"))</f>
        <v/>
      </c>
      <c r="D25" s="64">
        <f>IF(B25="","", IFERROR(INDEX(Rates_Master!$D:$D, MATCH(B25, Rates_Master!$A:$A, 0)), ""))</f>
        <v/>
      </c>
      <c r="E25" s="65" t="n">
        <v>1.2</v>
      </c>
      <c r="F25" s="66">
        <f>IF(B25="","", IFERROR(INDEX(Rates_Master!$E:$E, MATCH(B25, Rates_Master!$A:$A, 0)), 0))</f>
        <v/>
      </c>
      <c r="G25" s="34">
        <f>IF(OR(B25="", E25=""), 0, ROUND(E25 * F25, 2))</f>
        <v/>
      </c>
      <c r="H25" s="67" t="inlineStr">
        <is>
          <t>Coolie</t>
        </is>
      </c>
    </row>
    <row r="26" ht="20" customHeight="1">
      <c r="A26" s="19" t="n">
        <v>3</v>
      </c>
      <c r="B26" s="44" t="inlineStr">
        <is>
          <t>0101</t>
        </is>
      </c>
      <c r="C26" s="63">
        <f>IF(B26="","", IFERROR(INDEX(Rates_Master!$C:$C, MATCH(B26, Rates_Master!$A:$A, 0)), "Custom Labour/Plant"))</f>
        <v/>
      </c>
      <c r="D26" s="64">
        <f>IF(B26="","", IFERROR(INDEX(Rates_Master!$D:$D, MATCH(B26, Rates_Master!$A:$A, 0)), ""))</f>
        <v/>
      </c>
      <c r="E26" s="65" t="n">
        <v>0.2</v>
      </c>
      <c r="F26" s="66">
        <f>IF(B26="","", IFERROR(INDEX(Rates_Master!$E:$E, MATCH(B26, Rates_Master!$A:$A, 0)), 0))</f>
        <v/>
      </c>
      <c r="G26" s="34">
        <f>IF(OR(B26="", E26=""), 0, ROUND(E26 * F26, 2))</f>
        <v/>
      </c>
      <c r="H26" s="67" t="inlineStr">
        <is>
          <t>Bhisti</t>
        </is>
      </c>
    </row>
    <row r="27" ht="20" customHeight="1">
      <c r="A27" s="19" t="n">
        <v>4</v>
      </c>
      <c r="B27" s="44" t="inlineStr">
        <is>
          <t>0013</t>
        </is>
      </c>
      <c r="C27" s="63">
        <f>IF(B27="","", IFERROR(INDEX(Rates_Master!$C:$C, MATCH(B27, Rates_Master!$A:$A, 0)), "Custom Labour/Plant"))</f>
        <v/>
      </c>
      <c r="D27" s="64">
        <f>IF(B27="","", IFERROR(INDEX(Rates_Master!$D:$D, MATCH(B27, Rates_Master!$A:$A, 0)), ""))</f>
        <v/>
      </c>
      <c r="E27" s="65" t="n">
        <v>0.3</v>
      </c>
      <c r="F27" s="66">
        <f>IF(B27="","", IFERROR(INDEX(Rates_Master!$E:$E, MATCH(B27, Rates_Master!$A:$A, 0)), 0))</f>
        <v/>
      </c>
      <c r="G27" s="34">
        <f>IF(OR(B27="", E27=""), 0, ROUND(E27 * F27, 2))</f>
        <v/>
      </c>
      <c r="H27" s="67" t="inlineStr">
        <is>
          <t>Machine for rubbing &amp; polishing of floors</t>
        </is>
      </c>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10</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Labour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11.3.1</t>
        </is>
      </c>
      <c r="B57" s="108" t="inlineStr">
        <is>
          <t>Precast terrazzo tiles 20 mm thick laid in floors in CM 1:4</t>
        </is>
      </c>
      <c r="C57" s="109" t="inlineStr">
        <is>
          <t>sqm</t>
        </is>
      </c>
      <c r="D57" s="109" t="n">
        <v>10</v>
      </c>
      <c r="E57" s="110" t="n">
        <v>7850</v>
      </c>
      <c r="F57" s="109" t="inlineStr">
        <is>
          <t>Full W-&gt;X-&gt;Y-&gt;Z</t>
        </is>
      </c>
      <c r="G57" s="110" t="n">
        <v>1049.8</v>
      </c>
      <c r="H57" s="111" t="n">
        <v>1049.8</v>
      </c>
    </row>
    <row r="58" ht="20" customHeight="1">
      <c r="A58" s="81" t="inlineStr">
        <is>
          <t>C-11.02</t>
        </is>
      </c>
      <c r="B58" s="103" t="inlineStr">
        <is>
          <t>(Available for new custom item)</t>
        </is>
      </c>
      <c r="C58" s="104" t="inlineStr">
        <is>
          <t>sqm</t>
        </is>
      </c>
      <c r="D58" s="104" t="n">
        <v>10</v>
      </c>
      <c r="E58" s="105" t="n"/>
      <c r="F58" s="104" t="inlineStr">
        <is>
          <t>Full W-&gt;X-&gt;Y-&gt;Z</t>
        </is>
      </c>
      <c r="G58" s="105" t="n"/>
      <c r="H58" s="106" t="n"/>
    </row>
    <row r="59" ht="20" customHeight="1">
      <c r="A59" s="107" t="inlineStr">
        <is>
          <t>C-11.03</t>
        </is>
      </c>
      <c r="B59" s="108" t="inlineStr">
        <is>
          <t>(Available for new custom item)</t>
        </is>
      </c>
      <c r="C59" s="109" t="inlineStr">
        <is>
          <t>sqm</t>
        </is>
      </c>
      <c r="D59" s="109" t="n">
        <v>10</v>
      </c>
      <c r="E59" s="110" t="n"/>
      <c r="F59" s="109" t="inlineStr">
        <is>
          <t>Full W-&gt;X-&gt;Y-&gt;Z</t>
        </is>
      </c>
      <c r="G59" s="110" t="n"/>
      <c r="H59" s="111" t="n"/>
    </row>
    <row r="60" ht="20" customHeight="1">
      <c r="A60" s="81" t="inlineStr">
        <is>
          <t>C-11.04</t>
        </is>
      </c>
      <c r="B60" s="103" t="inlineStr">
        <is>
          <t>(Available for new custom item)</t>
        </is>
      </c>
      <c r="C60" s="104" t="inlineStr">
        <is>
          <t>sqm</t>
        </is>
      </c>
      <c r="D60" s="104" t="n">
        <v>10</v>
      </c>
      <c r="E60" s="105" t="n"/>
      <c r="F60" s="104" t="inlineStr">
        <is>
          <t>Full W-&gt;X-&gt;Y-&gt;Z</t>
        </is>
      </c>
      <c r="G60" s="105" t="n"/>
      <c r="H60" s="106" t="n"/>
    </row>
    <row r="61" ht="20" customHeight="1">
      <c r="A61" s="107" t="inlineStr">
        <is>
          <t>C-11.05</t>
        </is>
      </c>
      <c r="B61" s="108" t="inlineStr">
        <is>
          <t>(Available for new custom item)</t>
        </is>
      </c>
      <c r="C61" s="109" t="inlineStr">
        <is>
          <t>sqm</t>
        </is>
      </c>
      <c r="D61" s="109" t="n">
        <v>10</v>
      </c>
      <c r="E61" s="110" t="n"/>
      <c r="F61" s="109" t="inlineStr">
        <is>
          <t>Full W-&gt;X-&gt;Y-&gt;Z</t>
        </is>
      </c>
      <c r="G61" s="110" t="n"/>
      <c r="H61" s="111" t="n"/>
    </row>
    <row r="62" ht="20" customHeight="1">
      <c r="A62" s="81" t="inlineStr">
        <is>
          <t>C-11.06</t>
        </is>
      </c>
      <c r="B62" s="103" t="inlineStr">
        <is>
          <t>(Available for new custom item)</t>
        </is>
      </c>
      <c r="C62" s="104" t="inlineStr">
        <is>
          <t>sqm</t>
        </is>
      </c>
      <c r="D62" s="104" t="n">
        <v>10</v>
      </c>
      <c r="E62" s="105" t="n"/>
      <c r="F62" s="104" t="inlineStr">
        <is>
          <t>Full W-&gt;X-&gt;Y-&gt;Z</t>
        </is>
      </c>
      <c r="G62" s="105" t="n"/>
      <c r="H62" s="106" t="n"/>
    </row>
    <row r="63" ht="20" customHeight="1">
      <c r="A63" s="107" t="inlineStr">
        <is>
          <t>C-11.07</t>
        </is>
      </c>
      <c r="B63" s="108" t="inlineStr">
        <is>
          <t>(Available for new custom item)</t>
        </is>
      </c>
      <c r="C63" s="109" t="inlineStr">
        <is>
          <t>sqm</t>
        </is>
      </c>
      <c r="D63" s="109" t="n">
        <v>10</v>
      </c>
      <c r="E63" s="110" t="n"/>
      <c r="F63" s="109" t="inlineStr">
        <is>
          <t>Full W-&gt;X-&gt;Y-&gt;Z</t>
        </is>
      </c>
      <c r="G63" s="110" t="n"/>
      <c r="H63" s="111" t="n"/>
    </row>
    <row r="64" ht="20" customHeight="1">
      <c r="A64" s="81" t="inlineStr">
        <is>
          <t>C-11.08</t>
        </is>
      </c>
      <c r="B64" s="103" t="inlineStr">
        <is>
          <t>(Available for new custom item)</t>
        </is>
      </c>
      <c r="C64" s="104" t="inlineStr">
        <is>
          <t>sqm</t>
        </is>
      </c>
      <c r="D64" s="104" t="n">
        <v>10</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4" t="inlineStr">
        <is>
          <t>C-12.01</t>
        </is>
      </c>
      <c r="C5" s="16" t="inlineStr">
        <is>
          <t>Batch Output Basis:</t>
        </is>
      </c>
      <c r="D5" s="53" t="n">
        <v>184.52</v>
      </c>
      <c r="E5" s="16" t="inlineStr">
        <is>
          <t>Output Unit:</t>
        </is>
      </c>
      <c r="F5" s="44" t="inlineStr">
        <is>
          <t>sqm</t>
        </is>
      </c>
      <c r="G5" s="16" t="inlineStr">
        <is>
          <t>Trade Sub-Head:</t>
        </is>
      </c>
      <c r="H5" s="112" t="inlineStr">
        <is>
          <t>12 Roofing</t>
        </is>
      </c>
    </row>
    <row r="6" ht="36" customHeight="1">
      <c r="A6" s="16" t="inlineStr">
        <is>
          <t>Item Nomenclature / Full Description:</t>
        </is>
      </c>
      <c r="B6" s="46" t="inlineStr">
        <is>
          <t>Providing corrugated G.S. sheet roofing 1.00 mm thick with zinc coating 275 gm/sqm fixed with J/L hooks, bolts and limpet washers complete</t>
        </is>
      </c>
    </row>
    <row r="7" ht="22" customHeight="1">
      <c r="A7" s="57" t="inlineStr">
        <is>
          <t>AUDIT STATUS:</t>
        </is>
      </c>
      <c r="B7" s="58">
        <f>IF(AND(D7="OK", F7="OK", H7="OK"), "[PASS] ALL CHECKS OK", "[ALERT] CHECKS FAILED")</f>
        <v/>
      </c>
      <c r="C7" s="59" t="inlineStr">
        <is>
          <t>Output Qty Check:</t>
        </is>
      </c>
      <c r="D7" s="60">
        <f>IF(D5&gt;0, "OK", "ERR: Qty&lt;=0")</f>
        <v/>
      </c>
      <c r="E7" s="59" t="inlineStr">
        <is>
          <t>Direct Cost Check:</t>
        </is>
      </c>
      <c r="F7" s="60">
        <f>IF(G41&gt;0, "OK", "ERR: W&lt;=0")</f>
        <v/>
      </c>
      <c r="G7" s="59" t="inlineStr">
        <is>
          <t>Markup Flow Check:</t>
        </is>
      </c>
      <c r="H7" s="60">
        <f>IF(AND(G41&lt;=G43, G43&lt;=G45, G45&lt;=G47), "OK", "ERR: Markups Broken")</f>
        <v/>
      </c>
    </row>
    <row r="8" ht="24" customHeight="1">
      <c r="A8" s="42"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4" t="inlineStr">
        <is>
          <t>3050</t>
        </is>
      </c>
      <c r="C10" s="63">
        <f>IF(B10="","", IFERROR(INDEX(Rates_Master!$C:$C, MATCH(B10, Rates_Master!$A:$A, 0)), "Custom / Intermediate Material"))</f>
        <v/>
      </c>
      <c r="D10" s="64">
        <f>IF(B10="","", IFERROR(INDEX(Rates_Master!$D:$D, MATCH(B10, Rates_Master!$A:$A, 0)), ""))</f>
        <v/>
      </c>
      <c r="E10" s="65" t="n">
        <v>23.26</v>
      </c>
      <c r="F10" s="66">
        <f>IF(B10="","", IFERROR(INDEX(Rates_Master!$E:$E, MATCH(B10, Rates_Master!$A:$A, 0)), 0))</f>
        <v/>
      </c>
      <c r="G10" s="34">
        <f>IF(OR(B10="", E10=""), 0, ROUND(E10 * F10, 2))</f>
        <v/>
      </c>
      <c r="H10" s="67" t="inlineStr">
        <is>
          <t>Galvanised steel corrugated sheets (quintal)</t>
        </is>
      </c>
    </row>
    <row r="11" ht="20" customHeight="1">
      <c r="A11" s="19" t="n">
        <v>2</v>
      </c>
      <c r="B11" s="44" t="inlineStr">
        <is>
          <t>2302</t>
        </is>
      </c>
      <c r="C11" s="63">
        <f>IF(B11="","", IFERROR(INDEX(Rates_Master!$C:$C, MATCH(B11, Rates_Master!$A:$A, 0)), "Custom / Intermediate Material"))</f>
        <v/>
      </c>
      <c r="D11" s="64">
        <f>IF(B11="","", IFERROR(INDEX(Rates_Master!$D:$D, MATCH(B11, Rates_Master!$A:$A, 0)), ""))</f>
        <v/>
      </c>
      <c r="E11" s="65" t="n">
        <v>2.326</v>
      </c>
      <c r="F11" s="66">
        <f>IF(B11="","", IFERROR(INDEX(Rates_Master!$E:$E, MATCH(B11, Rates_Master!$A:$A, 0)), 0))</f>
        <v/>
      </c>
      <c r="G11" s="34">
        <f>IF(OR(B11="", E11=""), 0, ROUND(E11 * F11, 2))</f>
        <v/>
      </c>
      <c r="H11" s="67" t="inlineStr">
        <is>
          <t>Carriage of G.I. sheet and accessories (tonne)</t>
        </is>
      </c>
    </row>
    <row r="12" ht="20" customHeight="1">
      <c r="A12" s="19" t="n">
        <v>3</v>
      </c>
      <c r="B12" s="44" t="inlineStr">
        <is>
          <t>1022</t>
        </is>
      </c>
      <c r="C12" s="63">
        <f>IF(B12="","", IFERROR(INDEX(Rates_Master!$C:$C, MATCH(B12, Rates_Master!$A:$A, 0)), "Custom / Intermediate Material"))</f>
        <v/>
      </c>
      <c r="D12" s="64">
        <f>IF(B12="","", IFERROR(INDEX(Rates_Master!$D:$D, MATCH(B12, Rates_Master!$A:$A, 0)), ""))</f>
        <v/>
      </c>
      <c r="E12" s="65" t="n">
        <v>88.40000000000001</v>
      </c>
      <c r="F12" s="66">
        <f>IF(B12="","", IFERROR(INDEX(Rates_Master!$E:$E, MATCH(B12, Rates_Master!$A:$A, 0)), 0))</f>
        <v/>
      </c>
      <c r="G12" s="34">
        <f>IF(OR(B12="", E12=""), 0, ROUND(E12 * F12, 2))</f>
        <v/>
      </c>
      <c r="H12" s="67" t="inlineStr">
        <is>
          <t>Galvanised steel bolts &amp; nuts 6mm dia, 25mm long (10 Nos)</t>
        </is>
      </c>
    </row>
    <row r="13" ht="20" customHeight="1">
      <c r="A13" s="19" t="n">
        <v>4</v>
      </c>
      <c r="B13" s="44" t="inlineStr">
        <is>
          <t>1023</t>
        </is>
      </c>
      <c r="C13" s="63">
        <f>IF(B13="","", IFERROR(INDEX(Rates_Master!$C:$C, MATCH(B13, Rates_Master!$A:$A, 0)), "Custom / Intermediate Material"))</f>
        <v/>
      </c>
      <c r="D13" s="64">
        <f>IF(B13="","", IFERROR(INDEX(Rates_Master!$D:$D, MATCH(B13, Rates_Master!$A:$A, 0)), ""))</f>
        <v/>
      </c>
      <c r="E13" s="65" t="n">
        <v>81</v>
      </c>
      <c r="F13" s="66">
        <f>IF(B13="","", IFERROR(INDEX(Rates_Master!$E:$E, MATCH(B13, Rates_Master!$A:$A, 0)), 0))</f>
        <v/>
      </c>
      <c r="G13" s="34">
        <f>IF(OR(B13="", E13=""), 0, ROUND(E13 * F13, 2))</f>
        <v/>
      </c>
      <c r="H13" s="67" t="inlineStr">
        <is>
          <t>Galvanised steel J or L hooks 8 mm dia (10 Nos)</t>
        </is>
      </c>
    </row>
    <row r="14" ht="20" customHeight="1">
      <c r="A14" s="19" t="n">
        <v>5</v>
      </c>
      <c r="B14" s="44" t="inlineStr">
        <is>
          <t>1207</t>
        </is>
      </c>
      <c r="C14" s="63">
        <f>IF(B14="","", IFERROR(INDEX(Rates_Master!$C:$C, MATCH(B14, Rates_Master!$A:$A, 0)), "Custom / Intermediate Material"))</f>
        <v/>
      </c>
      <c r="D14" s="64">
        <f>IF(B14="","", IFERROR(INDEX(Rates_Master!$D:$D, MATCH(B14, Rates_Master!$A:$A, 0)), ""))</f>
        <v/>
      </c>
      <c r="E14" s="65" t="n">
        <v>16.94</v>
      </c>
      <c r="F14" s="66">
        <f>IF(B14="","", IFERROR(INDEX(Rates_Master!$E:$E, MATCH(B14, Rates_Master!$A:$A, 0)), 0))</f>
        <v/>
      </c>
      <c r="G14" s="34">
        <f>IF(OR(B14="", E14=""), 0, ROUND(E14 * F14, 2))</f>
        <v/>
      </c>
      <c r="H14" s="67" t="inlineStr">
        <is>
          <t>G.I. Limpet washer (100 Nos)</t>
        </is>
      </c>
    </row>
    <row r="15" ht="20" customHeight="1">
      <c r="A15" s="19" t="n">
        <v>6</v>
      </c>
      <c r="B15" s="44" t="inlineStr">
        <is>
          <t>1208</t>
        </is>
      </c>
      <c r="C15" s="63">
        <f>IF(B15="","", IFERROR(INDEX(Rates_Master!$C:$C, MATCH(B15, Rates_Master!$A:$A, 0)), "Custom / Intermediate Material"))</f>
        <v/>
      </c>
      <c r="D15" s="64">
        <f>IF(B15="","", IFERROR(INDEX(Rates_Master!$D:$D, MATCH(B15, Rates_Master!$A:$A, 0)), ""))</f>
        <v/>
      </c>
      <c r="E15" s="65" t="n">
        <v>16.94</v>
      </c>
      <c r="F15" s="66">
        <f>IF(B15="","", IFERROR(INDEX(Rates_Master!$E:$E, MATCH(B15, Rates_Master!$A:$A, 0)), 0))</f>
        <v/>
      </c>
      <c r="G15" s="34">
        <f>IF(OR(B15="", E15=""), 0, ROUND(E15 * F15, 2))</f>
        <v/>
      </c>
      <c r="H15" s="67" t="inlineStr">
        <is>
          <t>Bitumen washer (100 Nos)</t>
        </is>
      </c>
    </row>
    <row r="16" ht="20" customHeight="1">
      <c r="A16" s="19" t="n">
        <v>7</v>
      </c>
      <c r="B16" s="44" t="inlineStr"/>
      <c r="C16" s="63">
        <f>IF(B16="","", IFERROR(INDEX(Rates_Master!$C:$C, MATCH(B16, Rates_Master!$A:$A, 0)), "Custom / Intermediate Material"))</f>
        <v/>
      </c>
      <c r="D16" s="64">
        <f>IF(B16="","", IFERROR(INDEX(Rates_Master!$D:$D, MATCH(B16, Rates_Master!$A:$A, 0)), ""))</f>
        <v/>
      </c>
      <c r="E16" s="65" t="n"/>
      <c r="F16" s="66">
        <f>IF(B16="","", IFERROR(INDEX(Rates_Master!$E:$E, MATCH(B16, Rates_Master!$A:$A, 0)), 0))</f>
        <v/>
      </c>
      <c r="G16" s="34">
        <f>IF(OR(B16="", E16=""), 0, ROUND(E16 * F16, 2))</f>
        <v/>
      </c>
      <c r="H16" s="67" t="inlineStr"/>
    </row>
    <row r="17" ht="20" customHeight="1">
      <c r="A17" s="19" t="n">
        <v>8</v>
      </c>
      <c r="B17" s="44" t="inlineStr"/>
      <c r="C17" s="63">
        <f>IF(B17="","", IFERROR(INDEX(Rates_Master!$C:$C, MATCH(B17, Rates_Master!$A:$A, 0)), "Custom / Intermediate Material"))</f>
        <v/>
      </c>
      <c r="D17" s="64">
        <f>IF(B17="","", IFERROR(INDEX(Rates_Master!$D:$D, MATCH(B17, Rates_Master!$A:$A, 0)), ""))</f>
        <v/>
      </c>
      <c r="E17" s="65" t="n"/>
      <c r="F17" s="66">
        <f>IF(B17="","", IFERROR(INDEX(Rates_Master!$E:$E, MATCH(B17, Rates_Master!$A:$A, 0)), 0))</f>
        <v/>
      </c>
      <c r="G17" s="34">
        <f>IF(OR(B17="", E17=""), 0, ROUND(E17 * F17, 2))</f>
        <v/>
      </c>
      <c r="H17" s="67" t="inlineStr"/>
    </row>
    <row r="18" ht="20" customHeight="1">
      <c r="A18" s="19" t="n">
        <v>9</v>
      </c>
      <c r="B18" s="44" t="inlineStr"/>
      <c r="C18" s="63">
        <f>IF(B18="","", IFERROR(INDEX(Rates_Master!$C:$C, MATCH(B18, Rates_Master!$A:$A, 0)), "Custom / Intermediate Material"))</f>
        <v/>
      </c>
      <c r="D18" s="64">
        <f>IF(B18="","", IFERROR(INDEX(Rates_Master!$D:$D, MATCH(B18, Rates_Master!$A:$A, 0)), ""))</f>
        <v/>
      </c>
      <c r="E18" s="65" t="n"/>
      <c r="F18" s="66">
        <f>IF(B18="","", IFERROR(INDEX(Rates_Master!$E:$E, MATCH(B18, Rates_Master!$A:$A, 0)), 0))</f>
        <v/>
      </c>
      <c r="G18" s="34">
        <f>IF(OR(B18="", E18=""), 0, ROUND(E18 * F18, 2))</f>
        <v/>
      </c>
      <c r="H18" s="67" t="inlineStr"/>
    </row>
    <row r="19" ht="20" customHeight="1">
      <c r="A19" s="19" t="n">
        <v>10</v>
      </c>
      <c r="B19" s="44" t="inlineStr"/>
      <c r="C19" s="63">
        <f>IF(B19="","", IFERROR(INDEX(Rates_Master!$C:$C, MATCH(B19, Rates_Master!$A:$A, 0)), "Custom / Intermediate Material"))</f>
        <v/>
      </c>
      <c r="D19" s="64">
        <f>IF(B19="","", IFERROR(INDEX(Rates_Master!$D:$D, MATCH(B19, Rates_Master!$A:$A, 0)), ""))</f>
        <v/>
      </c>
      <c r="E19" s="65" t="n"/>
      <c r="F19" s="66">
        <f>IF(B19="","", IFERROR(INDEX(Rates_Master!$E:$E, MATCH(B19, Rates_Master!$A:$A, 0)), 0))</f>
        <v/>
      </c>
      <c r="G19" s="34">
        <f>IF(OR(B19="", E19=""), 0, ROUND(E19 * F19, 2))</f>
        <v/>
      </c>
      <c r="H19" s="67" t="inlineStr"/>
    </row>
    <row r="20" ht="22" customHeight="1">
      <c r="A20" s="68" t="inlineStr">
        <is>
          <t>Subtotal Materials (₹):</t>
        </is>
      </c>
      <c r="B20" s="69" t="n"/>
      <c r="C20" s="69" t="n"/>
      <c r="D20" s="69" t="n"/>
      <c r="E20" s="69" t="n"/>
      <c r="F20" s="69" t="n"/>
      <c r="G20" s="70">
        <f>SUM(G10:G19)</f>
        <v/>
      </c>
      <c r="H20" s="69" t="n"/>
    </row>
    <row r="21"/>
    <row r="22" ht="24" customHeight="1">
      <c r="A22" s="42"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4" t="inlineStr">
        <is>
          <t>0156</t>
        </is>
      </c>
      <c r="C24" s="63">
        <f>IF(B24="","", IFERROR(INDEX(Rates_Master!$C:$C, MATCH(B24, Rates_Master!$A:$A, 0)), "Custom Labour/Plant"))</f>
        <v/>
      </c>
      <c r="D24" s="64">
        <f>IF(B24="","", IFERROR(INDEX(Rates_Master!$D:$D, MATCH(B24, Rates_Master!$A:$A, 0)), ""))</f>
        <v/>
      </c>
      <c r="E24" s="65" t="n">
        <v>4</v>
      </c>
      <c r="F24" s="66">
        <f>IF(B24="","", IFERROR(INDEX(Rates_Master!$E:$E, MATCH(B24, Rates_Master!$A:$A, 0)), 0))</f>
        <v/>
      </c>
      <c r="G24" s="34">
        <f>IF(OR(B24="", E24=""), 0, ROUND(E24 * F24, 2))</f>
        <v/>
      </c>
      <c r="H24" s="67" t="inlineStr">
        <is>
          <t>Carpenter / Erector</t>
        </is>
      </c>
    </row>
    <row r="25" ht="20" customHeight="1">
      <c r="A25" s="19" t="n">
        <v>2</v>
      </c>
      <c r="B25" s="44" t="inlineStr">
        <is>
          <t>0114</t>
        </is>
      </c>
      <c r="C25" s="63">
        <f>IF(B25="","", IFERROR(INDEX(Rates_Master!$C:$C, MATCH(B25, Rates_Master!$A:$A, 0)), "Custom Labour/Plant"))</f>
        <v/>
      </c>
      <c r="D25" s="64">
        <f>IF(B25="","", IFERROR(INDEX(Rates_Master!$D:$D, MATCH(B25, Rates_Master!$A:$A, 0)), ""))</f>
        <v/>
      </c>
      <c r="E25" s="65" t="n">
        <v>6</v>
      </c>
      <c r="F25" s="66">
        <f>IF(B25="","", IFERROR(INDEX(Rates_Master!$E:$E, MATCH(B25, Rates_Master!$A:$A, 0)), 0))</f>
        <v/>
      </c>
      <c r="G25" s="34">
        <f>IF(OR(B25="", E25=""), 0, ROUND(E25 * F25, 2))</f>
        <v/>
      </c>
      <c r="H25" s="67" t="inlineStr">
        <is>
          <t>Beldar</t>
        </is>
      </c>
    </row>
    <row r="26" ht="20" customHeight="1">
      <c r="A26" s="19" t="n">
        <v>3</v>
      </c>
      <c r="B26" s="44" t="inlineStr">
        <is>
          <t>0131</t>
        </is>
      </c>
      <c r="C26" s="63">
        <f>IF(B26="","", IFERROR(INDEX(Rates_Master!$C:$C, MATCH(B26, Rates_Master!$A:$A, 0)), "Custom Labour/Plant"))</f>
        <v/>
      </c>
      <c r="D26" s="64">
        <f>IF(B26="","", IFERROR(INDEX(Rates_Master!$D:$D, MATCH(B26, Rates_Master!$A:$A, 0)), ""))</f>
        <v/>
      </c>
      <c r="E26" s="65" t="n">
        <v>2</v>
      </c>
      <c r="F26" s="66">
        <f>IF(B26="","", IFERROR(INDEX(Rates_Master!$E:$E, MATCH(B26, Rates_Master!$A:$A, 0)), 0))</f>
        <v/>
      </c>
      <c r="G26" s="34">
        <f>IF(OR(B26="", E26=""), 0, ROUND(E26 * F26, 2))</f>
        <v/>
      </c>
      <c r="H26" s="67" t="inlineStr">
        <is>
          <t>Painter (for overlap priming &amp; painting)</t>
        </is>
      </c>
    </row>
    <row r="27" ht="20" customHeight="1">
      <c r="A27" s="19" t="n">
        <v>4</v>
      </c>
      <c r="B27" s="44" t="inlineStr"/>
      <c r="C27" s="63">
        <f>IF(B27="","", IFERROR(INDEX(Rates_Master!$C:$C, MATCH(B27, Rates_Master!$A:$A, 0)), "Custom Labour/Plant"))</f>
        <v/>
      </c>
      <c r="D27" s="64">
        <f>IF(B27="","", IFERROR(INDEX(Rates_Master!$D:$D, MATCH(B27, Rates_Master!$A:$A, 0)), ""))</f>
        <v/>
      </c>
      <c r="E27" s="65" t="n"/>
      <c r="F27" s="66">
        <f>IF(B27="","", IFERROR(INDEX(Rates_Master!$E:$E, MATCH(B27, Rates_Master!$A:$A, 0)), 0))</f>
        <v/>
      </c>
      <c r="G27" s="34">
        <f>IF(OR(B27="", E27=""), 0, ROUND(E27 * F27, 2))</f>
        <v/>
      </c>
      <c r="H27" s="67" t="inlineStr"/>
    </row>
    <row r="28" ht="20" customHeight="1">
      <c r="A28" s="19" t="n">
        <v>5</v>
      </c>
      <c r="B28" s="44" t="inlineStr"/>
      <c r="C28" s="63">
        <f>IF(B28="","", IFERROR(INDEX(Rates_Master!$C:$C, MATCH(B28, Rates_Master!$A:$A, 0)), "Custom Labour/Plant"))</f>
        <v/>
      </c>
      <c r="D28" s="64">
        <f>IF(B28="","", IFERROR(INDEX(Rates_Master!$D:$D, MATCH(B28, Rates_Master!$A:$A, 0)), ""))</f>
        <v/>
      </c>
      <c r="E28" s="65" t="n"/>
      <c r="F28" s="66">
        <f>IF(B28="","", IFERROR(INDEX(Rates_Master!$E:$E, MATCH(B28, Rates_Master!$A:$A, 0)), 0))</f>
        <v/>
      </c>
      <c r="G28" s="34">
        <f>IF(OR(B28="", E28=""), 0, ROUND(E28 * F28, 2))</f>
        <v/>
      </c>
      <c r="H28" s="67" t="inlineStr"/>
    </row>
    <row r="29" ht="20" customHeight="1">
      <c r="A29" s="19" t="n">
        <v>6</v>
      </c>
      <c r="B29" s="44" t="inlineStr"/>
      <c r="C29" s="63">
        <f>IF(B29="","", IFERROR(INDEX(Rates_Master!$C:$C, MATCH(B29, Rates_Master!$A:$A, 0)), "Custom Labour/Plant"))</f>
        <v/>
      </c>
      <c r="D29" s="64">
        <f>IF(B29="","", IFERROR(INDEX(Rates_Master!$D:$D, MATCH(B29, Rates_Master!$A:$A, 0)), ""))</f>
        <v/>
      </c>
      <c r="E29" s="65" t="n"/>
      <c r="F29" s="66">
        <f>IF(B29="","", IFERROR(INDEX(Rates_Master!$E:$E, MATCH(B29, Rates_Master!$A:$A, 0)), 0))</f>
        <v/>
      </c>
      <c r="G29" s="34">
        <f>IF(OR(B29="", E29=""), 0, ROUND(E29 * F29, 2))</f>
        <v/>
      </c>
      <c r="H29" s="67" t="inlineStr"/>
    </row>
    <row r="30" ht="20" customHeight="1">
      <c r="A30" s="19" t="n">
        <v>7</v>
      </c>
      <c r="B30" s="44" t="inlineStr"/>
      <c r="C30" s="63">
        <f>IF(B30="","", IFERROR(INDEX(Rates_Master!$C:$C, MATCH(B30, Rates_Master!$A:$A, 0)), "Custom Labour/Plant"))</f>
        <v/>
      </c>
      <c r="D30" s="64">
        <f>IF(B30="","", IFERROR(INDEX(Rates_Master!$D:$D, MATCH(B30, Rates_Master!$A:$A, 0)), ""))</f>
        <v/>
      </c>
      <c r="E30" s="65" t="n"/>
      <c r="F30" s="66">
        <f>IF(B30="","", IFERROR(INDEX(Rates_Master!$E:$E, MATCH(B30, Rates_Master!$A:$A, 0)), 0))</f>
        <v/>
      </c>
      <c r="G30" s="34">
        <f>IF(OR(B30="", E30=""), 0, ROUND(E30 * F30, 2))</f>
        <v/>
      </c>
      <c r="H30" s="67" t="inlineStr"/>
    </row>
    <row r="31" ht="20" customHeight="1">
      <c r="A31" s="19" t="n">
        <v>8</v>
      </c>
      <c r="B31" s="44" t="inlineStr"/>
      <c r="C31" s="63">
        <f>IF(B31="","", IFERROR(INDEX(Rates_Master!$C:$C, MATCH(B31, Rates_Master!$A:$A, 0)), "Custom Labour/Plant"))</f>
        <v/>
      </c>
      <c r="D31" s="64">
        <f>IF(B31="","", IFERROR(INDEX(Rates_Master!$D:$D, MATCH(B31, Rates_Master!$A:$A, 0)), ""))</f>
        <v/>
      </c>
      <c r="E31" s="65" t="n"/>
      <c r="F31" s="66">
        <f>IF(B31="","", IFERROR(INDEX(Rates_Master!$E:$E, MATCH(B31, Rates_Master!$A:$A, 0)), 0))</f>
        <v/>
      </c>
      <c r="G31" s="34">
        <f>IF(OR(B31="", E31=""), 0, ROUND(E31 * F31, 2))</f>
        <v/>
      </c>
      <c r="H31" s="67" t="inlineStr"/>
    </row>
    <row r="32" ht="20" customHeight="1">
      <c r="A32" s="19" t="n">
        <v>9</v>
      </c>
      <c r="B32" s="44" t="inlineStr"/>
      <c r="C32" s="63">
        <f>IF(B32="","", IFERROR(INDEX(Rates_Master!$C:$C, MATCH(B32, Rates_Master!$A:$A, 0)), "Custom Labour/Plant"))</f>
        <v/>
      </c>
      <c r="D32" s="64">
        <f>IF(B32="","", IFERROR(INDEX(Rates_Master!$D:$D, MATCH(B32, Rates_Master!$A:$A, 0)), ""))</f>
        <v/>
      </c>
      <c r="E32" s="65" t="n"/>
      <c r="F32" s="66">
        <f>IF(B32="","", IFERROR(INDEX(Rates_Master!$E:$E, MATCH(B32, Rates_Master!$A:$A, 0)), 0))</f>
        <v/>
      </c>
      <c r="G32" s="34">
        <f>IF(OR(B32="", E32=""), 0, ROUND(E32 * F32, 2))</f>
        <v/>
      </c>
      <c r="H32" s="67" t="inlineStr"/>
    </row>
    <row r="33" ht="20" customHeight="1">
      <c r="A33" s="19" t="n">
        <v>10</v>
      </c>
      <c r="B33" s="44" t="inlineStr"/>
      <c r="C33" s="63">
        <f>IF(B33="","", IFERROR(INDEX(Rates_Master!$C:$C, MATCH(B33, Rates_Master!$A:$A, 0)), "Custom Labour/Plant"))</f>
        <v/>
      </c>
      <c r="D33" s="64">
        <f>IF(B33="","", IFERROR(INDEX(Rates_Master!$D:$D, MATCH(B33, Rates_Master!$A:$A, 0)), ""))</f>
        <v/>
      </c>
      <c r="E33" s="65" t="n"/>
      <c r="F33" s="66">
        <f>IF(B33="","", IFERROR(INDEX(Rates_Master!$E:$E, MATCH(B33, Rates_Master!$A:$A, 0)), 0))</f>
        <v/>
      </c>
      <c r="G33" s="34">
        <f>IF(OR(B33="", E33=""), 0, ROUND(E33 * F33, 2))</f>
        <v/>
      </c>
      <c r="H33" s="67" t="inlineStr"/>
    </row>
    <row r="34" ht="22" customHeight="1">
      <c r="A34" s="68" t="inlineStr">
        <is>
          <t>Subtotal Labour &amp; Plant Hire (₹):</t>
        </is>
      </c>
      <c r="B34" s="69" t="n"/>
      <c r="C34" s="69" t="n"/>
      <c r="D34" s="69" t="n"/>
      <c r="E34" s="69" t="n"/>
      <c r="F34" s="69" t="n"/>
      <c r="G34" s="70">
        <f>SUM(G24:G33)</f>
        <v/>
      </c>
      <c r="H34" s="69" t="n"/>
    </row>
    <row r="35"/>
    <row r="36" ht="24" customHeight="1">
      <c r="A36" s="42" t="inlineStr">
        <is>
          <t>3. SUNDRIES &amp; LUMP-SUM ALLOWANCES</t>
        </is>
      </c>
    </row>
    <row r="37" ht="22" customHeight="1">
      <c r="A37" s="19" t="inlineStr">
        <is>
          <t>1</t>
        </is>
      </c>
      <c r="B37" s="60" t="inlineStr">
        <is>
          <t>9999</t>
        </is>
      </c>
      <c r="C37" s="72" t="inlineStr">
        <is>
          <t>Sundries (guided by Sundries_Reference sheet)</t>
        </is>
      </c>
      <c r="D37" s="19" t="inlineStr">
        <is>
          <t>L.S.</t>
        </is>
      </c>
      <c r="E37" s="113" t="n">
        <v>15</v>
      </c>
      <c r="F37" s="114">
        <f>Factor_Sundries</f>
        <v/>
      </c>
      <c r="G37" s="9">
        <f>ROUND(E37 * F37, 2)</f>
        <v/>
      </c>
      <c r="H37" s="115" t="inlineStr">
        <is>
          <t>Cost Index Multiplier (2.00) applied on base PAR-2012 allowance</t>
        </is>
      </c>
    </row>
    <row r="38"/>
    <row r="39" ht="24" customHeight="1">
      <c r="A39" s="42"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5" t="inlineStr">
        <is>
          <t>Base Direct Production Cost (Materials + Labour + Sundries)</t>
        </is>
      </c>
      <c r="C41" s="76" t="inlineStr">
        <is>
          <t>—</t>
        </is>
      </c>
      <c r="D41" s="76" t="inlineStr">
        <is>
          <t>Direct Sum</t>
        </is>
      </c>
      <c r="E41" s="77" t="inlineStr">
        <is>
          <t>—</t>
        </is>
      </c>
      <c r="F41" s="77" t="inlineStr">
        <is>
          <t>—</t>
        </is>
      </c>
      <c r="G41" s="5">
        <f>G20 + G34 + G37</f>
        <v/>
      </c>
      <c r="H41" s="24" t="inlineStr">
        <is>
          <t>Total direct cost of production (W) before statutory overheads</t>
        </is>
      </c>
    </row>
    <row r="42" ht="24" customHeight="1">
      <c r="A42" s="60" t="inlineStr">
        <is>
          <t>X1</t>
        </is>
      </c>
      <c r="B42" s="20" t="inlineStr">
        <is>
          <t>Add Water Charges (1% on W)</t>
        </is>
      </c>
      <c r="C42" s="44" t="inlineStr">
        <is>
          <t>YES</t>
        </is>
      </c>
      <c r="D42" s="19" t="inlineStr">
        <is>
          <t>On "W"</t>
        </is>
      </c>
      <c r="E42" s="78">
        <f>G41</f>
        <v/>
      </c>
      <c r="F42" s="79">
        <f>Factor_Water</f>
        <v/>
      </c>
      <c r="G42" s="80">
        <f>IF(C42="YES", ROUND(E42 * F42, 2), 0)</f>
        <v/>
      </c>
      <c r="H42" s="24" t="inlineStr">
        <is>
          <t>Standard 1% Water charges.</t>
        </is>
      </c>
    </row>
    <row r="43" ht="24" customHeight="1">
      <c r="A43" s="2" t="inlineStr">
        <is>
          <t>X</t>
        </is>
      </c>
      <c r="B43" s="75" t="inlineStr">
        <is>
          <t>Subtotal "X" (W + Water Charges)</t>
        </is>
      </c>
      <c r="C43" s="76" t="inlineStr">
        <is>
          <t>—</t>
        </is>
      </c>
      <c r="D43" s="76" t="inlineStr">
        <is>
          <t>W + Water</t>
        </is>
      </c>
      <c r="E43" s="77" t="inlineStr">
        <is>
          <t>—</t>
        </is>
      </c>
      <c r="F43" s="77" t="inlineStr">
        <is>
          <t>—</t>
        </is>
      </c>
      <c r="G43" s="5">
        <f>G41 + G42</f>
        <v/>
      </c>
      <c r="H43" s="24" t="inlineStr">
        <is>
          <t>Compounded base for GST calculation</t>
        </is>
      </c>
    </row>
    <row r="44" ht="24" customHeight="1">
      <c r="A44" s="60" t="inlineStr">
        <is>
          <t>Y1</t>
        </is>
      </c>
      <c r="B44" s="20" t="inlineStr">
        <is>
          <t>Add GST on Works Contract</t>
        </is>
      </c>
      <c r="C44" s="44" t="inlineStr">
        <is>
          <t>YES</t>
        </is>
      </c>
      <c r="D44" s="19" t="inlineStr">
        <is>
          <t>On "X"</t>
        </is>
      </c>
      <c r="E44" s="78">
        <f>G43</f>
        <v/>
      </c>
      <c r="F44" s="79">
        <f>Factor_GST</f>
        <v/>
      </c>
      <c r="G44" s="80">
        <f>IF(C44="YES", ROUND(E44 * F44, 2), 0)</f>
        <v/>
      </c>
      <c r="H44" s="24" t="inlineStr">
        <is>
          <t>CPWD factor 0.1405.</t>
        </is>
      </c>
    </row>
    <row r="45" ht="24" customHeight="1">
      <c r="A45" s="2" t="inlineStr">
        <is>
          <t>Y</t>
        </is>
      </c>
      <c r="B45" s="75" t="inlineStr">
        <is>
          <t>Subtotal "Y" (X + GST)</t>
        </is>
      </c>
      <c r="C45" s="76" t="inlineStr">
        <is>
          <t>—</t>
        </is>
      </c>
      <c r="D45" s="76" t="inlineStr">
        <is>
          <t>X + GST</t>
        </is>
      </c>
      <c r="E45" s="77" t="inlineStr">
        <is>
          <t>—</t>
        </is>
      </c>
      <c r="F45" s="77" t="inlineStr">
        <is>
          <t>—</t>
        </is>
      </c>
      <c r="G45" s="5">
        <f>G43 + G44</f>
        <v/>
      </c>
      <c r="H45" s="24" t="inlineStr">
        <is>
          <t>Compounded base for Contractor Profit &amp; Overheads</t>
        </is>
      </c>
    </row>
    <row r="46" ht="24" customHeight="1">
      <c r="A46" s="60" t="inlineStr">
        <is>
          <t>Z1</t>
        </is>
      </c>
      <c r="B46" s="20" t="inlineStr">
        <is>
          <t>Add Contractor Profit &amp; Overheads (15% CPOH)</t>
        </is>
      </c>
      <c r="C46" s="44" t="inlineStr">
        <is>
          <t>YES</t>
        </is>
      </c>
      <c r="D46" s="19" t="inlineStr">
        <is>
          <t>On "Y"</t>
        </is>
      </c>
      <c r="E46" s="78">
        <f>G45</f>
        <v/>
      </c>
      <c r="F46" s="79">
        <f>Factor_CPOH</f>
        <v/>
      </c>
      <c r="G46" s="80">
        <f>IF(C46="YES", ROUND(E46 * F46, 2), 0)</f>
        <v/>
      </c>
      <c r="H46" s="24" t="inlineStr">
        <is>
          <t>15% Contractor Profit &amp; Overheads.</t>
        </is>
      </c>
    </row>
    <row r="47" ht="24" customHeight="1">
      <c r="A47" s="2" t="inlineStr">
        <is>
          <t>Z</t>
        </is>
      </c>
      <c r="B47" s="75" t="inlineStr">
        <is>
          <t>Subtotal "Z" (Y + CPOH)</t>
        </is>
      </c>
      <c r="C47" s="76" t="inlineStr">
        <is>
          <t>—</t>
        </is>
      </c>
      <c r="D47" s="76" t="inlineStr">
        <is>
          <t>Y + CPOH</t>
        </is>
      </c>
      <c r="E47" s="77" t="inlineStr">
        <is>
          <t>—</t>
        </is>
      </c>
      <c r="F47" s="77" t="inlineStr">
        <is>
          <t>—</t>
        </is>
      </c>
      <c r="G47" s="5">
        <f>G45 + G46</f>
        <v/>
      </c>
      <c r="H47" s="24" t="inlineStr">
        <is>
          <t>Compounded base for Labour Welfare Cess</t>
        </is>
      </c>
    </row>
    <row r="48" ht="24" customHeight="1">
      <c r="A48" s="60" t="inlineStr">
        <is>
          <t>Z2</t>
        </is>
      </c>
      <c r="B48" s="20" t="inlineStr">
        <is>
          <t>Add Labour Welfare Cess (1% BOCW Cess)</t>
        </is>
      </c>
      <c r="C48" s="44" t="inlineStr">
        <is>
          <t>YES</t>
        </is>
      </c>
      <c r="D48" s="19" t="inlineStr">
        <is>
          <t>On "Z"</t>
        </is>
      </c>
      <c r="E48" s="78">
        <f>G47</f>
        <v/>
      </c>
      <c r="F48" s="79">
        <f>Factor_Cess</f>
        <v/>
      </c>
      <c r="G48" s="80">
        <f>IF(C48="YES", ROUND(E48 * F48, 2), 0)</f>
        <v/>
      </c>
      <c r="H48" s="24" t="inlineStr">
        <is>
          <t>1% Labour Welfare Cess.</t>
        </is>
      </c>
    </row>
    <row r="49" ht="24" customHeight="1">
      <c r="A49" s="30" t="inlineStr">
        <is>
          <t>Cost</t>
        </is>
      </c>
      <c r="B49" s="82">
        <f>"Total Cost of Batch (" &amp; TEXT(D5, "0.00") &amp; " " &amp; F5 &amp; "):"</f>
        <v/>
      </c>
      <c r="C49" s="83" t="inlineStr">
        <is>
          <t>—</t>
        </is>
      </c>
      <c r="D49" s="83" t="inlineStr">
        <is>
          <t>Z + Cess</t>
        </is>
      </c>
      <c r="E49" s="84" t="inlineStr">
        <is>
          <t>—</t>
        </is>
      </c>
      <c r="F49" s="84" t="inlineStr">
        <is>
          <t>—</t>
        </is>
      </c>
      <c r="G49" s="73">
        <f>G47 + G48</f>
        <v/>
      </c>
      <c r="H49" s="24" t="inlineStr">
        <is>
          <t>Total evaluated cost for the batch size in Row 5</t>
        </is>
      </c>
    </row>
    <row r="50" ht="24" customHeight="1">
      <c r="A50" s="2" t="inlineStr">
        <is>
          <t>Rate</t>
        </is>
      </c>
      <c r="B50" s="75">
        <f>"Analyzed Unit Rate per 1.00 " &amp; F5 &amp; ":"</f>
        <v/>
      </c>
      <c r="C50" s="76" t="inlineStr">
        <is>
          <t>—</t>
        </is>
      </c>
      <c r="D50" s="76" t="inlineStr">
        <is>
          <t>Cost / Batch Qty</t>
        </is>
      </c>
      <c r="E50" s="77" t="inlineStr">
        <is>
          <t>—</t>
        </is>
      </c>
      <c r="F50" s="77" t="inlineStr">
        <is>
          <t>—</t>
        </is>
      </c>
      <c r="G50" s="5">
        <f>ROUND(G49 / D5, 2)</f>
        <v/>
      </c>
      <c r="H50" s="24" t="inlineStr">
        <is>
          <t>Calculated cost per standard unit of measurement</t>
        </is>
      </c>
    </row>
    <row r="51" ht="30" customHeight="1">
      <c r="A51" s="85" t="inlineStr">
        <is>
          <t>SAY</t>
        </is>
      </c>
      <c r="B51" s="86">
        <f>"OFFICIAL SAY RATE (₹ per " &amp; F5 &amp; "):"</f>
        <v/>
      </c>
      <c r="C51" s="87" t="inlineStr">
        <is>
          <t>—</t>
        </is>
      </c>
      <c r="D51" s="87" t="inlineStr">
        <is>
          <t>Final Say</t>
        </is>
      </c>
      <c r="E51" s="88" t="inlineStr">
        <is>
          <t>—</t>
        </is>
      </c>
      <c r="F51" s="88" t="inlineStr">
        <is>
          <t>—</t>
        </is>
      </c>
      <c r="G51" s="89">
        <f>ROUND(G50, 2)</f>
        <v/>
      </c>
      <c r="H51" s="24" t="inlineStr">
        <is>
          <t>OFFICIAL CPWD ROUNDED RATE FOR TENDER SCHEDULES &amp; ESTIMATES</t>
        </is>
      </c>
    </row>
    <row r="52"/>
    <row r="53"/>
    <row r="54" ht="24" customHeight="1">
      <c r="A54" s="42" t="inlineStr">
        <is>
          <t>5. RUNNING CUSTOM NON-DSR ITEMS LIBRARY FOR THIS TRADE</t>
        </is>
      </c>
    </row>
    <row r="55" ht="20" customHeight="1">
      <c r="A55" s="117"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107" t="inlineStr">
        <is>
          <t>12.1.1</t>
        </is>
      </c>
      <c r="B57" s="108" t="inlineStr">
        <is>
          <t>Corrugated G.S. sheet roofing 1.00 mm thick with accessories</t>
        </is>
      </c>
      <c r="C57" s="109" t="inlineStr">
        <is>
          <t>sqm</t>
        </is>
      </c>
      <c r="D57" s="109" t="n">
        <v>184.52</v>
      </c>
      <c r="E57" s="110" t="n">
        <v>152340</v>
      </c>
      <c r="F57" s="109" t="inlineStr">
        <is>
          <t>Full W-&gt;X-&gt;Y-&gt;Z</t>
        </is>
      </c>
      <c r="G57" s="110" t="n">
        <v>1104.5</v>
      </c>
      <c r="H57" s="111" t="n">
        <v>1104.5</v>
      </c>
    </row>
    <row r="58" ht="20" customHeight="1">
      <c r="A58" s="81" t="inlineStr">
        <is>
          <t>C-12.02</t>
        </is>
      </c>
      <c r="B58" s="103" t="inlineStr">
        <is>
          <t>(Available for new custom item)</t>
        </is>
      </c>
      <c r="C58" s="104" t="inlineStr">
        <is>
          <t>sqm</t>
        </is>
      </c>
      <c r="D58" s="104" t="n">
        <v>184.52</v>
      </c>
      <c r="E58" s="105" t="n"/>
      <c r="F58" s="104" t="inlineStr">
        <is>
          <t>Full W-&gt;X-&gt;Y-&gt;Z</t>
        </is>
      </c>
      <c r="G58" s="105" t="n"/>
      <c r="H58" s="106" t="n"/>
    </row>
    <row r="59" ht="20" customHeight="1">
      <c r="A59" s="107" t="inlineStr">
        <is>
          <t>C-12.03</t>
        </is>
      </c>
      <c r="B59" s="108" t="inlineStr">
        <is>
          <t>(Available for new custom item)</t>
        </is>
      </c>
      <c r="C59" s="109" t="inlineStr">
        <is>
          <t>sqm</t>
        </is>
      </c>
      <c r="D59" s="109" t="n">
        <v>184.52</v>
      </c>
      <c r="E59" s="110" t="n"/>
      <c r="F59" s="109" t="inlineStr">
        <is>
          <t>Full W-&gt;X-&gt;Y-&gt;Z</t>
        </is>
      </c>
      <c r="G59" s="110" t="n"/>
      <c r="H59" s="111" t="n"/>
    </row>
    <row r="60" ht="20" customHeight="1">
      <c r="A60" s="81" t="inlineStr">
        <is>
          <t>C-12.04</t>
        </is>
      </c>
      <c r="B60" s="103" t="inlineStr">
        <is>
          <t>(Available for new custom item)</t>
        </is>
      </c>
      <c r="C60" s="104" t="inlineStr">
        <is>
          <t>sqm</t>
        </is>
      </c>
      <c r="D60" s="104" t="n">
        <v>184.52</v>
      </c>
      <c r="E60" s="105" t="n"/>
      <c r="F60" s="104" t="inlineStr">
        <is>
          <t>Full W-&gt;X-&gt;Y-&gt;Z</t>
        </is>
      </c>
      <c r="G60" s="105" t="n"/>
      <c r="H60" s="106" t="n"/>
    </row>
    <row r="61" ht="20" customHeight="1">
      <c r="A61" s="107" t="inlineStr">
        <is>
          <t>C-12.05</t>
        </is>
      </c>
      <c r="B61" s="108" t="inlineStr">
        <is>
          <t>(Available for new custom item)</t>
        </is>
      </c>
      <c r="C61" s="109" t="inlineStr">
        <is>
          <t>sqm</t>
        </is>
      </c>
      <c r="D61" s="109" t="n">
        <v>184.52</v>
      </c>
      <c r="E61" s="110" t="n"/>
      <c r="F61" s="109" t="inlineStr">
        <is>
          <t>Full W-&gt;X-&gt;Y-&gt;Z</t>
        </is>
      </c>
      <c r="G61" s="110" t="n"/>
      <c r="H61" s="111" t="n"/>
    </row>
    <row r="62" ht="20" customHeight="1">
      <c r="A62" s="81" t="inlineStr">
        <is>
          <t>C-12.06</t>
        </is>
      </c>
      <c r="B62" s="103" t="inlineStr">
        <is>
          <t>(Available for new custom item)</t>
        </is>
      </c>
      <c r="C62" s="104" t="inlineStr">
        <is>
          <t>sqm</t>
        </is>
      </c>
      <c r="D62" s="104" t="n">
        <v>184.52</v>
      </c>
      <c r="E62" s="105" t="n"/>
      <c r="F62" s="104" t="inlineStr">
        <is>
          <t>Full W-&gt;X-&gt;Y-&gt;Z</t>
        </is>
      </c>
      <c r="G62" s="105" t="n"/>
      <c r="H62" s="106" t="n"/>
    </row>
    <row r="63" ht="20" customHeight="1">
      <c r="A63" s="107" t="inlineStr">
        <is>
          <t>C-12.07</t>
        </is>
      </c>
      <c r="B63" s="108" t="inlineStr">
        <is>
          <t>(Available for new custom item)</t>
        </is>
      </c>
      <c r="C63" s="109" t="inlineStr">
        <is>
          <t>sqm</t>
        </is>
      </c>
      <c r="D63" s="109" t="n">
        <v>184.52</v>
      </c>
      <c r="E63" s="110" t="n"/>
      <c r="F63" s="109" t="inlineStr">
        <is>
          <t>Full W-&gt;X-&gt;Y-&gt;Z</t>
        </is>
      </c>
      <c r="G63" s="110" t="n"/>
      <c r="H63" s="111" t="n"/>
    </row>
    <row r="64" ht="20" customHeight="1">
      <c r="A64" s="81" t="inlineStr">
        <is>
          <t>C-12.08</t>
        </is>
      </c>
      <c r="B64" s="103" t="inlineStr">
        <is>
          <t>(Available for new custom item)</t>
        </is>
      </c>
      <c r="C64" s="104" t="inlineStr">
        <is>
          <t>sqm</t>
        </is>
      </c>
      <c r="D64" s="104" t="n">
        <v>184.52</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2026-09-08T08:48:34Z</dcterms:created>
  <dcterms:modified xsi:type="dcterms:W3CDTF">2026-09-08T08:48:37Z</dcterms:modified>
</cp:coreProperties>
</file>