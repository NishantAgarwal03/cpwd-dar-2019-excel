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'01_Carriage_of_Materials'!$A$88:$A$114</definedName>
    <definedName name="CPWD_Carriage_Materials">'01_Carriage_of_Materials'!$B$88:$B$114</definedName>
    <definedName name="CPWD_Carriage_Scope">'01_Carriage_of_Materials'!$A$127:$A$132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0 &quot;km&quot;"/>
    <numFmt numFmtId="167" formatCode="0.00 &quot;km/h&quot;"/>
    <numFmt numFmtId="168" formatCode="0.00 &quot;hrs&quot;"/>
    <numFmt numFmtId="169" formatCode="0.00 &quot;trips&quot;"/>
    <numFmt numFmtId="170" formatCode="0.00 &quot;L&quot;"/>
    <numFmt numFmtId="171" formatCode="0.000 &quot;L&quot;"/>
    <numFmt numFmtId="172" formatCode="0.0 &quot;km&quot;"/>
    <numFmt numFmtId="173" formatCode="0.0"/>
    <numFmt numFmtId="174" formatCode="0.000"/>
    <numFmt numFmtId="175"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s>
  <cellStyleXfs count="1">
    <xf numFmtId="0" fontId="0" fillId="0" borderId="0"/>
  </cellStyleXfs>
  <cellXfs count="161">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0" borderId="2" applyAlignment="1" pivotButton="0" quotePrefix="0" xfId="0">
      <alignment horizontal="right" vertical="center"/>
    </xf>
    <xf numFmtId="0" fontId="2" fillId="6" borderId="2" applyAlignment="1" applyProtection="1" pivotButton="0" quotePrefix="0" xfId="0">
      <alignment horizontal="left" vertical="center"/>
      <protection locked="0" hidden="0"/>
    </xf>
    <xf numFmtId="0" fontId="2" fillId="0" borderId="0" applyAlignment="1" pivotButton="0" quotePrefix="0" xfId="0">
      <alignment horizontal="right" vertical="center"/>
    </xf>
    <xf numFmtId="164" fontId="2" fillId="6" borderId="0" applyAlignment="1" applyProtection="1" pivotButton="0" quotePrefix="0" xfId="0">
      <alignment horizontal="center" vertical="center"/>
      <protection locked="0" hidden="0"/>
    </xf>
    <xf numFmtId="0" fontId="3" fillId="6" borderId="2" applyAlignment="1" applyProtection="1" pivotButton="0" quotePrefix="0" xfId="0">
      <alignment horizontal="left" vertical="center" wrapText="1"/>
      <protection locked="0" hidden="0"/>
    </xf>
    <xf numFmtId="0" fontId="2" fillId="8" borderId="2" applyAlignment="1" pivotButton="0" quotePrefix="0" xfId="0">
      <alignment horizontal="right" vertical="center"/>
    </xf>
    <xf numFmtId="0" fontId="2" fillId="8" borderId="2" applyAlignment="1" pivotButton="0" quotePrefix="0" xfId="0">
      <alignment horizontal="left" vertical="center" wrapText="1"/>
    </xf>
    <xf numFmtId="166" fontId="2" fillId="6" borderId="2" applyAlignment="1" applyProtection="1" pivotButton="0" quotePrefix="0" xfId="0">
      <alignment horizontal="center" vertical="center"/>
      <protection locked="0" hidden="0"/>
    </xf>
    <xf numFmtId="167" fontId="2" fillId="6"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2" fontId="2" fillId="6" borderId="2" applyAlignment="1" applyProtection="1" pivotButton="0" quotePrefix="0" xfId="0">
      <alignment horizontal="center" vertical="center"/>
      <protection locked="0" hidden="0"/>
    </xf>
    <xf numFmtId="169" fontId="2" fillId="3" borderId="2" applyAlignment="1" pivotButton="0" quotePrefix="0" xfId="0">
      <alignment horizontal="center" vertical="center"/>
    </xf>
    <xf numFmtId="166" fontId="2" fillId="3" borderId="2" applyAlignment="1" pivotButton="0" quotePrefix="0" xfId="0">
      <alignment horizontal="center" vertical="center"/>
    </xf>
    <xf numFmtId="2"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70" fontId="2" fillId="3" borderId="2" applyAlignment="1" pivotButton="0" quotePrefix="0" xfId="0">
      <alignment horizontal="center" vertical="center"/>
    </xf>
    <xf numFmtId="171" fontId="2" fillId="3" borderId="2" applyAlignment="1" pivotButton="0" quotePrefix="0" xfId="0">
      <alignment horizontal="center" vertical="center"/>
    </xf>
    <xf numFmtId="165" fontId="0" fillId="6" borderId="2" applyAlignment="1" pivotButton="0" quotePrefix="0" xfId="0">
      <alignment horizontal="right" vertical="center"/>
    </xf>
    <xf numFmtId="0" fontId="7" fillId="0" borderId="2" applyAlignment="1" pivotButton="0" quotePrefix="0" xfId="0">
      <alignment horizontal="left" vertical="center"/>
    </xf>
    <xf numFmtId="165" fontId="2" fillId="4" borderId="2" applyAlignment="1" pivotButton="0" quotePrefix="0" xfId="0">
      <alignment horizontal="right" vertical="center"/>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0" fillId="3" borderId="2" applyAlignment="1" pivotButton="0" quotePrefix="0" xfId="0">
      <alignment horizontal="right" vertical="center"/>
    </xf>
    <xf numFmtId="0" fontId="0" fillId="3" borderId="2" applyAlignment="1" applyProtection="1" pivotButton="0" quotePrefix="0" xfId="0">
      <alignment horizontal="center" vertical="center"/>
      <protection locked="0" hidden="0"/>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8" borderId="0" applyAlignment="1" pivotButton="0" quotePrefix="0" xfId="0">
      <alignment horizontal="left" vertical="center"/>
    </xf>
    <xf numFmtId="1" fontId="2" fillId="3" borderId="2" applyAlignment="1" pivotButton="0" quotePrefix="0" xfId="0">
      <alignment horizontal="center" vertical="center"/>
    </xf>
    <xf numFmtId="172" fontId="3" fillId="3" borderId="2" applyAlignment="1" pivotButton="0" quotePrefix="0" xfId="0">
      <alignment horizontal="center" vertical="center"/>
    </xf>
    <xf numFmtId="173" fontId="3" fillId="3" borderId="2" applyAlignment="1" pivotButton="0" quotePrefix="0" xfId="0">
      <alignment horizontal="center" vertical="center"/>
    </xf>
    <xf numFmtId="2" fontId="3" fillId="3" borderId="2" applyAlignment="1" pivotButton="0" quotePrefix="0" xfId="0">
      <alignment horizontal="center" vertical="center"/>
    </xf>
    <xf numFmtId="174" fontId="3" fillId="3" borderId="2" applyAlignment="1" pivotButton="0" quotePrefix="0" xfId="0">
      <alignment horizontal="right" vertical="center"/>
    </xf>
    <xf numFmtId="164" fontId="3" fillId="3" borderId="2" applyAlignment="1" pivotButton="0" quotePrefix="0" xfId="0">
      <alignment horizontal="right" vertical="center"/>
    </xf>
    <xf numFmtId="172" fontId="3" fillId="4" borderId="2" applyAlignment="1" pivotButton="0" quotePrefix="0" xfId="0">
      <alignment horizontal="center" vertical="center"/>
    </xf>
    <xf numFmtId="173" fontId="3" fillId="4" borderId="2" applyAlignment="1" pivotButton="0" quotePrefix="0" xfId="0">
      <alignment horizontal="center" vertical="center"/>
    </xf>
    <xf numFmtId="2" fontId="3" fillId="4" borderId="2" applyAlignment="1" pivotButton="0" quotePrefix="0" xfId="0">
      <alignment horizontal="center" vertical="center"/>
    </xf>
    <xf numFmtId="174" fontId="3" fillId="4" borderId="2" applyAlignment="1" pivotButton="0" quotePrefix="0" xfId="0">
      <alignment horizontal="right" vertical="center"/>
    </xf>
    <xf numFmtId="0" fontId="7" fillId="8" borderId="2" applyAlignment="1" pivotButton="0" quotePrefix="0" xfId="0">
      <alignment horizontal="left" vertical="center"/>
    </xf>
    <xf numFmtId="0" fontId="7" fillId="3" borderId="2" applyAlignment="1" pivotButton="0" quotePrefix="0" xfId="0">
      <alignment horizontal="left" vertical="center"/>
    </xf>
    <xf numFmtId="0" fontId="0" fillId="4" borderId="2" applyAlignment="1" pivotButton="0" quotePrefix="0" xfId="0">
      <alignment horizontal="left" vertical="center"/>
    </xf>
    <xf numFmtId="2" fontId="0" fillId="4" borderId="2" applyAlignment="1" pivotButton="0" quotePrefix="0" xfId="0">
      <alignment horizontal="right" vertical="center"/>
    </xf>
    <xf numFmtId="0" fontId="0" fillId="4" borderId="2" applyAlignment="1" pivotButton="0" quotePrefix="0" xfId="0">
      <alignment horizontal="center" vertical="center"/>
    </xf>
    <xf numFmtId="0" fontId="7" fillId="4" borderId="2" applyAlignment="1" pivotButton="0" quotePrefix="0" xfId="0">
      <alignment horizontal="left" vertical="center"/>
    </xf>
    <xf numFmtId="2" fontId="2" fillId="3" borderId="2" applyAlignment="1" pivotButton="0" quotePrefix="0" xfId="0">
      <alignment horizontal="center" vertical="center"/>
    </xf>
    <xf numFmtId="0" fontId="0" fillId="0" borderId="6" pivotButton="0" quotePrefix="0" xfId="0"/>
    <xf numFmtId="0" fontId="0" fillId="0" borderId="7"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6"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0" fillId="3" borderId="3" pivotButton="0" quotePrefix="0" xfId="0"/>
    <xf numFmtId="0" fontId="7" fillId="3" borderId="2" applyAlignment="1" pivotButton="0" quotePrefix="0" xfId="0">
      <alignment horizontal="center"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7" fillId="10" borderId="2" applyAlignment="1" pivotButton="0" quotePrefix="0" xfId="0">
      <alignment horizontal="center" vertical="center"/>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174"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75"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markups over (W - Priming Coat), because priming coat (Item 13.50.3) already contains full statutory markups under Finishing.</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7" t="n">
        <v>3.1</v>
      </c>
      <c r="G3" s="47"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7" t="n">
        <v>7.4</v>
      </c>
      <c r="G5" s="47"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7" t="n">
        <v>2.73</v>
      </c>
      <c r="G7" s="47"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7" t="n">
        <v>10.79</v>
      </c>
      <c r="G9" s="47"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7" t="n">
        <v>16.12</v>
      </c>
      <c r="G11" s="47"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7" t="n">
        <v>18.85</v>
      </c>
      <c r="G13" s="47"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7" t="n">
        <v>26.91</v>
      </c>
      <c r="G15" s="47"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7" t="n">
        <v>80.73</v>
      </c>
      <c r="G17" s="47"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7" t="n">
        <v>5.46</v>
      </c>
      <c r="G19" s="47"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7" t="n">
        <v>31.46</v>
      </c>
      <c r="G21" s="47"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7" t="n">
        <v>47.58</v>
      </c>
      <c r="G23" s="47"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7" t="n">
        <v>33.15</v>
      </c>
      <c r="G25" s="47"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7" t="n">
        <v>1.82</v>
      </c>
      <c r="G27" s="47"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7" t="n">
        <v>3.64</v>
      </c>
      <c r="G29" s="47"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7" t="n">
        <v>33.15</v>
      </c>
      <c r="G31" s="47"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47" t="n">
        <v>13.52</v>
      </c>
      <c r="G33" s="47"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47" t="n">
        <v>13.52</v>
      </c>
      <c r="G35" s="47"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7" t="n">
        <v>1.82</v>
      </c>
      <c r="G37" s="47"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7" t="n">
        <v>5.46</v>
      </c>
      <c r="G39" s="47"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7" t="n">
        <v>26.91</v>
      </c>
      <c r="G41" s="47"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7" t="n">
        <v>35.88</v>
      </c>
      <c r="G43" s="47"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7" t="n">
        <v>17.94</v>
      </c>
      <c r="G45" s="47"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7" t="n">
        <v>26.9</v>
      </c>
      <c r="G47" s="47"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7" t="n">
        <v>26.91</v>
      </c>
      <c r="G49" s="47"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7" t="n">
        <v>26.91</v>
      </c>
      <c r="G51" s="47"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7" t="n">
        <v>26.91</v>
      </c>
      <c r="G53" s="47"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7" t="n">
        <v>26.91</v>
      </c>
      <c r="G55" s="47"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7" t="n">
        <v>26.91</v>
      </c>
      <c r="G57" s="47"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7" t="n">
        <v>26.91</v>
      </c>
      <c r="G59" s="47"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7" t="n">
        <v>26.91</v>
      </c>
      <c r="G61" s="47"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7" t="n">
        <v>26.91</v>
      </c>
      <c r="G63" s="47"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7" t="n">
        <v>26.91</v>
      </c>
      <c r="G65" s="47"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7" t="n">
        <v>26.91</v>
      </c>
      <c r="G67" s="47"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7" t="n">
        <v>26.91</v>
      </c>
      <c r="G69" s="47"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7" t="n">
        <v>26.91</v>
      </c>
      <c r="G71" s="47"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7" t="n">
        <v>26.91</v>
      </c>
      <c r="G73" s="47"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7" t="n">
        <v>26.91</v>
      </c>
      <c r="G75" s="47"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7" t="n">
        <v>26.91</v>
      </c>
      <c r="G77" s="47"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7" t="n">
        <v>26.91</v>
      </c>
      <c r="G79" s="47"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7" t="n">
        <v>6.45</v>
      </c>
      <c r="G81" s="47"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7" t="n">
        <v>5.2</v>
      </c>
      <c r="G83" s="47"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7" t="n">
        <v>14.3</v>
      </c>
      <c r="G85" s="47"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7" t="n">
        <v>13.52</v>
      </c>
      <c r="G87" s="47"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7" t="n">
        <v>13.52</v>
      </c>
      <c r="G89" s="47"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7" t="n">
        <v>8.970000000000001</v>
      </c>
      <c r="G91" s="47"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7" t="n">
        <v>14.3</v>
      </c>
      <c r="G93" s="47"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7" t="n">
        <v>14.3</v>
      </c>
      <c r="G95" s="47"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7" t="n">
        <v>14.3</v>
      </c>
      <c r="G97" s="47"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7" t="n">
        <v>13.52</v>
      </c>
      <c r="G99" s="47"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7" t="n">
        <v>14.3</v>
      </c>
      <c r="G101" s="47"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7" t="n">
        <v>52</v>
      </c>
      <c r="G103" s="47"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7" t="n">
        <v>27.62</v>
      </c>
      <c r="G105" s="47"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7" t="n">
        <v>52</v>
      </c>
      <c r="G107" s="47"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7" t="n">
        <v>39</v>
      </c>
      <c r="G109" s="47"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7" t="n">
        <v>30.54</v>
      </c>
      <c r="G111" s="47"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7" t="n">
        <v>1.95</v>
      </c>
      <c r="G113" s="47"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7" t="n">
        <v>33.15</v>
      </c>
      <c r="G115" s="47"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7" t="n">
        <v>6.76</v>
      </c>
      <c r="G117" s="47"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47" t="n">
        <v>13</v>
      </c>
      <c r="G119" s="47"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7" t="n">
        <v>13</v>
      </c>
      <c r="G121" s="47"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47" t="n">
        <v>13</v>
      </c>
      <c r="G123" s="47"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7" t="n">
        <v>13</v>
      </c>
      <c r="G125" s="47"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7" t="n">
        <v>14.3</v>
      </c>
      <c r="G127" s="47"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7" t="n">
        <v>420.03</v>
      </c>
      <c r="G129" s="47"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7" t="n">
        <v>401.89</v>
      </c>
      <c r="G131" s="47"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7" t="n">
        <v>9.49</v>
      </c>
      <c r="G133" s="47"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7" t="n">
        <v>52</v>
      </c>
      <c r="G135" s="47"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7" t="n">
        <v>27.62</v>
      </c>
      <c r="G137" s="47"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7" t="n">
        <v>52</v>
      </c>
      <c r="G139" s="47"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47" t="n">
        <v>78</v>
      </c>
      <c r="G141" s="47"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7" t="n">
        <v>22.1</v>
      </c>
      <c r="G143" s="47"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7" t="n">
        <v>49.7</v>
      </c>
      <c r="G145" s="47"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47" t="n">
        <v>39</v>
      </c>
      <c r="G147" s="47"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7" t="n">
        <v>27.62</v>
      </c>
      <c r="G149" s="47"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7" t="n">
        <v>16.12</v>
      </c>
      <c r="G151" s="47"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7" t="n">
        <v>134.55</v>
      </c>
      <c r="G153" s="47"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7" t="n">
        <v>78</v>
      </c>
      <c r="G155" s="47"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7" t="n">
        <v>80.73</v>
      </c>
      <c r="G157" s="47"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7" t="n">
        <v>52</v>
      </c>
      <c r="G159" s="47"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7" t="n">
        <v>5.2</v>
      </c>
      <c r="G161" s="47"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7" t="n">
        <v>6.5</v>
      </c>
      <c r="G163" s="47"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7" t="n">
        <v>5.2</v>
      </c>
      <c r="G165" s="47"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47" t="n">
        <v>78</v>
      </c>
      <c r="G167" s="47"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7" t="n">
        <v>11.05</v>
      </c>
      <c r="G169" s="47"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7" t="n">
        <v>26</v>
      </c>
      <c r="G171" s="47"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7" t="n">
        <v>26</v>
      </c>
      <c r="G173" s="47"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7" t="n">
        <v>26</v>
      </c>
      <c r="G175" s="47"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7" t="n">
        <v>2.73</v>
      </c>
      <c r="G177" s="47"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7" t="n">
        <v>89.7</v>
      </c>
      <c r="G179" s="47"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7" t="n">
        <v>4.42</v>
      </c>
      <c r="G181" s="47"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7" t="n">
        <v>17.94</v>
      </c>
      <c r="G183" s="47"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47" t="n">
        <v>17.94</v>
      </c>
      <c r="G185" s="47"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7" t="n">
        <v>6.2</v>
      </c>
      <c r="G187" s="47"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7" t="n">
        <v>3.64</v>
      </c>
      <c r="G189" s="47"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7" t="n">
        <v>1.82</v>
      </c>
      <c r="G191" s="47"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7" t="n">
        <v>13.52</v>
      </c>
      <c r="G193" s="47"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7" t="n">
        <v>26.91</v>
      </c>
      <c r="G195" s="47"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7" t="n">
        <v>26</v>
      </c>
      <c r="G197" s="47"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7" t="n">
        <v>26</v>
      </c>
      <c r="G199" s="47"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7" t="n">
        <v>26</v>
      </c>
      <c r="G201" s="47"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7" t="n">
        <v>26</v>
      </c>
      <c r="G203" s="47"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7" t="n">
        <v>26</v>
      </c>
      <c r="G205" s="47"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7" t="n">
        <v>26.91</v>
      </c>
      <c r="G207" s="47"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7" t="n">
        <v>26.91</v>
      </c>
      <c r="G209" s="47"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7" t="n">
        <v>26.91</v>
      </c>
      <c r="G211" s="47"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7" t="n">
        <v>13.52</v>
      </c>
      <c r="G213" s="47"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7" t="n">
        <v>26.91</v>
      </c>
      <c r="G215" s="47"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7" t="n">
        <v>156</v>
      </c>
      <c r="G217" s="47"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7" t="n">
        <v>26</v>
      </c>
      <c r="G219" s="47"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7" t="n">
        <v>26.91</v>
      </c>
      <c r="G221" s="47"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7" t="n">
        <v>11.7</v>
      </c>
      <c r="G223" s="47"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7" t="n">
        <v>5.33</v>
      </c>
      <c r="G225" s="47"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7" t="n">
        <v>6.24</v>
      </c>
      <c r="G227" s="47"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7" t="n">
        <v>121.16</v>
      </c>
      <c r="G229" s="47"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7" t="n">
        <v>40.3</v>
      </c>
      <c r="G231" s="47"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7" t="n">
        <v>1.82</v>
      </c>
      <c r="G233" s="47"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7" t="n">
        <v>40.3</v>
      </c>
      <c r="G235" s="47"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7" t="n">
        <v>26.91</v>
      </c>
      <c r="G237" s="47"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7" t="n">
        <v>13</v>
      </c>
      <c r="G239" s="47"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7" t="n">
        <v>13</v>
      </c>
      <c r="G241" s="47"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7" t="n">
        <v>13</v>
      </c>
      <c r="G243" s="47"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7" t="n">
        <v>3</v>
      </c>
      <c r="G245" s="47"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7" t="n">
        <v>17.77</v>
      </c>
      <c r="G247" s="47"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7" t="n">
        <v>25.17</v>
      </c>
      <c r="G249" s="47"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7" t="n">
        <v>29.61</v>
      </c>
      <c r="G251" s="47"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7" t="n">
        <v>32.57</v>
      </c>
      <c r="G253" s="47"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7" t="n">
        <v>32.57</v>
      </c>
      <c r="G255" s="47"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7" t="n">
        <v>2.34</v>
      </c>
      <c r="G257" s="47"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47" t="n">
        <v>100.67</v>
      </c>
      <c r="G259" s="47"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7" t="n">
        <v>23530</v>
      </c>
      <c r="G261" s="47"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7" t="n">
        <v>19200</v>
      </c>
      <c r="G263" s="47"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7" t="n">
        <v>2.73</v>
      </c>
      <c r="G265" s="47"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7" t="n">
        <v>2.73</v>
      </c>
      <c r="G267" s="47"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7" t="n">
        <v>22.36</v>
      </c>
      <c r="G269" s="47"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7" t="n">
        <v>16.38</v>
      </c>
      <c r="G271" s="47"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7" t="n">
        <v>22.36</v>
      </c>
      <c r="G273" s="47"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7" t="n">
        <v>22.36</v>
      </c>
      <c r="G275" s="47"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7" t="n">
        <v>4.55</v>
      </c>
      <c r="G277" s="47"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7" t="n">
        <v>2.73</v>
      </c>
      <c r="G279" s="47"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7" t="n">
        <v>2.73</v>
      </c>
      <c r="G281" s="47"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7" t="n">
        <v>134.55</v>
      </c>
      <c r="G283" s="47"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7" t="n">
        <v>13.52</v>
      </c>
      <c r="G285" s="47"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7" t="n">
        <v>13.52</v>
      </c>
      <c r="G287" s="47"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7" t="n">
        <v>4.55</v>
      </c>
      <c r="G289" s="47"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7" t="n">
        <v>4.55</v>
      </c>
      <c r="G291" s="47"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7" t="n">
        <v>33.8</v>
      </c>
      <c r="G293" s="47"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7" t="n">
        <v>18.85</v>
      </c>
      <c r="G295" s="47"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7" t="n">
        <v>18.85</v>
      </c>
      <c r="G297" s="47"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7" t="n">
        <v>20.67</v>
      </c>
      <c r="G299" s="47"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7" t="n">
        <v>16.38</v>
      </c>
      <c r="G301" s="47"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7" t="n">
        <v>16.38</v>
      </c>
      <c r="G303" s="47"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7" t="n">
        <v>22.36</v>
      </c>
      <c r="G305" s="47"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7" t="n">
        <v>16.38</v>
      </c>
      <c r="G307" s="47"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7" t="n">
        <v>16.38</v>
      </c>
      <c r="G309" s="47"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7" t="n">
        <v>22.36</v>
      </c>
      <c r="G311" s="47"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7" t="n">
        <v>16.38</v>
      </c>
      <c r="G313" s="47"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7" t="n">
        <v>16.38</v>
      </c>
      <c r="G315" s="47"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7" t="n">
        <v>22.36</v>
      </c>
      <c r="G317" s="47"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7" t="n">
        <v>8.970000000000001</v>
      </c>
      <c r="G319" s="47"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7" t="n">
        <v>8.970000000000001</v>
      </c>
      <c r="G321" s="47"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7" t="n">
        <v>22.36</v>
      </c>
      <c r="G323" s="47"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7" t="n">
        <v>22.36</v>
      </c>
      <c r="G325" s="47"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7" t="n">
        <v>22.36</v>
      </c>
      <c r="G327" s="47"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7" t="n">
        <v>22.36</v>
      </c>
      <c r="G329" s="47"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7" t="n">
        <v>2.73</v>
      </c>
      <c r="G331" s="47"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7" t="n">
        <v>13.52</v>
      </c>
      <c r="G333" s="47"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7" t="n">
        <v>2.73</v>
      </c>
      <c r="G335" s="47"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7" t="n">
        <v>13.52</v>
      </c>
      <c r="G337" s="47"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7" t="n">
        <v>45.76</v>
      </c>
      <c r="G339" s="47"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7" t="n">
        <v>56.55</v>
      </c>
      <c r="G341" s="47"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7" t="n">
        <v>13.52</v>
      </c>
      <c r="G343" s="47"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7" t="n">
        <v>37.7</v>
      </c>
      <c r="G345" s="47"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7" t="n">
        <v>2.73</v>
      </c>
      <c r="G347" s="47"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47" t="n">
        <v>2.73</v>
      </c>
      <c r="G349" s="47"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47" t="n">
        <v>2.73</v>
      </c>
      <c r="G351" s="47"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47" t="n">
        <v>2.73</v>
      </c>
      <c r="G353" s="47"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47" t="n">
        <v>2.73</v>
      </c>
      <c r="G355" s="47"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7" t="n">
        <v>13.52</v>
      </c>
      <c r="G357" s="47"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47" t="n">
        <v>2.73</v>
      </c>
      <c r="G359" s="47"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7" t="n">
        <v>13.52</v>
      </c>
      <c r="G361" s="47"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47" t="n">
        <v>2.73</v>
      </c>
      <c r="G363" s="47"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7" t="n">
        <v>13.52</v>
      </c>
      <c r="G365" s="47"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47" t="n">
        <v>2.73</v>
      </c>
      <c r="G367" s="47"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7" t="n">
        <v>13.52</v>
      </c>
      <c r="G369" s="47"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47" t="n">
        <v>2.73</v>
      </c>
      <c r="G371" s="47"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7" t="n">
        <v>33.15</v>
      </c>
      <c r="G373" s="47"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47" t="n">
        <v>2.73</v>
      </c>
      <c r="G375" s="47"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7" t="n">
        <v>33.15</v>
      </c>
      <c r="G377" s="47"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47" t="n">
        <v>2.73</v>
      </c>
      <c r="G379" s="47"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7" t="n">
        <v>33.15</v>
      </c>
      <c r="G381" s="47"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47" t="n">
        <v>2.73</v>
      </c>
      <c r="G383" s="47"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7" t="n">
        <v>33.15</v>
      </c>
      <c r="G385" s="47"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47" t="n">
        <v>2.73</v>
      </c>
      <c r="G387" s="47"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47" t="n">
        <v>2.73</v>
      </c>
      <c r="G389" s="47"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47" t="n">
        <v>2.73</v>
      </c>
      <c r="G391" s="47"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47" t="n">
        <v>2.73</v>
      </c>
      <c r="G393" s="47"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7" t="n">
        <v>8.970000000000001</v>
      </c>
      <c r="G395" s="47"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7" t="n">
        <v>134.55</v>
      </c>
      <c r="G397" s="47"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7" t="n">
        <v>2.73</v>
      </c>
      <c r="G399" s="47"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7" t="n">
        <v>8.06</v>
      </c>
      <c r="G401" s="47"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7" t="n">
        <v>8.06</v>
      </c>
      <c r="G403" s="47"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7" t="n">
        <v>33.15</v>
      </c>
      <c r="G405" s="47"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7" t="n">
        <v>9.1</v>
      </c>
      <c r="G407" s="47"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7" t="n">
        <v>67.34</v>
      </c>
      <c r="G409" s="47"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7" t="n">
        <v>26.91</v>
      </c>
      <c r="G411" s="47"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7" t="n">
        <v>104</v>
      </c>
      <c r="G413" s="47"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7" t="n">
        <v>6.24</v>
      </c>
      <c r="G415" s="47"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7" t="n">
        <v>16.12</v>
      </c>
      <c r="G417" s="47"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7" t="n">
        <v>53.82</v>
      </c>
      <c r="G419" s="47"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7" t="n">
        <v>26.91</v>
      </c>
      <c r="G421" s="47"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7" t="n">
        <v>53.82</v>
      </c>
      <c r="G423" s="47"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7" t="n">
        <v>26.91</v>
      </c>
      <c r="G425" s="47"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7" t="n">
        <v>13.52</v>
      </c>
      <c r="G427" s="47"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7" t="n">
        <v>45.14</v>
      </c>
      <c r="G429" s="47"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7" t="n">
        <v>5.33</v>
      </c>
      <c r="G431" s="47"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7" t="n">
        <v>80.73</v>
      </c>
      <c r="G433" s="47"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7" t="n">
        <v>260</v>
      </c>
      <c r="G435" s="47"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7" t="n">
        <v>25.74</v>
      </c>
      <c r="G437" s="47"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7" t="n">
        <v>171.6</v>
      </c>
      <c r="G439" s="47"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7" t="n">
        <v>26.91</v>
      </c>
      <c r="G441" s="47"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7" t="n">
        <v>16.25</v>
      </c>
      <c r="G443" s="47"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7" t="n">
        <v>32.5</v>
      </c>
      <c r="G445" s="47"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7" t="n">
        <v>16.25</v>
      </c>
      <c r="G447" s="47"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7" t="n">
        <v>65</v>
      </c>
      <c r="G449" s="47"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7" t="n">
        <v>117</v>
      </c>
      <c r="G451" s="47"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7" t="n">
        <v>15.3</v>
      </c>
      <c r="G453" s="47"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7" t="n">
        <v>65</v>
      </c>
      <c r="G455" s="47"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7" t="n">
        <v>32.5</v>
      </c>
      <c r="G457" s="47"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7" t="n">
        <v>32.5</v>
      </c>
      <c r="G459" s="47"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7" t="n">
        <v>16.9</v>
      </c>
      <c r="G461" s="47"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7" t="n">
        <v>16.9</v>
      </c>
      <c r="G463" s="47"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7" t="n">
        <v>43.16</v>
      </c>
      <c r="G465" s="47"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7" t="n">
        <v>21.58</v>
      </c>
      <c r="G467" s="47"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7" t="n">
        <v>21.58</v>
      </c>
      <c r="G469" s="47"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7" t="n">
        <v>13.39</v>
      </c>
      <c r="G471" s="47"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7" t="n">
        <v>19.76</v>
      </c>
      <c r="G473" s="47"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7" t="n">
        <v>19.76</v>
      </c>
      <c r="G475" s="47"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7" t="n">
        <v>19.76</v>
      </c>
      <c r="G477" s="47"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7" t="n">
        <v>19.76</v>
      </c>
      <c r="G479" s="47"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7" t="n">
        <v>19.76</v>
      </c>
      <c r="G481" s="47"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7" t="n">
        <v>19.76</v>
      </c>
      <c r="G483" s="47"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7" t="n">
        <v>19.76</v>
      </c>
      <c r="G485" s="47"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7" t="n">
        <v>19.76</v>
      </c>
      <c r="G487" s="47"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7" t="n">
        <v>19.76</v>
      </c>
      <c r="G489" s="47"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7" t="n">
        <v>19.76</v>
      </c>
      <c r="G491" s="47"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7" t="n">
        <v>19.76</v>
      </c>
      <c r="G493" s="47"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7" t="n">
        <v>19.76</v>
      </c>
      <c r="G495" s="47"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7" t="n">
        <v>19.76</v>
      </c>
      <c r="G497" s="47"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7" t="n">
        <v>19.76</v>
      </c>
      <c r="G499" s="47"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7" t="n">
        <v>19.76</v>
      </c>
      <c r="G501" s="47"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7" t="n">
        <v>19.76</v>
      </c>
      <c r="G503" s="47"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7" t="n">
        <v>19.76</v>
      </c>
      <c r="G505" s="47"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7" t="n">
        <v>19.76</v>
      </c>
      <c r="G507" s="47"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7" t="n">
        <v>19.76</v>
      </c>
      <c r="G509" s="47"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7" t="n">
        <v>19.76</v>
      </c>
      <c r="G511" s="47"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47" t="n">
        <v>19.76</v>
      </c>
      <c r="G513" s="47"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7" t="n">
        <v>19.76</v>
      </c>
      <c r="G515" s="47"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7" t="n">
        <v>3.9</v>
      </c>
      <c r="G517" s="47"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7" t="n">
        <v>40.43</v>
      </c>
      <c r="G519" s="47"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7" t="n">
        <v>40.43</v>
      </c>
      <c r="G521" s="47"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7" t="n">
        <v>215.28</v>
      </c>
      <c r="G523" s="47"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7" t="n">
        <v>19.76</v>
      </c>
      <c r="G525" s="47"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7" t="n">
        <v>68.25</v>
      </c>
      <c r="G527" s="47"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7" t="n">
        <v>51.1</v>
      </c>
      <c r="G529" s="47"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47" t="n">
        <v>80.73</v>
      </c>
      <c r="G531" s="47"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7" t="n">
        <v>20.8</v>
      </c>
      <c r="G533" s="47"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7" t="n">
        <v>20.8</v>
      </c>
      <c r="G535" s="47"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7" t="n">
        <v>26</v>
      </c>
      <c r="G537" s="47"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7" t="n">
        <v>53.82</v>
      </c>
      <c r="G539" s="47"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7" t="n">
        <v>53.82</v>
      </c>
      <c r="G541" s="47"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7" t="n">
        <v>26.91</v>
      </c>
      <c r="G543" s="47"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7" t="n">
        <v>26.91</v>
      </c>
      <c r="G545" s="47"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7" t="n">
        <v>71.5</v>
      </c>
      <c r="G547" s="47"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7" t="n">
        <v>53.82</v>
      </c>
      <c r="G549" s="47"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7" t="n">
        <v>53.82</v>
      </c>
      <c r="G551" s="47"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7" t="n">
        <v>53.82</v>
      </c>
      <c r="G553" s="47"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7" t="n">
        <v>26.91</v>
      </c>
      <c r="G555" s="47"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7" t="n">
        <v>1895.3</v>
      </c>
      <c r="G557" s="47"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7" t="n">
        <v>602.25</v>
      </c>
      <c r="G559" s="47"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7" t="n">
        <v>328.15</v>
      </c>
      <c r="G561" s="47"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7" t="n">
        <v>53.82</v>
      </c>
      <c r="G563" s="47"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7" t="n">
        <v>53.82</v>
      </c>
      <c r="G565" s="47"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7" t="n">
        <v>35.88</v>
      </c>
      <c r="G567" s="47"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7" t="n">
        <v>9.1</v>
      </c>
      <c r="G569" s="47"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7" t="n">
        <v>9.1</v>
      </c>
      <c r="G571" s="47"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7" t="n">
        <v>35.88</v>
      </c>
      <c r="G573" s="47"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7" t="n">
        <v>35.88</v>
      </c>
      <c r="G575" s="47"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7" t="n">
        <v>35.88</v>
      </c>
      <c r="G577" s="47"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7" t="n">
        <v>8.970000000000001</v>
      </c>
      <c r="G579" s="47"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7" t="n">
        <v>4.42</v>
      </c>
      <c r="G581" s="47"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7" t="n">
        <v>4.42</v>
      </c>
      <c r="G583" s="47"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7" t="n">
        <v>4.42</v>
      </c>
      <c r="G585" s="47"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7" t="n">
        <v>4.42</v>
      </c>
      <c r="G587" s="47"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7" t="n">
        <v>4.42</v>
      </c>
      <c r="G589" s="47"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7" t="n">
        <v>25.47</v>
      </c>
      <c r="G591" s="47"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7" t="n">
        <v>40.43</v>
      </c>
      <c r="G593" s="47"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7" t="n">
        <v>9.1</v>
      </c>
      <c r="G595" s="47"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7" t="n">
        <v>9.1</v>
      </c>
      <c r="G597" s="47"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7" t="n">
        <v>40.43</v>
      </c>
      <c r="G599" s="47"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7" t="n">
        <v>35.88</v>
      </c>
      <c r="G601" s="47"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7" t="n">
        <v>40.43</v>
      </c>
      <c r="G603" s="47"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7" t="n">
        <v>40.43</v>
      </c>
      <c r="G605" s="47"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7" t="n">
        <v>26.91</v>
      </c>
      <c r="G607" s="47"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7" t="n">
        <v>7.8</v>
      </c>
      <c r="G609" s="47"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7" t="n">
        <v>8.970000000000001</v>
      </c>
      <c r="G611" s="47"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7" t="n">
        <v>33.8</v>
      </c>
      <c r="G613" s="47"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7" t="n">
        <v>8.970000000000001</v>
      </c>
      <c r="G615" s="47"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7" t="n">
        <v>33.8</v>
      </c>
      <c r="G617" s="47"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7" t="n">
        <v>9.1</v>
      </c>
      <c r="G619" s="47"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7" t="n">
        <v>33.8</v>
      </c>
      <c r="G621" s="47"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7" t="n">
        <v>8.970000000000001</v>
      </c>
      <c r="G623" s="47"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7" t="n">
        <v>33.8</v>
      </c>
      <c r="G625" s="47"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7" t="n">
        <v>35.88</v>
      </c>
      <c r="G627" s="47"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7" t="n">
        <v>8.06</v>
      </c>
      <c r="G629" s="47"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7" t="n">
        <v>8.06</v>
      </c>
      <c r="G631" s="47"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7" t="n">
        <v>4.03</v>
      </c>
      <c r="G633" s="47"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7" t="n">
        <v>1.56</v>
      </c>
      <c r="G635" s="47"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7" t="n">
        <v>2.73</v>
      </c>
      <c r="G637" s="47"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7" t="n">
        <v>4.03</v>
      </c>
      <c r="G639" s="47"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7" t="n">
        <v>1.56</v>
      </c>
      <c r="G641" s="47"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7" t="n">
        <v>1.56</v>
      </c>
      <c r="G643" s="47"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7" t="n">
        <v>1.56</v>
      </c>
      <c r="G645" s="47"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7" t="n">
        <v>1.56</v>
      </c>
      <c r="G647" s="47"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7" t="n">
        <v>1.56</v>
      </c>
      <c r="G649" s="47"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7" t="n">
        <v>19.76</v>
      </c>
      <c r="G651" s="47"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7" t="n">
        <v>19.76</v>
      </c>
      <c r="G653" s="47"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7" t="n">
        <v>26.91</v>
      </c>
      <c r="G655" s="47"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7" t="n">
        <v>19.76</v>
      </c>
      <c r="G657" s="47"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7" t="n">
        <v>5.46</v>
      </c>
      <c r="G659" s="47"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7" t="n">
        <v>26.91</v>
      </c>
      <c r="G661" s="47"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7" t="n">
        <v>6.37</v>
      </c>
      <c r="G663" s="47"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7" t="n">
        <v>3.64</v>
      </c>
      <c r="G665" s="47"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7" t="n">
        <v>3.64</v>
      </c>
      <c r="G667" s="47"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7" t="n">
        <v>3.64</v>
      </c>
      <c r="G669" s="47"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7" t="n">
        <v>3.64</v>
      </c>
      <c r="G671" s="47"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7" t="n">
        <v>3.64</v>
      </c>
      <c r="G673" s="47"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7" t="n">
        <v>3.64</v>
      </c>
      <c r="G675" s="47"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7" t="n">
        <v>3.64</v>
      </c>
      <c r="G677" s="47"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7" t="n">
        <v>2.73</v>
      </c>
      <c r="G679" s="47"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7" t="n">
        <v>52</v>
      </c>
      <c r="G681" s="47"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7" t="n">
        <v>52</v>
      </c>
      <c r="G683" s="47"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7" t="n">
        <v>52</v>
      </c>
      <c r="G685" s="47"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7" t="n">
        <v>52</v>
      </c>
      <c r="G687" s="47"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7" t="n">
        <v>52</v>
      </c>
      <c r="G689" s="47"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7" t="n">
        <v>20.25</v>
      </c>
      <c r="G691" s="47"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7" t="n">
        <v>2.6</v>
      </c>
      <c r="G693" s="47"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7" t="n">
        <v>2.6</v>
      </c>
      <c r="G695" s="47"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7" t="n">
        <v>1.04</v>
      </c>
      <c r="G697" s="47"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7" t="n">
        <v>4.68</v>
      </c>
      <c r="G699" s="47"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7" t="n">
        <v>20.36</v>
      </c>
      <c r="G701" s="47"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7" t="n">
        <v>7.8</v>
      </c>
      <c r="G703" s="47"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7" t="n">
        <v>20.36</v>
      </c>
      <c r="G705" s="47"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7" t="n">
        <v>20.36</v>
      </c>
      <c r="G707" s="47"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7" t="n">
        <v>7.8</v>
      </c>
      <c r="G709" s="47"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7" t="n">
        <v>20.36</v>
      </c>
      <c r="G711" s="47"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7" t="n">
        <v>4.42</v>
      </c>
      <c r="G713" s="47"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7" t="n">
        <v>195</v>
      </c>
      <c r="G715" s="47"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7" t="n">
        <v>195</v>
      </c>
      <c r="G717" s="47"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7" t="n">
        <v>143</v>
      </c>
      <c r="G719" s="47"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7" t="n">
        <v>65</v>
      </c>
      <c r="G721" s="47"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7" t="n">
        <v>20.8</v>
      </c>
      <c r="G723" s="47"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7" t="n">
        <v>20.8</v>
      </c>
      <c r="G725" s="47"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7" t="n">
        <v>20.8</v>
      </c>
      <c r="G727" s="47"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7" t="n">
        <v>26</v>
      </c>
      <c r="G729" s="47"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7" t="n">
        <v>52</v>
      </c>
      <c r="G731" s="47"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7" t="n">
        <v>8.970000000000001</v>
      </c>
      <c r="G733" s="47"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7" t="n">
        <v>33.8</v>
      </c>
      <c r="G735" s="47"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7" t="n">
        <v>8.970000000000001</v>
      </c>
      <c r="G737" s="47"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7" t="n">
        <v>33.8</v>
      </c>
      <c r="G739" s="47"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7" t="n">
        <v>8.970000000000001</v>
      </c>
      <c r="G741" s="47"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7" t="n">
        <v>33.8</v>
      </c>
      <c r="G743" s="47"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7" t="n">
        <v>9.1</v>
      </c>
      <c r="G745" s="47"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7" t="n">
        <v>33.8</v>
      </c>
      <c r="G747" s="47"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7" t="n">
        <v>19.76</v>
      </c>
      <c r="G749" s="47"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7" t="n">
        <v>4.23</v>
      </c>
      <c r="G751" s="47"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7" t="n">
        <v>10</v>
      </c>
      <c r="G753" s="47"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7" t="n">
        <v>10</v>
      </c>
      <c r="G755" s="47"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7" t="n">
        <v>40.1</v>
      </c>
      <c r="G757" s="47"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7" t="n">
        <v>11.65</v>
      </c>
      <c r="G759" s="47"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7" t="n">
        <v>30.35</v>
      </c>
      <c r="G761" s="47"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7" t="n">
        <v>20.36</v>
      </c>
      <c r="G763" s="47"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7" t="n">
        <v>20.36</v>
      </c>
      <c r="G765" s="47"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7" t="n">
        <v>170</v>
      </c>
      <c r="G767" s="47"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7" t="n">
        <v>170</v>
      </c>
      <c r="G769" s="47"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7" t="n">
        <v>170</v>
      </c>
      <c r="G771" s="47"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7" t="n">
        <v>170</v>
      </c>
      <c r="G773" s="47"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7" t="n">
        <v>170</v>
      </c>
      <c r="G775" s="47"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7" t="n">
        <v>170</v>
      </c>
      <c r="G777" s="47"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7" t="n">
        <v>170</v>
      </c>
      <c r="G779" s="47"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7" t="n">
        <v>170</v>
      </c>
      <c r="G781" s="47"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7" t="n">
        <v>170</v>
      </c>
      <c r="G783" s="47"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7" t="n">
        <v>170</v>
      </c>
      <c r="G785" s="47"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7" t="n">
        <v>3</v>
      </c>
      <c r="G787" s="47"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7" t="n">
        <v>3</v>
      </c>
      <c r="G789" s="47"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7" t="n">
        <v>33.56</v>
      </c>
      <c r="G791" s="47"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7" t="n">
        <v>4.42</v>
      </c>
      <c r="G793" s="47"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7" t="n">
        <v>26.91</v>
      </c>
      <c r="G795" s="47"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7" t="n">
        <v>26.91</v>
      </c>
      <c r="G797" s="47"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7" t="n">
        <v>7.8</v>
      </c>
      <c r="G799" s="47"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7" t="n">
        <v>7.8</v>
      </c>
      <c r="G801" s="47"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7" t="n">
        <v>26.91</v>
      </c>
      <c r="G803" s="47"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7" t="n">
        <v>26.91</v>
      </c>
      <c r="G805" s="47"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7" t="n">
        <v>26.91</v>
      </c>
      <c r="G807" s="47"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7" t="n">
        <v>8.109999999999999</v>
      </c>
      <c r="G809" s="47"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7" t="n">
        <v>53.82</v>
      </c>
      <c r="G811" s="47"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7" t="n">
        <v>130</v>
      </c>
      <c r="G813" s="47"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7" t="n">
        <v>130</v>
      </c>
      <c r="G815" s="47"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7" t="n">
        <v>130</v>
      </c>
      <c r="G817" s="47"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7" t="n">
        <v>130</v>
      </c>
      <c r="G819" s="47"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7" t="n">
        <v>180</v>
      </c>
      <c r="G821" s="47"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7" t="n">
        <v>1.82</v>
      </c>
      <c r="G823" s="47"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7" t="n">
        <v>1.82</v>
      </c>
      <c r="G825" s="47"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7" t="n">
        <v>80.73</v>
      </c>
      <c r="G827" s="47"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7" t="n">
        <v>67.34</v>
      </c>
      <c r="G829" s="47"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7" t="n">
        <v>269.1</v>
      </c>
      <c r="G831" s="47"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7" t="n">
        <v>269.1</v>
      </c>
      <c r="G833" s="47"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7" t="n">
        <v>161.46</v>
      </c>
      <c r="G835" s="47"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7" t="n">
        <v>269.1</v>
      </c>
      <c r="G837" s="47"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7" t="n">
        <v>167.7</v>
      </c>
      <c r="G839" s="47"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7" t="n">
        <v>161.46</v>
      </c>
      <c r="G841" s="47"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7" t="n">
        <v>60.58</v>
      </c>
      <c r="G843" s="47"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7" t="n">
        <v>26.91</v>
      </c>
      <c r="G845" s="47"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7" t="n">
        <v>13.52</v>
      </c>
      <c r="G847" s="47"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7" t="n">
        <v>67.28</v>
      </c>
      <c r="G849" s="47"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7" t="n">
        <v>15.37</v>
      </c>
      <c r="G851" s="47"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7" t="n">
        <v>0.46</v>
      </c>
      <c r="G853" s="47"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7" t="n">
        <v>35.88</v>
      </c>
      <c r="G855" s="47"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7" t="n">
        <v>8.970000000000001</v>
      </c>
      <c r="G857" s="47"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7" t="n">
        <v>17.94</v>
      </c>
      <c r="G859" s="47"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47" t="n">
        <v>35.88</v>
      </c>
      <c r="G861" s="47"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7" t="n">
        <v>-20</v>
      </c>
      <c r="G863" s="47"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7" t="n">
        <v>8.970000000000001</v>
      </c>
      <c r="G865" s="47"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47" t="n">
        <v>8.970000000000001</v>
      </c>
      <c r="G867" s="47"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7" t="n">
        <v>35.88</v>
      </c>
      <c r="G869" s="47"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47" t="n">
        <v>35.88</v>
      </c>
      <c r="G871" s="47"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7" t="n">
        <v>-20</v>
      </c>
      <c r="G873" s="47"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7" t="n">
        <v>8.970000000000001</v>
      </c>
      <c r="G875" s="47"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7" t="n">
        <v>17.94</v>
      </c>
      <c r="G877" s="47"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7" t="n">
        <v>35.88</v>
      </c>
      <c r="G879" s="47"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7" t="n">
        <v>3.64</v>
      </c>
      <c r="G881" s="47"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7" t="n">
        <v>80.73</v>
      </c>
      <c r="G883" s="47"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7" t="n">
        <v>1.82</v>
      </c>
      <c r="G885" s="47"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7" t="n">
        <v>4.55</v>
      </c>
      <c r="G887" s="47"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7" t="n">
        <v>0.26</v>
      </c>
      <c r="G889" s="47"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7" t="n">
        <v>4.55</v>
      </c>
      <c r="G891" s="47"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7" t="n">
        <v>12.48</v>
      </c>
      <c r="G893" s="47"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7" t="n">
        <v>10</v>
      </c>
      <c r="G895" s="47"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7" t="n">
        <v>10</v>
      </c>
      <c r="G897" s="47"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7" t="n">
        <v>10</v>
      </c>
      <c r="G899" s="47"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7" t="n">
        <v>20</v>
      </c>
      <c r="G901" s="47"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7" t="n">
        <v>19.76</v>
      </c>
      <c r="G903" s="47"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7" t="n">
        <v>125.58</v>
      </c>
      <c r="G905" s="47"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7" t="n">
        <v>17.94</v>
      </c>
      <c r="G907" s="47"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7" t="n">
        <v>8.970000000000001</v>
      </c>
      <c r="G909" s="47"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7" t="n">
        <v>53.82</v>
      </c>
      <c r="G911" s="47"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7" t="n">
        <v>19.76</v>
      </c>
      <c r="G913" s="47"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7" t="n">
        <v>13.52</v>
      </c>
      <c r="G915" s="47"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7" t="n">
        <v>161.46</v>
      </c>
      <c r="G917" s="47"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7" t="n">
        <v>134.55</v>
      </c>
      <c r="G919" s="47"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7" t="n">
        <v>134.55</v>
      </c>
      <c r="G921" s="47"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7" t="n">
        <v>134.55</v>
      </c>
      <c r="G923" s="47"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7" t="n">
        <v>201.89</v>
      </c>
      <c r="G925" s="47"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7" t="n">
        <v>-3.64</v>
      </c>
      <c r="G927" s="47"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7" t="n">
        <v>134.55</v>
      </c>
      <c r="G929" s="47"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7" t="n">
        <v>161.98</v>
      </c>
      <c r="G931" s="47"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7" t="n">
        <v>161.98</v>
      </c>
      <c r="G933" s="47"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7" t="n">
        <v>161.46</v>
      </c>
      <c r="G935" s="47"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7" t="n">
        <v>161.46</v>
      </c>
      <c r="G937" s="47"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7" t="n">
        <v>0</v>
      </c>
      <c r="G939" s="47"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7" t="n">
        <v>0</v>
      </c>
      <c r="G941" s="47"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7" t="n">
        <v>0</v>
      </c>
      <c r="G943" s="47"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7" t="n">
        <v>40.43</v>
      </c>
      <c r="G945" s="47"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7" t="n">
        <v>40.43</v>
      </c>
      <c r="G947" s="47"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7" t="n">
        <v>25.35</v>
      </c>
      <c r="G949" s="47"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7" t="n">
        <v>16.9</v>
      </c>
      <c r="G951" s="47"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7" t="n">
        <v>134.55</v>
      </c>
      <c r="G953" s="47"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7" t="n">
        <v>134.55</v>
      </c>
      <c r="G955" s="47"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7" t="n">
        <v>134.55</v>
      </c>
      <c r="G957" s="47"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7" t="n">
        <v>26.91</v>
      </c>
      <c r="G959" s="47"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7" t="n">
        <v>174.98</v>
      </c>
      <c r="G961" s="47"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7" t="n">
        <v>10.79</v>
      </c>
      <c r="G963" s="47"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7" t="n">
        <v>26.91</v>
      </c>
      <c r="G965" s="47"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7" t="n">
        <v>26.91</v>
      </c>
      <c r="G967" s="47"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7" t="n">
        <v>26.91</v>
      </c>
      <c r="G969" s="47"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7" t="n">
        <v>9.1</v>
      </c>
      <c r="G971" s="47"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7" t="n">
        <v>26.91</v>
      </c>
      <c r="G973" s="47"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7" t="n">
        <v>3.64</v>
      </c>
      <c r="G975" s="47"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7" t="n">
        <v>20.2</v>
      </c>
      <c r="G977" s="47"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7" t="n">
        <v>13.47</v>
      </c>
      <c r="G979" s="47"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7" t="n">
        <v>13.47</v>
      </c>
      <c r="G981" s="47"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7" t="n">
        <v>3.64</v>
      </c>
      <c r="G983" s="47"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7" t="n">
        <v>3.64</v>
      </c>
      <c r="G985" s="47"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7" t="n">
        <v>2.6</v>
      </c>
      <c r="G987" s="47"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7" t="n">
        <v>2.6</v>
      </c>
      <c r="G989" s="47"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7" t="n">
        <v>40.43</v>
      </c>
      <c r="G991" s="47"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7" t="n">
        <v>40.43</v>
      </c>
      <c r="G993" s="47"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7" t="n">
        <v>8.970000000000001</v>
      </c>
      <c r="G995" s="47"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47" t="n">
        <v>50</v>
      </c>
      <c r="G997" s="47"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7" t="n">
        <v>26.91</v>
      </c>
      <c r="G999" s="47"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7" t="n">
        <v>26.91</v>
      </c>
      <c r="G1001" s="47"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7" t="n">
        <v>26.91</v>
      </c>
      <c r="G1003" s="47"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7" t="n">
        <v>26.91</v>
      </c>
      <c r="G1005" s="47"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7" t="n">
        <v>40.43</v>
      </c>
      <c r="G1007" s="47"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7" t="n">
        <v>26.91</v>
      </c>
      <c r="G1009" s="47"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7" t="n">
        <v>26.91</v>
      </c>
      <c r="G1011" s="47"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7" t="n">
        <v>5</v>
      </c>
      <c r="G1013" s="47"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7" t="n">
        <v>5</v>
      </c>
      <c r="G1015" s="47"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7" t="n">
        <v>26.91</v>
      </c>
      <c r="G1017" s="47"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7" t="n">
        <v>26.91</v>
      </c>
      <c r="G1019" s="47"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7" t="n">
        <v>3.12</v>
      </c>
      <c r="G1021" s="47"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7" t="n">
        <v>26.91</v>
      </c>
      <c r="G1023" s="47"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7" t="n">
        <v>26.91</v>
      </c>
      <c r="G1025" s="47"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7" t="n">
        <v>49.92</v>
      </c>
      <c r="G1027" s="47"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7" t="n">
        <v>490</v>
      </c>
      <c r="G1029" s="47"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7" t="n">
        <v>490</v>
      </c>
      <c r="G1031" s="47"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7" t="n">
        <v>25.35</v>
      </c>
      <c r="G1033" s="47"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7" t="n">
        <v>25.35</v>
      </c>
      <c r="G1035" s="47"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7" t="n">
        <v>53.82</v>
      </c>
      <c r="G1037" s="47"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7" t="n">
        <v>31.98</v>
      </c>
      <c r="G1039" s="47"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7" t="n">
        <v>53.82</v>
      </c>
      <c r="G1041" s="47"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7" t="n">
        <v>31.98</v>
      </c>
      <c r="G1043" s="47"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7" t="n">
        <v>53.82</v>
      </c>
      <c r="G1045" s="47"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7" t="n">
        <v>31.98</v>
      </c>
      <c r="G1047" s="47"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7" t="n">
        <v>13.52</v>
      </c>
      <c r="G1049" s="47"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7" t="n">
        <v>13.52</v>
      </c>
      <c r="G1051" s="47"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7" t="n">
        <v>5.33</v>
      </c>
      <c r="G1053" s="47"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7" t="n">
        <v>5.33</v>
      </c>
      <c r="G1055" s="47"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7" t="n">
        <v>39.52</v>
      </c>
      <c r="G1057" s="47"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7" t="n">
        <v>6.76</v>
      </c>
      <c r="G1059" s="47"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7" t="n">
        <v>7.15</v>
      </c>
      <c r="G1061" s="47"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7" t="n">
        <v>3.25</v>
      </c>
      <c r="G1063" s="47"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7" t="n">
        <v>3.25</v>
      </c>
      <c r="G1065" s="47"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7" t="n">
        <v>6.24</v>
      </c>
      <c r="G1067" s="47"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7" t="n">
        <v>10.79</v>
      </c>
      <c r="G1069" s="47"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7" t="n">
        <v>13.39</v>
      </c>
      <c r="G1071" s="47"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7" t="n">
        <v>13.52</v>
      </c>
      <c r="G1073" s="47"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7" t="n">
        <v>8.06</v>
      </c>
      <c r="G1075" s="47"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7" t="n">
        <v>5.33</v>
      </c>
      <c r="G1077" s="47"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7" t="n">
        <v>6.76</v>
      </c>
      <c r="G1079" s="47"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7" t="n">
        <v>1.82</v>
      </c>
      <c r="G1081" s="47"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7" t="n">
        <v>2.47</v>
      </c>
      <c r="G1083" s="47"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7" t="n">
        <v>5.07</v>
      </c>
      <c r="G1085" s="47"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7" t="n">
        <v>1.43</v>
      </c>
      <c r="G1087" s="47"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7" t="n">
        <v>0.13</v>
      </c>
      <c r="G1089" s="47"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7" t="n">
        <v>0.26</v>
      </c>
      <c r="G1091" s="47"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7" t="n">
        <v>16.12</v>
      </c>
      <c r="G1093" s="47"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7" t="n">
        <v>26.91</v>
      </c>
      <c r="G1095" s="47"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7" t="n">
        <v>31.07</v>
      </c>
      <c r="G1097" s="47"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7" t="n">
        <v>31.07</v>
      </c>
      <c r="G1099" s="47"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7" t="n">
        <v>26.91</v>
      </c>
      <c r="G1101" s="47"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7" t="n">
        <v>31.07</v>
      </c>
      <c r="G1103" s="47"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7" t="n">
        <v>31.07</v>
      </c>
      <c r="G1105" s="47"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7" t="n">
        <v>26.91</v>
      </c>
      <c r="G1107" s="47"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7" t="n">
        <v>31.07</v>
      </c>
      <c r="G1109" s="47"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7" t="n">
        <v>31.07</v>
      </c>
      <c r="G1111" s="47"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7" t="n">
        <v>7.8</v>
      </c>
      <c r="G1113" s="47"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7" t="n">
        <v>5.33</v>
      </c>
      <c r="G1115" s="47"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7" t="n">
        <v>6.11</v>
      </c>
      <c r="G1117" s="47"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47" t="n">
        <v>5.33</v>
      </c>
      <c r="G1119" s="47"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47" t="n">
        <v>6.11</v>
      </c>
      <c r="G1121" s="47"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7" t="n">
        <v>5.33</v>
      </c>
      <c r="G1123" s="47"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7" t="n">
        <v>6.11</v>
      </c>
      <c r="G1125" s="47"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7" t="n">
        <v>5.33</v>
      </c>
      <c r="G1127" s="47"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7" t="n">
        <v>6.11</v>
      </c>
      <c r="G1129" s="47"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7" t="n">
        <v>5.33</v>
      </c>
      <c r="G1131" s="47"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7" t="n">
        <v>6.11</v>
      </c>
      <c r="G1133" s="47"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7" t="n">
        <v>83.98</v>
      </c>
      <c r="G1135" s="47"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7" t="n">
        <v>83.98</v>
      </c>
      <c r="G1137" s="47"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7" t="n">
        <v>13.52</v>
      </c>
      <c r="G1139" s="47"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7" t="n">
        <v>104</v>
      </c>
      <c r="G1141" s="47"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7" t="n">
        <v>52</v>
      </c>
      <c r="G1143" s="47"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7" t="n">
        <v>13</v>
      </c>
      <c r="G1145" s="47"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7" t="n">
        <v>5.33</v>
      </c>
      <c r="G1147" s="47"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7" t="n">
        <v>0.26</v>
      </c>
      <c r="G1149" s="47"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7" t="n">
        <v>0.13</v>
      </c>
      <c r="G1151" s="47"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7" t="n">
        <v>0.26</v>
      </c>
      <c r="G1153" s="47"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7" t="n">
        <v>0.13</v>
      </c>
      <c r="G1155" s="47"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7" t="n">
        <v>13.52</v>
      </c>
      <c r="G1157" s="47"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7" t="n">
        <v>18.59</v>
      </c>
      <c r="G1159" s="47"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7" t="n">
        <v>18.59</v>
      </c>
      <c r="G1161" s="47"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7" t="n">
        <v>2.73</v>
      </c>
      <c r="G1163" s="47"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7" t="n">
        <v>2.73</v>
      </c>
      <c r="G1165" s="47"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7" t="n">
        <v>2.73</v>
      </c>
      <c r="G1167" s="47"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7" t="n">
        <v>2.73</v>
      </c>
      <c r="G1169" s="47"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7" t="n">
        <v>0.91</v>
      </c>
      <c r="G1171" s="47"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7" t="n">
        <v>7.15</v>
      </c>
      <c r="G1173" s="47"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7" t="n">
        <v>3.9</v>
      </c>
      <c r="G1175" s="47"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7" t="n">
        <v>807.3</v>
      </c>
      <c r="G1177" s="47"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7" t="n">
        <v>807.3</v>
      </c>
      <c r="G1179" s="47"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7" t="n">
        <v>53.82</v>
      </c>
      <c r="G1181" s="47"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7" t="n">
        <v>2.6</v>
      </c>
      <c r="G1183" s="47"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7" t="n">
        <v>6.76</v>
      </c>
      <c r="G1185" s="47"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7" t="n">
        <v>6.24</v>
      </c>
      <c r="G1187" s="47"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7" t="n">
        <v>6.24</v>
      </c>
      <c r="G1189" s="47"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7" t="n">
        <v>12.61</v>
      </c>
      <c r="G1191" s="47"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7" t="n">
        <v>187.95</v>
      </c>
      <c r="G1193" s="47"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7" t="n">
        <v>187.95</v>
      </c>
      <c r="G1195" s="47"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7" t="n">
        <v>310.7</v>
      </c>
      <c r="G1197" s="47"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7" t="n">
        <v>188</v>
      </c>
      <c r="G1199" s="47"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7" t="n">
        <v>6.71</v>
      </c>
      <c r="G1201" s="47"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7" t="n">
        <v>44.67</v>
      </c>
      <c r="G1203" s="47"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7" t="n">
        <v>21.48</v>
      </c>
      <c r="G1205" s="47"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7" t="n">
        <v>53.69</v>
      </c>
      <c r="G1207" s="47"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7" t="n">
        <v>20</v>
      </c>
      <c r="G1209" s="47"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7" t="n">
        <v>187.95</v>
      </c>
      <c r="G1211" s="47"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7" t="n">
        <v>104</v>
      </c>
      <c r="G1213" s="47"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7" t="n">
        <v>52</v>
      </c>
      <c r="G1215" s="47"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7" t="n">
        <v>20</v>
      </c>
      <c r="G1217" s="47"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48" t="inlineStr">
        <is>
          <t>LEGEND:</t>
        </is>
      </c>
      <c r="B2" s="49" t="inlineStr">
        <is>
          <t>User Input (Editable)</t>
        </is>
      </c>
      <c r="C2" s="34" t="inlineStr">
        <is>
          <t>Auto Lookup from Rates_Master</t>
        </is>
      </c>
      <c r="D2" s="8" t="inlineStr">
        <is>
          <t>Calculated</t>
        </is>
      </c>
      <c r="E2" s="50" t="inlineStr">
        <is>
          <t>Resolved Rate</t>
        </is>
      </c>
      <c r="F2" s="51"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2" t="inlineStr">
        <is>
          <t>4.2.5</t>
        </is>
      </c>
      <c r="B7" s="20" t="inlineStr">
        <is>
          <t>04 Concrete Work (Vol.1)</t>
        </is>
      </c>
      <c r="C7" s="53" t="inlineStr">
        <is>
          <t>Providing and laying in position cement concrete of specified grade excluding the cost of centering and shuttering - 1:3:6 (1 cement : 3 coarse sand (zone-III) : 6 graded stone aggregate 20 mm nominal size)</t>
        </is>
      </c>
      <c r="D7" s="19" t="inlineStr">
        <is>
          <t>cum</t>
        </is>
      </c>
      <c r="E7" s="54" t="n">
        <v>1</v>
      </c>
      <c r="F7" s="55" t="n">
        <v>8025</v>
      </c>
      <c r="G7" s="56">
        <f>G44</f>
        <v/>
      </c>
      <c r="H7" s="52" t="inlineStr">
        <is>
          <t>XV_4_2_5</t>
        </is>
      </c>
      <c r="I7" s="24" t="inlineStr">
        <is>
          <t>Feeds resolved item 18.78 below (not a Vol.2 item - re-derived here so 18.78 is self-contained)</t>
        </is>
      </c>
    </row>
    <row r="8" ht="34" customHeight="1">
      <c r="A8" s="52" t="inlineStr">
        <is>
          <t>13.50.1</t>
        </is>
      </c>
      <c r="B8" s="20" t="inlineStr">
        <is>
          <t>13 Finishing (Vol.2)</t>
        </is>
      </c>
      <c r="C8" s="53" t="inlineStr">
        <is>
          <t>Applying priming coat with ready mixed pink or Grey primer of approved brand and manufacture on wood work (hard and soft wood)</t>
        </is>
      </c>
      <c r="D8" s="19" t="inlineStr">
        <is>
          <t>sqm</t>
        </is>
      </c>
      <c r="E8" s="54" t="n">
        <v>10</v>
      </c>
      <c r="F8" s="55" t="n">
        <v>57.05</v>
      </c>
      <c r="G8" s="56">
        <f>G66</f>
        <v/>
      </c>
      <c r="H8" s="52" t="inlineStr">
        <is>
          <t>XV_13_50_1</t>
        </is>
      </c>
      <c r="I8" s="24" t="inlineStr">
        <is>
          <t>09_Wood_and_PVC_Work (primer on wood work)</t>
        </is>
      </c>
    </row>
    <row r="9" ht="34" customHeight="1">
      <c r="A9" s="52" t="inlineStr">
        <is>
          <t>13.50.3</t>
        </is>
      </c>
      <c r="B9" s="20" t="inlineStr">
        <is>
          <t>13 Finishing (Vol.2)</t>
        </is>
      </c>
      <c r="C9" s="53" t="inlineStr">
        <is>
          <t>Applying priming coat with ready mixed red oxide zinc chromate primer of approved brand and manufacture on steel / iron work</t>
        </is>
      </c>
      <c r="D9" s="19" t="inlineStr">
        <is>
          <t>sqm</t>
        </is>
      </c>
      <c r="E9" s="54" t="n">
        <v>10</v>
      </c>
      <c r="F9" s="55" t="n">
        <v>50.7</v>
      </c>
      <c r="G9" s="56">
        <f>G86</f>
        <v/>
      </c>
      <c r="H9" s="52" t="inlineStr">
        <is>
          <t>XV_13_50_3</t>
        </is>
      </c>
      <c r="I9" s="24" t="inlineStr">
        <is>
          <t>10_Steel_Work (priming coat), 09_Wood_and_PVC_Work (steel fittings)</t>
        </is>
      </c>
    </row>
    <row r="10" ht="34" customHeight="1">
      <c r="A10" s="52" t="inlineStr">
        <is>
          <t>13.57.1</t>
        </is>
      </c>
      <c r="B10" s="20" t="inlineStr">
        <is>
          <t>13 Finishing (Vol.2)</t>
        </is>
      </c>
      <c r="C10" s="53" t="inlineStr">
        <is>
          <t>Painting with oil type wood preservative of approved brand and manufacture - new work (two or more coats)</t>
        </is>
      </c>
      <c r="D10" s="19" t="inlineStr">
        <is>
          <t>sqm</t>
        </is>
      </c>
      <c r="E10" s="54" t="n">
        <v>10</v>
      </c>
      <c r="F10" s="55" t="n">
        <v>44.5</v>
      </c>
      <c r="G10" s="56">
        <f>G107</f>
        <v/>
      </c>
      <c r="H10" s="52" t="inlineStr">
        <is>
          <t>XV_13_57_1</t>
        </is>
      </c>
      <c r="I10" s="24" t="inlineStr">
        <is>
          <t>09_Wood_and_PVC_Work (preservative treatment on timber)</t>
        </is>
      </c>
    </row>
    <row r="11" ht="34" customHeight="1">
      <c r="A11" s="52" t="inlineStr">
        <is>
          <t>18.78</t>
        </is>
      </c>
      <c r="B11" s="20" t="inlineStr">
        <is>
          <t>18 Water Supply (Vol.2)</t>
        </is>
      </c>
      <c r="C11" s="53" t="inlineStr">
        <is>
          <t>Making chases up to 7.5 x 7.5 cm in walls including making good and finishing the same with cement concrete 1:3:6</t>
        </is>
      </c>
      <c r="D11" s="19" t="inlineStr">
        <is>
          <t>metre</t>
        </is>
      </c>
      <c r="E11" s="54" t="n">
        <v>10</v>
      </c>
      <c r="F11" s="55" t="n">
        <v>154.15</v>
      </c>
      <c r="G11" s="56">
        <f>G126</f>
        <v/>
      </c>
      <c r="H11" s="52"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7"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4" t="n">
        <v>1</v>
      </c>
      <c r="C15" s="20" t="inlineStr">
        <is>
          <t>cum</t>
        </is>
      </c>
      <c r="D15" s="16" t="inlineStr">
        <is>
          <t>Consumed by:</t>
        </is>
      </c>
      <c r="E15" s="24" t="inlineStr">
        <is>
          <t>Feeds resolved item 18.78 below (not a Vol.2 item - re-derived here so 18.78 is self-contained)</t>
        </is>
      </c>
      <c r="F15" s="58" t="n"/>
      <c r="G15" s="58" t="n"/>
      <c r="H15" s="58" t="n"/>
      <c r="I15" s="58"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59" t="inlineStr">
        <is>
          <t>0295</t>
        </is>
      </c>
      <c r="C17" s="60">
        <f>IFERROR(INDEX(Rates_Master!$C:$C, MATCH(B17, Rates_Master!$A:$A, 0)), "Code not found in Rates_Master")</f>
        <v/>
      </c>
      <c r="D17" s="61">
        <f>IFERROR(INDEX(Rates_Master!$D:$D, MATCH(B17, Rates_Master!$A:$A, 0)), "")</f>
        <v/>
      </c>
      <c r="E17" s="62" t="n">
        <v>0.7</v>
      </c>
      <c r="F17" s="63">
        <f>IFERROR(INDEX(Rates_Master!$E:$E, MATCH(B17, Rates_Master!$A:$A, 0)), 0)</f>
        <v/>
      </c>
      <c r="G17" s="55">
        <f>ROUND(E17 * F17, 2)</f>
        <v/>
      </c>
      <c r="H17" s="24" t="inlineStr">
        <is>
          <t>Stone Aggregate (single size) 20 mm nominal size</t>
        </is>
      </c>
      <c r="I17" s="52" t="inlineStr"/>
    </row>
    <row r="18" ht="20" customHeight="1">
      <c r="A18" s="19" t="n">
        <v>2</v>
      </c>
      <c r="B18" s="59" t="inlineStr">
        <is>
          <t>0297</t>
        </is>
      </c>
      <c r="C18" s="60">
        <f>IFERROR(INDEX(Rates_Master!$C:$C, MATCH(B18, Rates_Master!$A:$A, 0)), "Code not found in Rates_Master")</f>
        <v/>
      </c>
      <c r="D18" s="61">
        <f>IFERROR(INDEX(Rates_Master!$D:$D, MATCH(B18, Rates_Master!$A:$A, 0)), "")</f>
        <v/>
      </c>
      <c r="E18" s="62" t="n">
        <v>0.24</v>
      </c>
      <c r="F18" s="63">
        <f>IFERROR(INDEX(Rates_Master!$E:$E, MATCH(B18, Rates_Master!$A:$A, 0)), 0)</f>
        <v/>
      </c>
      <c r="G18" s="55">
        <f>ROUND(E18 * F18, 2)</f>
        <v/>
      </c>
      <c r="H18" s="24" t="inlineStr">
        <is>
          <t>Stone Aggregate (single size) 10 mm nominal size</t>
        </is>
      </c>
      <c r="I18" s="52" t="inlineStr"/>
    </row>
    <row r="19" ht="20" customHeight="1">
      <c r="A19" s="19" t="n">
        <v>3</v>
      </c>
      <c r="B19" s="59" t="inlineStr">
        <is>
          <t>2202</t>
        </is>
      </c>
      <c r="C19" s="60">
        <f>IFERROR(INDEX(Rates_Master!$C:$C, MATCH(B19, Rates_Master!$A:$A, 0)), "Code not found in Rates_Master")</f>
        <v/>
      </c>
      <c r="D19" s="61">
        <f>IFERROR(INDEX(Rates_Master!$D:$D, MATCH(B19, Rates_Master!$A:$A, 0)), "")</f>
        <v/>
      </c>
      <c r="E19" s="62" t="n">
        <v>0.9399999999999999</v>
      </c>
      <c r="F19" s="63">
        <f>IFERROR(INDEX(Rates_Master!$E:$E, MATCH(B19, Rates_Master!$A:$A, 0)), 0)</f>
        <v/>
      </c>
      <c r="G19" s="55">
        <f>ROUND(E19 * F19, 2)</f>
        <v/>
      </c>
      <c r="H19" s="24" t="inlineStr">
        <is>
          <t>Carriage of Stone aggregate below 40 mm nominal size</t>
        </is>
      </c>
      <c r="I19" s="52" t="inlineStr"/>
    </row>
    <row r="20" ht="20" customHeight="1">
      <c r="A20" s="19" t="n">
        <v>4</v>
      </c>
      <c r="B20" s="59" t="inlineStr">
        <is>
          <t>0982</t>
        </is>
      </c>
      <c r="C20" s="60">
        <f>IFERROR(INDEX(Rates_Master!$C:$C, MATCH(B20, Rates_Master!$A:$A, 0)), "Code not found in Rates_Master")</f>
        <v/>
      </c>
      <c r="D20" s="61">
        <f>IFERROR(INDEX(Rates_Master!$D:$D, MATCH(B20, Rates_Master!$A:$A, 0)), "")</f>
        <v/>
      </c>
      <c r="E20" s="62" t="n">
        <v>0.47</v>
      </c>
      <c r="F20" s="63">
        <f>IFERROR(INDEX(Rates_Master!$E:$E, MATCH(B20, Rates_Master!$A:$A, 0)), 0)</f>
        <v/>
      </c>
      <c r="G20" s="55">
        <f>ROUND(E20 * F20, 2)</f>
        <v/>
      </c>
      <c r="H20" s="24" t="inlineStr">
        <is>
          <t>Coarse sand (zone III)</t>
        </is>
      </c>
      <c r="I20" s="52" t="inlineStr"/>
    </row>
    <row r="21" ht="20" customHeight="1">
      <c r="A21" s="19" t="n">
        <v>5</v>
      </c>
      <c r="B21" s="59" t="inlineStr">
        <is>
          <t>2203</t>
        </is>
      </c>
      <c r="C21" s="60">
        <f>IFERROR(INDEX(Rates_Master!$C:$C, MATCH(B21, Rates_Master!$A:$A, 0)), "Code not found in Rates_Master")</f>
        <v/>
      </c>
      <c r="D21" s="61">
        <f>IFERROR(INDEX(Rates_Master!$D:$D, MATCH(B21, Rates_Master!$A:$A, 0)), "")</f>
        <v/>
      </c>
      <c r="E21" s="62" t="n">
        <v>0.47</v>
      </c>
      <c r="F21" s="63">
        <f>IFERROR(INDEX(Rates_Master!$E:$E, MATCH(B21, Rates_Master!$A:$A, 0)), 0)</f>
        <v/>
      </c>
      <c r="G21" s="55">
        <f>ROUND(E21 * F21, 2)</f>
        <v/>
      </c>
      <c r="H21" s="24" t="inlineStr">
        <is>
          <t>Carriage of Coarse sand</t>
        </is>
      </c>
      <c r="I21" s="52" t="inlineStr"/>
    </row>
    <row r="22" ht="20" customHeight="1">
      <c r="A22" s="19" t="n">
        <v>6</v>
      </c>
      <c r="B22" s="59" t="inlineStr">
        <is>
          <t>0367</t>
        </is>
      </c>
      <c r="C22" s="60">
        <f>IFERROR(INDEX(Rates_Master!$C:$C, MATCH(B22, Rates_Master!$A:$A, 0)), "Code not found in Rates_Master")</f>
        <v/>
      </c>
      <c r="D22" s="61">
        <f>IFERROR(INDEX(Rates_Master!$D:$D, MATCH(B22, Rates_Master!$A:$A, 0)), "")</f>
        <v/>
      </c>
      <c r="E22" s="62" t="n">
        <v>0.22</v>
      </c>
      <c r="F22" s="63">
        <f>IFERROR(INDEX(Rates_Master!$E:$E, MATCH(B22, Rates_Master!$A:$A, 0)), 0)</f>
        <v/>
      </c>
      <c r="G22" s="55">
        <f>ROUND(E22 * F22, 2)</f>
        <v/>
      </c>
      <c r="H22" s="24" t="inlineStr">
        <is>
          <t>Portland Cement (0.15674 cum = 0.22 tonne)</t>
        </is>
      </c>
      <c r="I22" s="52" t="inlineStr"/>
    </row>
    <row r="23" ht="20" customHeight="1">
      <c r="A23" s="19" t="n">
        <v>7</v>
      </c>
      <c r="B23" s="59" t="inlineStr">
        <is>
          <t>2209</t>
        </is>
      </c>
      <c r="C23" s="60">
        <f>IFERROR(INDEX(Rates_Master!$C:$C, MATCH(B23, Rates_Master!$A:$A, 0)), "Code not found in Rates_Master")</f>
        <v/>
      </c>
      <c r="D23" s="61">
        <f>IFERROR(INDEX(Rates_Master!$D:$D, MATCH(B23, Rates_Master!$A:$A, 0)), "")</f>
        <v/>
      </c>
      <c r="E23" s="62" t="n">
        <v>0.22</v>
      </c>
      <c r="F23" s="63">
        <f>IFERROR(INDEX(Rates_Master!$E:$E, MATCH(B23, Rates_Master!$A:$A, 0)), 0)</f>
        <v/>
      </c>
      <c r="G23" s="55">
        <f>ROUND(E23 * F23, 2)</f>
        <v/>
      </c>
      <c r="H23" s="24" t="inlineStr">
        <is>
          <t>Carriage of Cement</t>
        </is>
      </c>
      <c r="I23" s="52" t="inlineStr"/>
    </row>
    <row r="24" ht="20" customHeight="1">
      <c r="A24" s="19" t="n">
        <v>8</v>
      </c>
      <c r="B24" s="59" t="inlineStr">
        <is>
          <t>0114</t>
        </is>
      </c>
      <c r="C24" s="60">
        <f>IFERROR(INDEX(Rates_Master!$C:$C, MATCH(B24, Rates_Master!$A:$A, 0)), "Code not found in Rates_Master")</f>
        <v/>
      </c>
      <c r="D24" s="61">
        <f>IFERROR(INDEX(Rates_Master!$D:$D, MATCH(B24, Rates_Master!$A:$A, 0)), "")</f>
        <v/>
      </c>
      <c r="E24" s="62" t="n">
        <v>0.9</v>
      </c>
      <c r="F24" s="63">
        <f>IFERROR(INDEX(Rates_Master!$E:$E, MATCH(B24, Rates_Master!$A:$A, 0)), 0)</f>
        <v/>
      </c>
      <c r="G24" s="55">
        <f>ROUND(E24 * F24, 2)</f>
        <v/>
      </c>
      <c r="H24" s="24" t="inlineStr">
        <is>
          <t>Beldar</t>
        </is>
      </c>
      <c r="I24" s="19" t="inlineStr"/>
    </row>
    <row r="25" ht="20" customHeight="1">
      <c r="A25" s="19" t="n">
        <v>9</v>
      </c>
      <c r="B25" s="59" t="inlineStr">
        <is>
          <t>0115</t>
        </is>
      </c>
      <c r="C25" s="60">
        <f>IFERROR(INDEX(Rates_Master!$C:$C, MATCH(B25, Rates_Master!$A:$A, 0)), "Code not found in Rates_Master")</f>
        <v/>
      </c>
      <c r="D25" s="61">
        <f>IFERROR(INDEX(Rates_Master!$D:$D, MATCH(B25, Rates_Master!$A:$A, 0)), "")</f>
        <v/>
      </c>
      <c r="E25" s="62" t="n">
        <v>0.78</v>
      </c>
      <c r="F25" s="63">
        <f>IFERROR(INDEX(Rates_Master!$E:$E, MATCH(B25, Rates_Master!$A:$A, 0)), 0)</f>
        <v/>
      </c>
      <c r="G25" s="55">
        <f>ROUND(E25 * F25, 2)</f>
        <v/>
      </c>
      <c r="H25" s="24" t="inlineStr">
        <is>
          <t>Coolie</t>
        </is>
      </c>
      <c r="I25" s="19" t="inlineStr"/>
    </row>
    <row r="26" ht="20" customHeight="1">
      <c r="A26" s="19" t="n">
        <v>10</v>
      </c>
      <c r="B26" s="59" t="inlineStr">
        <is>
          <t>0101</t>
        </is>
      </c>
      <c r="C26" s="60">
        <f>IFERROR(INDEX(Rates_Master!$C:$C, MATCH(B26, Rates_Master!$A:$A, 0)), "Code not found in Rates_Master")</f>
        <v/>
      </c>
      <c r="D26" s="61">
        <f>IFERROR(INDEX(Rates_Master!$D:$D, MATCH(B26, Rates_Master!$A:$A, 0)), "")</f>
        <v/>
      </c>
      <c r="E26" s="62" t="n">
        <v>0.7</v>
      </c>
      <c r="F26" s="63">
        <f>IFERROR(INDEX(Rates_Master!$E:$E, MATCH(B26, Rates_Master!$A:$A, 0)), 0)</f>
        <v/>
      </c>
      <c r="G26" s="55">
        <f>ROUND(E26 * F26, 2)</f>
        <v/>
      </c>
      <c r="H26" s="24" t="inlineStr">
        <is>
          <t>Bhisti</t>
        </is>
      </c>
      <c r="I26" s="19" t="inlineStr"/>
    </row>
    <row r="27" ht="20" customHeight="1">
      <c r="A27" s="19" t="n">
        <v>11</v>
      </c>
      <c r="B27" s="59" t="inlineStr">
        <is>
          <t>0123</t>
        </is>
      </c>
      <c r="C27" s="60">
        <f>IFERROR(INDEX(Rates_Master!$C:$C, MATCH(B27, Rates_Master!$A:$A, 0)), "Code not found in Rates_Master")</f>
        <v/>
      </c>
      <c r="D27" s="61">
        <f>IFERROR(INDEX(Rates_Master!$D:$D, MATCH(B27, Rates_Master!$A:$A, 0)), "")</f>
        <v/>
      </c>
      <c r="E27" s="62" t="n">
        <v>0.06</v>
      </c>
      <c r="F27" s="63">
        <f>IFERROR(INDEX(Rates_Master!$E:$E, MATCH(B27, Rates_Master!$A:$A, 0)), 0)</f>
        <v/>
      </c>
      <c r="G27" s="55">
        <f>ROUND(E27 * F27, 2)</f>
        <v/>
      </c>
      <c r="H27" s="24" t="inlineStr">
        <is>
          <t>Mason (brick layer) 1st class</t>
        </is>
      </c>
      <c r="I27" s="19" t="inlineStr"/>
    </row>
    <row r="28" ht="20" customHeight="1">
      <c r="A28" s="19" t="n">
        <v>12</v>
      </c>
      <c r="B28" s="59" t="inlineStr">
        <is>
          <t>0124</t>
        </is>
      </c>
      <c r="C28" s="60">
        <f>IFERROR(INDEX(Rates_Master!$C:$C, MATCH(B28, Rates_Master!$A:$A, 0)), "Code not found in Rates_Master")</f>
        <v/>
      </c>
      <c r="D28" s="61">
        <f>IFERROR(INDEX(Rates_Master!$D:$D, MATCH(B28, Rates_Master!$A:$A, 0)), "")</f>
        <v/>
      </c>
      <c r="E28" s="62" t="n">
        <v>0.06</v>
      </c>
      <c r="F28" s="63">
        <f>IFERROR(INDEX(Rates_Master!$E:$E, MATCH(B28, Rates_Master!$A:$A, 0)), 0)</f>
        <v/>
      </c>
      <c r="G28" s="55">
        <f>ROUND(E28 * F28, 2)</f>
        <v/>
      </c>
      <c r="H28" s="24" t="inlineStr">
        <is>
          <t>Mason (brick layer) 2nd class</t>
        </is>
      </c>
      <c r="I28" s="19" t="inlineStr"/>
    </row>
    <row r="29" ht="20" customHeight="1">
      <c r="A29" s="19" t="n">
        <v>13</v>
      </c>
      <c r="B29" s="59" t="inlineStr">
        <is>
          <t>0002</t>
        </is>
      </c>
      <c r="C29" s="60">
        <f>IFERROR(INDEX(Rates_Master!$C:$C, MATCH(B29, Rates_Master!$A:$A, 0)), "Code not found in Rates_Master")</f>
        <v/>
      </c>
      <c r="D29" s="61">
        <f>IFERROR(INDEX(Rates_Master!$D:$D, MATCH(B29, Rates_Master!$A:$A, 0)), "")</f>
        <v/>
      </c>
      <c r="E29" s="62" t="n">
        <v>0.07000000000000001</v>
      </c>
      <c r="F29" s="63">
        <f>IFERROR(INDEX(Rates_Master!$E:$E, MATCH(B29, Rates_Master!$A:$A, 0)), 0)</f>
        <v/>
      </c>
      <c r="G29" s="55">
        <f>ROUND(E29 * F29, 2)</f>
        <v/>
      </c>
      <c r="H29" s="24" t="inlineStr">
        <is>
          <t>Hire charges of Concrete Mixer 0.25 to 0.40 cum with hopper</t>
        </is>
      </c>
      <c r="I29" s="19" t="inlineStr"/>
    </row>
    <row r="30" ht="20" customHeight="1">
      <c r="A30" s="19" t="n">
        <v>14</v>
      </c>
      <c r="B30" s="59" t="inlineStr">
        <is>
          <t>0012</t>
        </is>
      </c>
      <c r="C30" s="60">
        <f>IFERROR(INDEX(Rates_Master!$C:$C, MATCH(B30, Rates_Master!$A:$A, 0)), "Code not found in Rates_Master")</f>
        <v/>
      </c>
      <c r="D30" s="61">
        <f>IFERROR(INDEX(Rates_Master!$D:$D, MATCH(B30, Rates_Master!$A:$A, 0)), "")</f>
        <v/>
      </c>
      <c r="E30" s="62" t="n">
        <v>0.07000000000000001</v>
      </c>
      <c r="F30" s="63">
        <f>IFERROR(INDEX(Rates_Master!$E:$E, MATCH(B30, Rates_Master!$A:$A, 0)), 0)</f>
        <v/>
      </c>
      <c r="G30" s="55">
        <f>ROUND(E30 * F30, 2)</f>
        <v/>
      </c>
      <c r="H30" s="24" t="inlineStr">
        <is>
          <t>Vibrator (needle type 40 mm)</t>
        </is>
      </c>
      <c r="I30" s="19" t="inlineStr"/>
    </row>
    <row r="31" ht="20" customHeight="1">
      <c r="A31" s="19" t="n">
        <v>15</v>
      </c>
      <c r="B31" s="59" t="inlineStr">
        <is>
          <t>0115</t>
        </is>
      </c>
      <c r="C31" s="60">
        <f>IFERROR(INDEX(Rates_Master!$C:$C, MATCH(B31, Rates_Master!$A:$A, 0)), "Code not found in Rates_Master")</f>
        <v/>
      </c>
      <c r="D31" s="61">
        <f>IFERROR(INDEX(Rates_Master!$D:$D, MATCH(B31, Rates_Master!$A:$A, 0)), "")</f>
        <v/>
      </c>
      <c r="E31" s="62" t="n">
        <v>1.88</v>
      </c>
      <c r="F31" s="63">
        <f>IFERROR(INDEX(Rates_Master!$E:$E, MATCH(B31, Rates_Master!$A:$A, 0)), 0)</f>
        <v/>
      </c>
      <c r="G31" s="55">
        <f>ROUND(E31 * F31, 2)</f>
        <v/>
      </c>
      <c r="H31" s="24" t="inlineStr">
        <is>
          <t>Coolie - extra labour lifting material upto floor V level (0.75 x 2.5 = 1.88)</t>
        </is>
      </c>
      <c r="I31" s="19" t="inlineStr"/>
    </row>
    <row r="32" ht="20" customHeight="1">
      <c r="A32" s="19" t="n">
        <v>16</v>
      </c>
      <c r="B32" s="52" t="inlineStr">
        <is>
          <t>9999</t>
        </is>
      </c>
      <c r="C32" s="20" t="inlineStr">
        <is>
          <t>Scaffolding (17.60 x 2.5 avg.)</t>
        </is>
      </c>
      <c r="D32" s="19" t="inlineStr">
        <is>
          <t>L.S.</t>
        </is>
      </c>
      <c r="E32" s="64" t="n">
        <v>114.4</v>
      </c>
      <c r="F32" s="65">
        <f>Factor_Sundries</f>
        <v/>
      </c>
      <c r="G32" s="55">
        <f>ROUND(E32 * F32, 2)</f>
        <v/>
      </c>
      <c r="H32" s="66" t="inlineStr">
        <is>
          <t>Base L.S. allowance x Cost Index Multiplier (Global_Factors)</t>
        </is>
      </c>
      <c r="I32" s="19" t="inlineStr"/>
    </row>
    <row r="33" ht="20" customHeight="1">
      <c r="A33" s="19" t="n">
        <v>17</v>
      </c>
      <c r="B33" s="52" t="inlineStr">
        <is>
          <t>9999</t>
        </is>
      </c>
      <c r="C33" s="20" t="inlineStr">
        <is>
          <t>Sundries</t>
        </is>
      </c>
      <c r="D33" s="19" t="inlineStr">
        <is>
          <t>L.S.</t>
        </is>
      </c>
      <c r="E33" s="64" t="n">
        <v>13.52</v>
      </c>
      <c r="F33" s="65">
        <f>Factor_Sundries</f>
        <v/>
      </c>
      <c r="G33" s="55">
        <f>ROUND(E33 * F33, 2)</f>
        <v/>
      </c>
      <c r="H33" s="66" t="inlineStr">
        <is>
          <t>Base L.S. allowance x Cost Index Multiplier (Global_Factors)</t>
        </is>
      </c>
      <c r="I33" s="19" t="inlineStr"/>
    </row>
    <row r="34">
      <c r="A34" s="67" t="inlineStr">
        <is>
          <t>TOTAL DIRECT COST "W" (all lines above):</t>
        </is>
      </c>
      <c r="B34" s="68" t="n"/>
      <c r="C34" s="68" t="n"/>
      <c r="D34" s="68" t="n"/>
      <c r="E34" s="68" t="n"/>
      <c r="F34" s="68" t="n"/>
      <c r="G34" s="5">
        <f>ROUND(SUM(G17:G33), 2)</f>
        <v/>
      </c>
      <c r="H34" s="69" t="inlineStr">
        <is>
          <t>Book value of W for item 4.2.5 = Rs 5,998.05</t>
        </is>
      </c>
      <c r="I34" s="68" t="n"/>
    </row>
    <row r="35" ht="28" customHeight="1">
      <c r="A35" s="67" t="inlineStr">
        <is>
          <t>Less "A" - imported lines already carrying statutory markups:</t>
        </is>
      </c>
      <c r="B35" s="68" t="n"/>
      <c r="C35" s="68" t="n"/>
      <c r="D35" s="68" t="n"/>
      <c r="E35" s="68" t="n"/>
      <c r="F35" s="68" t="n"/>
      <c r="G35" s="5">
        <f>ROUND(SUMIF($I$17:$I$33, "A", $G$17:$G$33), 2)</f>
        <v/>
      </c>
      <c r="H35" s="70" t="inlineStr">
        <is>
          <t>CPWD convention: markups are computed on (W-A), (X-A), (Y-A), (Z-A). A line tagged "A" is an imported rate that already includes Water, GST, CPOH and Cess.</t>
        </is>
      </c>
      <c r="I35" s="68" t="n"/>
    </row>
    <row r="36" ht="22" customHeight="1">
      <c r="A36" s="52" t="inlineStr">
        <is>
          <t>X1</t>
        </is>
      </c>
      <c r="B36" s="59" t="inlineStr">
        <is>
          <t>YES</t>
        </is>
      </c>
      <c r="C36" s="20" t="inlineStr">
        <is>
          <t>Add Water Charges on (W - A)</t>
        </is>
      </c>
      <c r="D36" s="58" t="n"/>
      <c r="E36" s="55">
        <f>G34 - G35</f>
        <v/>
      </c>
      <c r="F36" s="71">
        <f>Factor_Water</f>
        <v/>
      </c>
      <c r="G36" s="72">
        <f>IF(B36="YES", ROUND(E36 * F36, 2), 0)</f>
        <v/>
      </c>
      <c r="H36" s="24" t="inlineStr">
        <is>
          <t>CPWD: 1% water charges, computed on the direct cost net of A-tagged imports.</t>
        </is>
      </c>
      <c r="I36" s="58" t="n"/>
    </row>
    <row r="37" ht="22" customHeight="1">
      <c r="A37" s="2" t="inlineStr">
        <is>
          <t>X</t>
        </is>
      </c>
      <c r="B37" s="73" t="inlineStr">
        <is>
          <t>-</t>
        </is>
      </c>
      <c r="C37" s="74" t="inlineStr">
        <is>
          <t>Subtotal "X" (W + Water Charges)</t>
        </is>
      </c>
      <c r="D37" s="68" t="n"/>
      <c r="E37" s="68" t="n"/>
      <c r="F37" s="68" t="n"/>
      <c r="G37" s="5">
        <f>G34 + G36</f>
        <v/>
      </c>
      <c r="H37" s="70" t="inlineStr">
        <is>
          <t>Running compounded subtotal</t>
        </is>
      </c>
      <c r="I37" s="68" t="n"/>
    </row>
    <row r="38" ht="22" customHeight="1">
      <c r="A38" s="52" t="inlineStr">
        <is>
          <t>Y1</t>
        </is>
      </c>
      <c r="B38" s="59" t="inlineStr">
        <is>
          <t>YES</t>
        </is>
      </c>
      <c r="C38" s="20" t="inlineStr">
        <is>
          <t>Add GST on (X - A)</t>
        </is>
      </c>
      <c r="D38" s="58" t="n"/>
      <c r="E38" s="55">
        <f>G37 - G35</f>
        <v/>
      </c>
      <c r="F38" s="71">
        <f>Factor_GST</f>
        <v/>
      </c>
      <c r="G38" s="72">
        <f>IF(B38="YES", ROUND(E38 * F38, 2), 0)</f>
        <v/>
      </c>
      <c r="H38" s="24" t="inlineStr">
        <is>
          <t>CPWD DAR 2019 works contract multiplying factor 0.1405, net of A.</t>
        </is>
      </c>
      <c r="I38" s="58" t="n"/>
    </row>
    <row r="39" ht="22" customHeight="1">
      <c r="A39" s="2" t="inlineStr">
        <is>
          <t>Y</t>
        </is>
      </c>
      <c r="B39" s="73" t="inlineStr">
        <is>
          <t>-</t>
        </is>
      </c>
      <c r="C39" s="74" t="inlineStr">
        <is>
          <t>Subtotal "Y" (X + GST)</t>
        </is>
      </c>
      <c r="D39" s="68" t="n"/>
      <c r="E39" s="68" t="n"/>
      <c r="F39" s="68" t="n"/>
      <c r="G39" s="5">
        <f>G37 + G38</f>
        <v/>
      </c>
      <c r="H39" s="70" t="inlineStr">
        <is>
          <t>Running compounded subtotal</t>
        </is>
      </c>
      <c r="I39" s="68" t="n"/>
    </row>
    <row r="40" ht="22" customHeight="1">
      <c r="A40" s="52" t="inlineStr">
        <is>
          <t>Z1</t>
        </is>
      </c>
      <c r="B40" s="59" t="inlineStr">
        <is>
          <t>YES</t>
        </is>
      </c>
      <c r="C40" s="20" t="inlineStr">
        <is>
          <t>Add Contractor Profit &amp; Overheads on (Y - A)</t>
        </is>
      </c>
      <c r="D40" s="58" t="n"/>
      <c r="E40" s="55">
        <f>G39 - G35</f>
        <v/>
      </c>
      <c r="F40" s="71">
        <f>Factor_CPOH</f>
        <v/>
      </c>
      <c r="G40" s="72">
        <f>IF(B40="YES", ROUND(E40 * F40, 2), 0)</f>
        <v/>
      </c>
      <c r="H40" s="24" t="inlineStr">
        <is>
          <t>Standard 15% CPOH, net of A.</t>
        </is>
      </c>
      <c r="I40" s="58" t="n"/>
    </row>
    <row r="41" ht="22" customHeight="1">
      <c r="A41" s="2" t="inlineStr">
        <is>
          <t>Z</t>
        </is>
      </c>
      <c r="B41" s="73" t="inlineStr">
        <is>
          <t>-</t>
        </is>
      </c>
      <c r="C41" s="74" t="inlineStr">
        <is>
          <t>Subtotal "Z" (Y + CPOH)</t>
        </is>
      </c>
      <c r="D41" s="68" t="n"/>
      <c r="E41" s="68" t="n"/>
      <c r="F41" s="68" t="n"/>
      <c r="G41" s="5">
        <f>G39 + G40</f>
        <v/>
      </c>
      <c r="H41" s="70" t="inlineStr">
        <is>
          <t>Running compounded subtotal</t>
        </is>
      </c>
      <c r="I41" s="68" t="n"/>
    </row>
    <row r="42" ht="22" customHeight="1">
      <c r="A42" s="52" t="inlineStr">
        <is>
          <t>Z2</t>
        </is>
      </c>
      <c r="B42" s="59" t="inlineStr">
        <is>
          <t>YES</t>
        </is>
      </c>
      <c r="C42" s="20" t="inlineStr">
        <is>
          <t>Add BOCW Welfare Cess on (Z - A)</t>
        </is>
      </c>
      <c r="D42" s="58" t="n"/>
      <c r="E42" s="55">
        <f>G41 - G35</f>
        <v/>
      </c>
      <c r="F42" s="71">
        <f>Factor_Cess</f>
        <v/>
      </c>
      <c r="G42" s="72">
        <f>IF(B42="YES", ROUND(E42 * F42, 2), 0)</f>
        <v/>
      </c>
      <c r="H42" s="24" t="inlineStr">
        <is>
          <t>Statutory 1% BOCW Welfare Cess, net of A.</t>
        </is>
      </c>
      <c r="I42" s="58" t="n"/>
    </row>
    <row r="43">
      <c r="A43" s="75" t="inlineStr">
        <is>
          <t>Cost of 1.00 cum:</t>
        </is>
      </c>
      <c r="B43" s="76" t="n"/>
      <c r="C43" s="76" t="n"/>
      <c r="D43" s="76" t="n"/>
      <c r="E43" s="76" t="n"/>
      <c r="F43" s="76" t="n"/>
      <c r="G43" s="77">
        <f>ROUND(G41 + G42, 2)</f>
        <v/>
      </c>
      <c r="H43" s="76" t="n"/>
      <c r="I43" s="76" t="n"/>
    </row>
    <row r="44" ht="30" customHeight="1">
      <c r="A44" s="78" t="inlineStr">
        <is>
          <t>RESOLVED RATE per 1.00 cum  (SAY):</t>
        </is>
      </c>
      <c r="B44" s="79" t="n"/>
      <c r="C44" s="79" t="n"/>
      <c r="D44" s="79" t="n"/>
      <c r="E44" s="79" t="n"/>
      <c r="F44" s="79" t="n"/>
      <c r="G44" s="56">
        <f>ROUND(G43 / 1.0, 2)</f>
        <v/>
      </c>
      <c r="H44" s="80" t="inlineStr">
        <is>
          <t>CPWD DAR 2019 printed Say rate for this item = Rs 8,025.00 per cum. Any difference means a Rates_Master rate has been edited away from the 2019 base.</t>
        </is>
      </c>
      <c r="I44" s="79" t="n"/>
    </row>
    <row r="45"/>
    <row r="46" ht="32" customHeight="1">
      <c r="A46" s="57" t="inlineStr">
        <is>
          <t>ITEM 13.50.1  -  13 Finishing (Vol.2)  -  Applying priming coat with ready mixed pink or Grey primer of approved brand and manufacture on wood work (hard and soft wood)</t>
        </is>
      </c>
    </row>
    <row r="47" ht="20" customHeight="1">
      <c r="A47" s="16" t="inlineStr">
        <is>
          <t>Basis:</t>
        </is>
      </c>
      <c r="B47" s="54" t="n">
        <v>10</v>
      </c>
      <c r="C47" s="20" t="inlineStr">
        <is>
          <t>sqm</t>
        </is>
      </c>
      <c r="D47" s="16" t="inlineStr">
        <is>
          <t>Consumed by:</t>
        </is>
      </c>
      <c r="E47" s="24" t="inlineStr">
        <is>
          <t>09_Wood_and_PVC_Work (primer on wood work)</t>
        </is>
      </c>
      <c r="F47" s="58" t="n"/>
      <c r="G47" s="58" t="n"/>
      <c r="H47" s="58" t="n"/>
      <c r="I47" s="58"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59" t="inlineStr">
        <is>
          <t>0823</t>
        </is>
      </c>
      <c r="C49" s="60">
        <f>IFERROR(INDEX(Rates_Master!$C:$C, MATCH(B49, Rates_Master!$A:$A, 0)), "Code not found in Rates_Master")</f>
        <v/>
      </c>
      <c r="D49" s="61">
        <f>IFERROR(INDEX(Rates_Master!$D:$D, MATCH(B49, Rates_Master!$A:$A, 0)), "")</f>
        <v/>
      </c>
      <c r="E49" s="62" t="n">
        <v>0.75</v>
      </c>
      <c r="F49" s="63">
        <f>IFERROR(INDEX(Rates_Master!$E:$E, MATCH(B49, Rates_Master!$A:$A, 0)), 0)</f>
        <v/>
      </c>
      <c r="G49" s="55">
        <f>ROUND(E49 * F49, 2)</f>
        <v/>
      </c>
      <c r="H49" s="24" t="inlineStr">
        <is>
          <t>Pink primer (for wood)</t>
        </is>
      </c>
      <c r="I49" s="52" t="inlineStr"/>
    </row>
    <row r="50" ht="20" customHeight="1">
      <c r="A50" s="19" t="n">
        <v>2</v>
      </c>
      <c r="B50" s="59" t="inlineStr">
        <is>
          <t>0131</t>
        </is>
      </c>
      <c r="C50" s="60">
        <f>IFERROR(INDEX(Rates_Master!$C:$C, MATCH(B50, Rates_Master!$A:$A, 0)), "Code not found in Rates_Master")</f>
        <v/>
      </c>
      <c r="D50" s="61">
        <f>IFERROR(INDEX(Rates_Master!$D:$D, MATCH(B50, Rates_Master!$A:$A, 0)), "")</f>
        <v/>
      </c>
      <c r="E50" s="62" t="n">
        <v>0.25</v>
      </c>
      <c r="F50" s="63">
        <f>IFERROR(INDEX(Rates_Master!$E:$E, MATCH(B50, Rates_Master!$A:$A, 0)), 0)</f>
        <v/>
      </c>
      <c r="G50" s="55">
        <f>ROUND(E50 * F50, 2)</f>
        <v/>
      </c>
      <c r="H50" s="24" t="inlineStr">
        <is>
          <t>Painter</t>
        </is>
      </c>
      <c r="I50" s="19" t="inlineStr"/>
    </row>
    <row r="51" ht="20" customHeight="1">
      <c r="A51" s="19" t="n">
        <v>3</v>
      </c>
      <c r="B51" s="59" t="inlineStr">
        <is>
          <t>0115</t>
        </is>
      </c>
      <c r="C51" s="60">
        <f>IFERROR(INDEX(Rates_Master!$C:$C, MATCH(B51, Rates_Master!$A:$A, 0)), "Code not found in Rates_Master")</f>
        <v/>
      </c>
      <c r="D51" s="61">
        <f>IFERROR(INDEX(Rates_Master!$D:$D, MATCH(B51, Rates_Master!$A:$A, 0)), "")</f>
        <v/>
      </c>
      <c r="E51" s="62" t="n">
        <v>0.25</v>
      </c>
      <c r="F51" s="63">
        <f>IFERROR(INDEX(Rates_Master!$E:$E, MATCH(B51, Rates_Master!$A:$A, 0)), 0)</f>
        <v/>
      </c>
      <c r="G51" s="55">
        <f>ROUND(E51 * F51, 2)</f>
        <v/>
      </c>
      <c r="H51" s="24" t="inlineStr">
        <is>
          <t>Coolie</t>
        </is>
      </c>
      <c r="I51" s="19" t="inlineStr"/>
    </row>
    <row r="52" ht="20" customHeight="1">
      <c r="A52" s="19" t="n">
        <v>4</v>
      </c>
      <c r="B52" s="52" t="inlineStr">
        <is>
          <t>9999</t>
        </is>
      </c>
      <c r="C52" s="20" t="inlineStr">
        <is>
          <t>Putty</t>
        </is>
      </c>
      <c r="D52" s="19" t="inlineStr">
        <is>
          <t>L.S.</t>
        </is>
      </c>
      <c r="E52" s="64" t="n">
        <v>2.73</v>
      </c>
      <c r="F52" s="65">
        <f>Factor_Sundries</f>
        <v/>
      </c>
      <c r="G52" s="55">
        <f>ROUND(E52 * F52, 2)</f>
        <v/>
      </c>
      <c r="H52" s="66" t="inlineStr">
        <is>
          <t>Base L.S. allowance x Cost Index Multiplier (Global_Factors)</t>
        </is>
      </c>
      <c r="I52" s="19" t="inlineStr"/>
    </row>
    <row r="53" ht="20" customHeight="1">
      <c r="A53" s="19" t="n">
        <v>5</v>
      </c>
      <c r="B53" s="52" t="inlineStr">
        <is>
          <t>9999</t>
        </is>
      </c>
      <c r="C53" s="20" t="inlineStr">
        <is>
          <t>Carriage of material</t>
        </is>
      </c>
      <c r="D53" s="19" t="inlineStr">
        <is>
          <t>L.S.</t>
        </is>
      </c>
      <c r="E53" s="64" t="n">
        <v>0.39</v>
      </c>
      <c r="F53" s="65">
        <f>Factor_Sundries</f>
        <v/>
      </c>
      <c r="G53" s="55">
        <f>ROUND(E53 * F53, 2)</f>
        <v/>
      </c>
      <c r="H53" s="66" t="inlineStr">
        <is>
          <t>Base L.S. allowance x Cost Index Multiplier (Global_Factors)</t>
        </is>
      </c>
      <c r="I53" s="19" t="inlineStr"/>
    </row>
    <row r="54" ht="20" customHeight="1">
      <c r="A54" s="19" t="n">
        <v>6</v>
      </c>
      <c r="B54" s="52" t="inlineStr">
        <is>
          <t>9999</t>
        </is>
      </c>
      <c r="C54" s="20" t="inlineStr">
        <is>
          <t>Brushes, sand paper etc.</t>
        </is>
      </c>
      <c r="D54" s="19" t="inlineStr">
        <is>
          <t>L.S.</t>
        </is>
      </c>
      <c r="E54" s="64" t="n">
        <v>5.33</v>
      </c>
      <c r="F54" s="65">
        <f>Factor_Sundries</f>
        <v/>
      </c>
      <c r="G54" s="55">
        <f>ROUND(E54 * F54, 2)</f>
        <v/>
      </c>
      <c r="H54" s="66" t="inlineStr">
        <is>
          <t>Base L.S. allowance x Cost Index Multiplier (Global_Factors)</t>
        </is>
      </c>
      <c r="I54" s="19" t="inlineStr"/>
    </row>
    <row r="55" ht="20" customHeight="1">
      <c r="A55" s="19" t="n">
        <v>7</v>
      </c>
      <c r="B55" s="52" t="inlineStr">
        <is>
          <t>9999</t>
        </is>
      </c>
      <c r="C55" s="20" t="inlineStr">
        <is>
          <t>Sundries</t>
        </is>
      </c>
      <c r="D55" s="19" t="inlineStr">
        <is>
          <t>L.S.</t>
        </is>
      </c>
      <c r="E55" s="64" t="n">
        <v>10.79</v>
      </c>
      <c r="F55" s="65">
        <f>Factor_Sundries</f>
        <v/>
      </c>
      <c r="G55" s="55">
        <f>ROUND(E55 * F55, 2)</f>
        <v/>
      </c>
      <c r="H55" s="66" t="inlineStr">
        <is>
          <t>Base L.S. allowance x Cost Index Multiplier (Global_Factors)</t>
        </is>
      </c>
      <c r="I55" s="19" t="inlineStr"/>
    </row>
    <row r="56">
      <c r="A56" s="67" t="inlineStr">
        <is>
          <t>TOTAL DIRECT COST "W" (all lines above):</t>
        </is>
      </c>
      <c r="B56" s="68" t="n"/>
      <c r="C56" s="68" t="n"/>
      <c r="D56" s="68" t="n"/>
      <c r="E56" s="68" t="n"/>
      <c r="F56" s="68" t="n"/>
      <c r="G56" s="5">
        <f>ROUND(SUM(G49:G55), 2)</f>
        <v/>
      </c>
      <c r="H56" s="69" t="inlineStr">
        <is>
          <t>Book value of W for item 13.50.1 = Rs 426.48</t>
        </is>
      </c>
      <c r="I56" s="68" t="n"/>
    </row>
    <row r="57" ht="28" customHeight="1">
      <c r="A57" s="67" t="inlineStr">
        <is>
          <t>Less "A" - imported lines already carrying statutory markups:</t>
        </is>
      </c>
      <c r="B57" s="68" t="n"/>
      <c r="C57" s="68" t="n"/>
      <c r="D57" s="68" t="n"/>
      <c r="E57" s="68" t="n"/>
      <c r="F57" s="68" t="n"/>
      <c r="G57" s="5">
        <f>ROUND(SUMIF($I$49:$I$55, "A", $G$49:$G$55), 2)</f>
        <v/>
      </c>
      <c r="H57" s="70" t="inlineStr">
        <is>
          <t>CPWD convention: markups are computed on (W-A), (X-A), (Y-A), (Z-A). A line tagged "A" is an imported rate that already includes Water, GST, CPOH and Cess.</t>
        </is>
      </c>
      <c r="I57" s="68" t="n"/>
    </row>
    <row r="58" ht="22" customHeight="1">
      <c r="A58" s="52" t="inlineStr">
        <is>
          <t>X1</t>
        </is>
      </c>
      <c r="B58" s="59" t="inlineStr">
        <is>
          <t>YES</t>
        </is>
      </c>
      <c r="C58" s="20" t="inlineStr">
        <is>
          <t>Add Water Charges on (W - A)</t>
        </is>
      </c>
      <c r="D58" s="58" t="n"/>
      <c r="E58" s="55">
        <f>G56 - G57</f>
        <v/>
      </c>
      <c r="F58" s="71">
        <f>Factor_Water</f>
        <v/>
      </c>
      <c r="G58" s="72">
        <f>IF(B58="YES", ROUND(E58 * F58, 2), 0)</f>
        <v/>
      </c>
      <c r="H58" s="24" t="inlineStr">
        <is>
          <t>CPWD: 1% water charges, computed on the direct cost net of A-tagged imports.</t>
        </is>
      </c>
      <c r="I58" s="58" t="n"/>
    </row>
    <row r="59" ht="22" customHeight="1">
      <c r="A59" s="2" t="inlineStr">
        <is>
          <t>X</t>
        </is>
      </c>
      <c r="B59" s="73" t="inlineStr">
        <is>
          <t>-</t>
        </is>
      </c>
      <c r="C59" s="74" t="inlineStr">
        <is>
          <t>Subtotal "X" (W + Water Charges)</t>
        </is>
      </c>
      <c r="D59" s="68" t="n"/>
      <c r="E59" s="68" t="n"/>
      <c r="F59" s="68" t="n"/>
      <c r="G59" s="5">
        <f>G56 + G58</f>
        <v/>
      </c>
      <c r="H59" s="70" t="inlineStr">
        <is>
          <t>Running compounded subtotal</t>
        </is>
      </c>
      <c r="I59" s="68" t="n"/>
    </row>
    <row r="60" ht="22" customHeight="1">
      <c r="A60" s="52" t="inlineStr">
        <is>
          <t>Y1</t>
        </is>
      </c>
      <c r="B60" s="59" t="inlineStr">
        <is>
          <t>YES</t>
        </is>
      </c>
      <c r="C60" s="20" t="inlineStr">
        <is>
          <t>Add GST on (X - A)</t>
        </is>
      </c>
      <c r="D60" s="58" t="n"/>
      <c r="E60" s="55">
        <f>G59 - G57</f>
        <v/>
      </c>
      <c r="F60" s="71">
        <f>Factor_GST</f>
        <v/>
      </c>
      <c r="G60" s="72">
        <f>IF(B60="YES", ROUND(E60 * F60, 2), 0)</f>
        <v/>
      </c>
      <c r="H60" s="24" t="inlineStr">
        <is>
          <t>CPWD DAR 2019 works contract multiplying factor 0.1405, net of A.</t>
        </is>
      </c>
      <c r="I60" s="58" t="n"/>
    </row>
    <row r="61" ht="22" customHeight="1">
      <c r="A61" s="2" t="inlineStr">
        <is>
          <t>Y</t>
        </is>
      </c>
      <c r="B61" s="73" t="inlineStr">
        <is>
          <t>-</t>
        </is>
      </c>
      <c r="C61" s="74" t="inlineStr">
        <is>
          <t>Subtotal "Y" (X + GST)</t>
        </is>
      </c>
      <c r="D61" s="68" t="n"/>
      <c r="E61" s="68" t="n"/>
      <c r="F61" s="68" t="n"/>
      <c r="G61" s="5">
        <f>G59 + G60</f>
        <v/>
      </c>
      <c r="H61" s="70" t="inlineStr">
        <is>
          <t>Running compounded subtotal</t>
        </is>
      </c>
      <c r="I61" s="68" t="n"/>
    </row>
    <row r="62" ht="22" customHeight="1">
      <c r="A62" s="52" t="inlineStr">
        <is>
          <t>Z1</t>
        </is>
      </c>
      <c r="B62" s="59" t="inlineStr">
        <is>
          <t>YES</t>
        </is>
      </c>
      <c r="C62" s="20" t="inlineStr">
        <is>
          <t>Add Contractor Profit &amp; Overheads on (Y - A)</t>
        </is>
      </c>
      <c r="D62" s="58" t="n"/>
      <c r="E62" s="55">
        <f>G61 - G57</f>
        <v/>
      </c>
      <c r="F62" s="71">
        <f>Factor_CPOH</f>
        <v/>
      </c>
      <c r="G62" s="72">
        <f>IF(B62="YES", ROUND(E62 * F62, 2), 0)</f>
        <v/>
      </c>
      <c r="H62" s="24" t="inlineStr">
        <is>
          <t>Standard 15% CPOH, net of A.</t>
        </is>
      </c>
      <c r="I62" s="58" t="n"/>
    </row>
    <row r="63" ht="22" customHeight="1">
      <c r="A63" s="2" t="inlineStr">
        <is>
          <t>Z</t>
        </is>
      </c>
      <c r="B63" s="73" t="inlineStr">
        <is>
          <t>-</t>
        </is>
      </c>
      <c r="C63" s="74" t="inlineStr">
        <is>
          <t>Subtotal "Z" (Y + CPOH)</t>
        </is>
      </c>
      <c r="D63" s="68" t="n"/>
      <c r="E63" s="68" t="n"/>
      <c r="F63" s="68" t="n"/>
      <c r="G63" s="5">
        <f>G61 + G62</f>
        <v/>
      </c>
      <c r="H63" s="70" t="inlineStr">
        <is>
          <t>Running compounded subtotal</t>
        </is>
      </c>
      <c r="I63" s="68" t="n"/>
    </row>
    <row r="64" ht="22" customHeight="1">
      <c r="A64" s="52" t="inlineStr">
        <is>
          <t>Z2</t>
        </is>
      </c>
      <c r="B64" s="59" t="inlineStr">
        <is>
          <t>YES</t>
        </is>
      </c>
      <c r="C64" s="20" t="inlineStr">
        <is>
          <t>Add BOCW Welfare Cess on (Z - A)</t>
        </is>
      </c>
      <c r="D64" s="58" t="n"/>
      <c r="E64" s="55">
        <f>G63 - G57</f>
        <v/>
      </c>
      <c r="F64" s="71">
        <f>Factor_Cess</f>
        <v/>
      </c>
      <c r="G64" s="72">
        <f>IF(B64="YES", ROUND(E64 * F64, 2), 0)</f>
        <v/>
      </c>
      <c r="H64" s="24" t="inlineStr">
        <is>
          <t>Statutory 1% BOCW Welfare Cess, net of A.</t>
        </is>
      </c>
      <c r="I64" s="58" t="n"/>
    </row>
    <row r="65">
      <c r="A65" s="75" t="inlineStr">
        <is>
          <t>Cost of 10.00 sqm:</t>
        </is>
      </c>
      <c r="B65" s="76" t="n"/>
      <c r="C65" s="76" t="n"/>
      <c r="D65" s="76" t="n"/>
      <c r="E65" s="76" t="n"/>
      <c r="F65" s="76" t="n"/>
      <c r="G65" s="77">
        <f>ROUND(G63 + G64, 2)</f>
        <v/>
      </c>
      <c r="H65" s="76" t="n"/>
      <c r="I65" s="76" t="n"/>
    </row>
    <row r="66" ht="30" customHeight="1">
      <c r="A66" s="78" t="inlineStr">
        <is>
          <t>RESOLVED RATE per 1.00 sqm  (SAY):</t>
        </is>
      </c>
      <c r="B66" s="79" t="n"/>
      <c r="C66" s="79" t="n"/>
      <c r="D66" s="79" t="n"/>
      <c r="E66" s="79" t="n"/>
      <c r="F66" s="79" t="n"/>
      <c r="G66" s="56">
        <f>ROUND(G65 / 10.0, 2)</f>
        <v/>
      </c>
      <c r="H66" s="80" t="inlineStr">
        <is>
          <t>CPWD DAR 2019 printed Say rate for this item = Rs 57.05 per sqm. Any difference means a Rates_Master rate has been edited away from the 2019 base.</t>
        </is>
      </c>
      <c r="I66" s="79" t="n"/>
    </row>
    <row r="67"/>
    <row r="68" ht="32" customHeight="1">
      <c r="A68" s="57" t="inlineStr">
        <is>
          <t>ITEM 13.50.3  -  13 Finishing (Vol.2)  -  Applying priming coat with ready mixed red oxide zinc chromate primer of approved brand and manufacture on steel / iron work</t>
        </is>
      </c>
    </row>
    <row r="69" ht="20" customHeight="1">
      <c r="A69" s="16" t="inlineStr">
        <is>
          <t>Basis:</t>
        </is>
      </c>
      <c r="B69" s="54" t="n">
        <v>10</v>
      </c>
      <c r="C69" s="20" t="inlineStr">
        <is>
          <t>sqm</t>
        </is>
      </c>
      <c r="D69" s="16" t="inlineStr">
        <is>
          <t>Consumed by:</t>
        </is>
      </c>
      <c r="E69" s="24" t="inlineStr">
        <is>
          <t>10_Steel_Work (priming coat), 09_Wood_and_PVC_Work (steel fittings)</t>
        </is>
      </c>
      <c r="F69" s="58" t="n"/>
      <c r="G69" s="58" t="n"/>
      <c r="H69" s="58" t="n"/>
      <c r="I69" s="58"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59" t="inlineStr">
        <is>
          <t>4202</t>
        </is>
      </c>
      <c r="C71" s="60">
        <f>IFERROR(INDEX(Rates_Master!$C:$C, MATCH(B71, Rates_Master!$A:$A, 0)), "Code not found in Rates_Master")</f>
        <v/>
      </c>
      <c r="D71" s="61">
        <f>IFERROR(INDEX(Rates_Master!$D:$D, MATCH(B71, Rates_Master!$A:$A, 0)), "")</f>
        <v/>
      </c>
      <c r="E71" s="62" t="n">
        <v>0.54</v>
      </c>
      <c r="F71" s="63">
        <f>IFERROR(INDEX(Rates_Master!$E:$E, MATCH(B71, Rates_Master!$A:$A, 0)), 0)</f>
        <v/>
      </c>
      <c r="G71" s="55">
        <f>ROUND(E71 * F71, 2)</f>
        <v/>
      </c>
      <c r="H71" s="24" t="inlineStr">
        <is>
          <t>Red oxide zinc chromate primer</t>
        </is>
      </c>
      <c r="I71" s="52" t="inlineStr"/>
    </row>
    <row r="72" ht="20" customHeight="1">
      <c r="A72" s="19" t="n">
        <v>2</v>
      </c>
      <c r="B72" s="59" t="inlineStr">
        <is>
          <t>0131</t>
        </is>
      </c>
      <c r="C72" s="60">
        <f>IFERROR(INDEX(Rates_Master!$C:$C, MATCH(B72, Rates_Master!$A:$A, 0)), "Code not found in Rates_Master")</f>
        <v/>
      </c>
      <c r="D72" s="61">
        <f>IFERROR(INDEX(Rates_Master!$D:$D, MATCH(B72, Rates_Master!$A:$A, 0)), "")</f>
        <v/>
      </c>
      <c r="E72" s="62" t="n">
        <v>0.24</v>
      </c>
      <c r="F72" s="63">
        <f>IFERROR(INDEX(Rates_Master!$E:$E, MATCH(B72, Rates_Master!$A:$A, 0)), 0)</f>
        <v/>
      </c>
      <c r="G72" s="55">
        <f>ROUND(E72 * F72, 2)</f>
        <v/>
      </c>
      <c r="H72" s="24" t="inlineStr">
        <is>
          <t>Painter</t>
        </is>
      </c>
      <c r="I72" s="19" t="inlineStr"/>
    </row>
    <row r="73" ht="20" customHeight="1">
      <c r="A73" s="19" t="n">
        <v>3</v>
      </c>
      <c r="B73" s="59" t="inlineStr">
        <is>
          <t>0115</t>
        </is>
      </c>
      <c r="C73" s="60">
        <f>IFERROR(INDEX(Rates_Master!$C:$C, MATCH(B73, Rates_Master!$A:$A, 0)), "Code not found in Rates_Master")</f>
        <v/>
      </c>
      <c r="D73" s="61">
        <f>IFERROR(INDEX(Rates_Master!$D:$D, MATCH(B73, Rates_Master!$A:$A, 0)), "")</f>
        <v/>
      </c>
      <c r="E73" s="62" t="n">
        <v>0.24</v>
      </c>
      <c r="F73" s="63">
        <f>IFERROR(INDEX(Rates_Master!$E:$E, MATCH(B73, Rates_Master!$A:$A, 0)), 0)</f>
        <v/>
      </c>
      <c r="G73" s="55">
        <f>ROUND(E73 * F73, 2)</f>
        <v/>
      </c>
      <c r="H73" s="24" t="inlineStr">
        <is>
          <t>Coolie</t>
        </is>
      </c>
      <c r="I73" s="19" t="inlineStr"/>
    </row>
    <row r="74" ht="20" customHeight="1">
      <c r="A74" s="19" t="n">
        <v>4</v>
      </c>
      <c r="B74" s="52" t="inlineStr">
        <is>
          <t>9999</t>
        </is>
      </c>
      <c r="C74" s="20" t="inlineStr">
        <is>
          <t>Carriage of material</t>
        </is>
      </c>
      <c r="D74" s="19" t="inlineStr">
        <is>
          <t>L.S.</t>
        </is>
      </c>
      <c r="E74" s="64" t="n">
        <v>0.52</v>
      </c>
      <c r="F74" s="65">
        <f>Factor_Sundries</f>
        <v/>
      </c>
      <c r="G74" s="55">
        <f>ROUND(E74 * F74, 2)</f>
        <v/>
      </c>
      <c r="H74" s="66" t="inlineStr">
        <is>
          <t>Base L.S. allowance x Cost Index Multiplier (Global_Factors)</t>
        </is>
      </c>
      <c r="I74" s="19" t="inlineStr"/>
    </row>
    <row r="75" ht="20" customHeight="1">
      <c r="A75" s="19" t="n">
        <v>5</v>
      </c>
      <c r="B75" s="52" t="inlineStr">
        <is>
          <t>9999</t>
        </is>
      </c>
      <c r="C75" s="20" t="inlineStr">
        <is>
          <t>Brushes, sand paper including sundries</t>
        </is>
      </c>
      <c r="D75" s="19" t="inlineStr">
        <is>
          <t>L.S.</t>
        </is>
      </c>
      <c r="E75" s="64" t="n">
        <v>10.79</v>
      </c>
      <c r="F75" s="65">
        <f>Factor_Sundries</f>
        <v/>
      </c>
      <c r="G75" s="55">
        <f>ROUND(E75 * F75, 2)</f>
        <v/>
      </c>
      <c r="H75" s="66" t="inlineStr">
        <is>
          <t>Base L.S. allowance x Cost Index Multiplier (Global_Factors)</t>
        </is>
      </c>
      <c r="I75" s="19" t="inlineStr"/>
    </row>
    <row r="76">
      <c r="A76" s="67" t="inlineStr">
        <is>
          <t>TOTAL DIRECT COST "W" (all lines above):</t>
        </is>
      </c>
      <c r="B76" s="68" t="n"/>
      <c r="C76" s="68" t="n"/>
      <c r="D76" s="68" t="n"/>
      <c r="E76" s="68" t="n"/>
      <c r="F76" s="68" t="n"/>
      <c r="G76" s="5">
        <f>ROUND(SUM(G71:G75), 2)</f>
        <v/>
      </c>
      <c r="H76" s="69" t="inlineStr">
        <is>
          <t>Book value of W for item 13.50.3 = Rs 378.90</t>
        </is>
      </c>
      <c r="I76" s="68" t="n"/>
    </row>
    <row r="77" ht="28" customHeight="1">
      <c r="A77" s="67" t="inlineStr">
        <is>
          <t>Less "A" - imported lines already carrying statutory markups:</t>
        </is>
      </c>
      <c r="B77" s="68" t="n"/>
      <c r="C77" s="68" t="n"/>
      <c r="D77" s="68" t="n"/>
      <c r="E77" s="68" t="n"/>
      <c r="F77" s="68" t="n"/>
      <c r="G77" s="5">
        <f>ROUND(SUMIF($I$71:$I$75, "A", $G$71:$G$75), 2)</f>
        <v/>
      </c>
      <c r="H77" s="70" t="inlineStr">
        <is>
          <t>CPWD convention: markups are computed on (W-A), (X-A), (Y-A), (Z-A). A line tagged "A" is an imported rate that already includes Water, GST, CPOH and Cess.</t>
        </is>
      </c>
      <c r="I77" s="68" t="n"/>
    </row>
    <row r="78" ht="22" customHeight="1">
      <c r="A78" s="52" t="inlineStr">
        <is>
          <t>X1</t>
        </is>
      </c>
      <c r="B78" s="59" t="inlineStr">
        <is>
          <t>YES</t>
        </is>
      </c>
      <c r="C78" s="20" t="inlineStr">
        <is>
          <t>Add Water Charges on (W - A)</t>
        </is>
      </c>
      <c r="D78" s="58" t="n"/>
      <c r="E78" s="55">
        <f>G76 - G77</f>
        <v/>
      </c>
      <c r="F78" s="71">
        <f>Factor_Water</f>
        <v/>
      </c>
      <c r="G78" s="72">
        <f>IF(B78="YES", ROUND(E78 * F78, 2), 0)</f>
        <v/>
      </c>
      <c r="H78" s="24" t="inlineStr">
        <is>
          <t>CPWD: 1% water charges, computed on the direct cost net of A-tagged imports.</t>
        </is>
      </c>
      <c r="I78" s="58" t="n"/>
    </row>
    <row r="79" ht="22" customHeight="1">
      <c r="A79" s="2" t="inlineStr">
        <is>
          <t>X</t>
        </is>
      </c>
      <c r="B79" s="73" t="inlineStr">
        <is>
          <t>-</t>
        </is>
      </c>
      <c r="C79" s="74" t="inlineStr">
        <is>
          <t>Subtotal "X" (W + Water Charges)</t>
        </is>
      </c>
      <c r="D79" s="68" t="n"/>
      <c r="E79" s="68" t="n"/>
      <c r="F79" s="68" t="n"/>
      <c r="G79" s="5">
        <f>G76 + G78</f>
        <v/>
      </c>
      <c r="H79" s="70" t="inlineStr">
        <is>
          <t>Running compounded subtotal</t>
        </is>
      </c>
      <c r="I79" s="68" t="n"/>
    </row>
    <row r="80" ht="22" customHeight="1">
      <c r="A80" s="52" t="inlineStr">
        <is>
          <t>Y1</t>
        </is>
      </c>
      <c r="B80" s="59" t="inlineStr">
        <is>
          <t>YES</t>
        </is>
      </c>
      <c r="C80" s="20" t="inlineStr">
        <is>
          <t>Add GST on (X - A)</t>
        </is>
      </c>
      <c r="D80" s="58" t="n"/>
      <c r="E80" s="55">
        <f>G79 - G77</f>
        <v/>
      </c>
      <c r="F80" s="71">
        <f>Factor_GST</f>
        <v/>
      </c>
      <c r="G80" s="72">
        <f>IF(B80="YES", ROUND(E80 * F80, 2), 0)</f>
        <v/>
      </c>
      <c r="H80" s="24" t="inlineStr">
        <is>
          <t>CPWD DAR 2019 works contract multiplying factor 0.1405, net of A.</t>
        </is>
      </c>
      <c r="I80" s="58" t="n"/>
    </row>
    <row r="81" ht="22" customHeight="1">
      <c r="A81" s="2" t="inlineStr">
        <is>
          <t>Y</t>
        </is>
      </c>
      <c r="B81" s="73" t="inlineStr">
        <is>
          <t>-</t>
        </is>
      </c>
      <c r="C81" s="74" t="inlineStr">
        <is>
          <t>Subtotal "Y" (X + GST)</t>
        </is>
      </c>
      <c r="D81" s="68" t="n"/>
      <c r="E81" s="68" t="n"/>
      <c r="F81" s="68" t="n"/>
      <c r="G81" s="5">
        <f>G79 + G80</f>
        <v/>
      </c>
      <c r="H81" s="70" t="inlineStr">
        <is>
          <t>Running compounded subtotal</t>
        </is>
      </c>
      <c r="I81" s="68" t="n"/>
    </row>
    <row r="82" ht="22" customHeight="1">
      <c r="A82" s="52" t="inlineStr">
        <is>
          <t>Z1</t>
        </is>
      </c>
      <c r="B82" s="59" t="inlineStr">
        <is>
          <t>YES</t>
        </is>
      </c>
      <c r="C82" s="20" t="inlineStr">
        <is>
          <t>Add Contractor Profit &amp; Overheads on (Y - A)</t>
        </is>
      </c>
      <c r="D82" s="58" t="n"/>
      <c r="E82" s="55">
        <f>G81 - G77</f>
        <v/>
      </c>
      <c r="F82" s="71">
        <f>Factor_CPOH</f>
        <v/>
      </c>
      <c r="G82" s="72">
        <f>IF(B82="YES", ROUND(E82 * F82, 2), 0)</f>
        <v/>
      </c>
      <c r="H82" s="24" t="inlineStr">
        <is>
          <t>Standard 15% CPOH, net of A.</t>
        </is>
      </c>
      <c r="I82" s="58" t="n"/>
    </row>
    <row r="83" ht="22" customHeight="1">
      <c r="A83" s="2" t="inlineStr">
        <is>
          <t>Z</t>
        </is>
      </c>
      <c r="B83" s="73" t="inlineStr">
        <is>
          <t>-</t>
        </is>
      </c>
      <c r="C83" s="74" t="inlineStr">
        <is>
          <t>Subtotal "Z" (Y + CPOH)</t>
        </is>
      </c>
      <c r="D83" s="68" t="n"/>
      <c r="E83" s="68" t="n"/>
      <c r="F83" s="68" t="n"/>
      <c r="G83" s="5">
        <f>G81 + G82</f>
        <v/>
      </c>
      <c r="H83" s="70" t="inlineStr">
        <is>
          <t>Running compounded subtotal</t>
        </is>
      </c>
      <c r="I83" s="68" t="n"/>
    </row>
    <row r="84" ht="22" customHeight="1">
      <c r="A84" s="52" t="inlineStr">
        <is>
          <t>Z2</t>
        </is>
      </c>
      <c r="B84" s="59" t="inlineStr">
        <is>
          <t>YES</t>
        </is>
      </c>
      <c r="C84" s="20" t="inlineStr">
        <is>
          <t>Add BOCW Welfare Cess on (Z - A)</t>
        </is>
      </c>
      <c r="D84" s="58" t="n"/>
      <c r="E84" s="55">
        <f>G83 - G77</f>
        <v/>
      </c>
      <c r="F84" s="71">
        <f>Factor_Cess</f>
        <v/>
      </c>
      <c r="G84" s="72">
        <f>IF(B84="YES", ROUND(E84 * F84, 2), 0)</f>
        <v/>
      </c>
      <c r="H84" s="24" t="inlineStr">
        <is>
          <t>Statutory 1% BOCW Welfare Cess, net of A.</t>
        </is>
      </c>
      <c r="I84" s="58" t="n"/>
    </row>
    <row r="85">
      <c r="A85" s="75" t="inlineStr">
        <is>
          <t>Cost of 10.00 sqm:</t>
        </is>
      </c>
      <c r="B85" s="76" t="n"/>
      <c r="C85" s="76" t="n"/>
      <c r="D85" s="76" t="n"/>
      <c r="E85" s="76" t="n"/>
      <c r="F85" s="76" t="n"/>
      <c r="G85" s="77">
        <f>ROUND(G83 + G84, 2)</f>
        <v/>
      </c>
      <c r="H85" s="76" t="n"/>
      <c r="I85" s="76" t="n"/>
    </row>
    <row r="86" ht="30" customHeight="1">
      <c r="A86" s="78" t="inlineStr">
        <is>
          <t>RESOLVED RATE per 1.00 sqm  (SAY):</t>
        </is>
      </c>
      <c r="B86" s="79" t="n"/>
      <c r="C86" s="79" t="n"/>
      <c r="D86" s="79" t="n"/>
      <c r="E86" s="79" t="n"/>
      <c r="F86" s="79" t="n"/>
      <c r="G86" s="56">
        <f>ROUND(G85 / 10.0, 2)</f>
        <v/>
      </c>
      <c r="H86" s="80" t="inlineStr">
        <is>
          <t>CPWD DAR 2019 printed Say rate for this item = Rs 50.70 per sqm. Any difference means a Rates_Master rate has been edited away from the 2019 base.</t>
        </is>
      </c>
      <c r="I86" s="79" t="n"/>
    </row>
    <row r="87"/>
    <row r="88" ht="32" customHeight="1">
      <c r="A88" s="57" t="inlineStr">
        <is>
          <t>ITEM 13.57.1  -  13 Finishing (Vol.2)  -  Painting with oil type wood preservative of approved brand and manufacture - new work (two or more coats)</t>
        </is>
      </c>
    </row>
    <row r="89" ht="20" customHeight="1">
      <c r="A89" s="16" t="inlineStr">
        <is>
          <t>Basis:</t>
        </is>
      </c>
      <c r="B89" s="54" t="n">
        <v>10</v>
      </c>
      <c r="C89" s="20" t="inlineStr">
        <is>
          <t>sqm</t>
        </is>
      </c>
      <c r="D89" s="16" t="inlineStr">
        <is>
          <t>Consumed by:</t>
        </is>
      </c>
      <c r="E89" s="24" t="inlineStr">
        <is>
          <t>09_Wood_and_PVC_Work (preservative treatment on timber)</t>
        </is>
      </c>
      <c r="F89" s="58" t="n"/>
      <c r="G89" s="58" t="n"/>
      <c r="H89" s="58" t="n"/>
      <c r="I89" s="58"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59" t="inlineStr">
        <is>
          <t>0859</t>
        </is>
      </c>
      <c r="C91" s="60">
        <f>IFERROR(INDEX(Rates_Master!$C:$C, MATCH(B91, Rates_Master!$A:$A, 0)), "Code not found in Rates_Master")</f>
        <v/>
      </c>
      <c r="D91" s="61">
        <f>IFERROR(INDEX(Rates_Master!$D:$D, MATCH(B91, Rates_Master!$A:$A, 0)), "")</f>
        <v/>
      </c>
      <c r="E91" s="62" t="n">
        <v>1</v>
      </c>
      <c r="F91" s="63">
        <f>IFERROR(INDEX(Rates_Master!$E:$E, MATCH(B91, Rates_Master!$A:$A, 0)), 0)</f>
        <v/>
      </c>
      <c r="G91" s="55">
        <f>ROUND(E91 * F91, 2)</f>
        <v/>
      </c>
      <c r="H91" s="24" t="inlineStr">
        <is>
          <t>Oil type wood preservative</t>
        </is>
      </c>
      <c r="I91" s="52" t="inlineStr"/>
    </row>
    <row r="92" ht="20" customHeight="1">
      <c r="A92" s="19" t="n">
        <v>2</v>
      </c>
      <c r="B92" s="59" t="inlineStr">
        <is>
          <t>0131</t>
        </is>
      </c>
      <c r="C92" s="60">
        <f>IFERROR(INDEX(Rates_Master!$C:$C, MATCH(B92, Rates_Master!$A:$A, 0)), "Code not found in Rates_Master")</f>
        <v/>
      </c>
      <c r="D92" s="61">
        <f>IFERROR(INDEX(Rates_Master!$D:$D, MATCH(B92, Rates_Master!$A:$A, 0)), "")</f>
        <v/>
      </c>
      <c r="E92" s="62" t="n">
        <v>0.15</v>
      </c>
      <c r="F92" s="63">
        <f>IFERROR(INDEX(Rates_Master!$E:$E, MATCH(B92, Rates_Master!$A:$A, 0)), 0)</f>
        <v/>
      </c>
      <c r="G92" s="55">
        <f>ROUND(E92 * F92, 2)</f>
        <v/>
      </c>
      <c r="H92" s="24" t="inlineStr">
        <is>
          <t>Painter</t>
        </is>
      </c>
      <c r="I92" s="19" t="inlineStr"/>
    </row>
    <row r="93" ht="20" customHeight="1">
      <c r="A93" s="19" t="n">
        <v>3</v>
      </c>
      <c r="B93" s="59" t="inlineStr">
        <is>
          <t>0115</t>
        </is>
      </c>
      <c r="C93" s="60">
        <f>IFERROR(INDEX(Rates_Master!$C:$C, MATCH(B93, Rates_Master!$A:$A, 0)), "Code not found in Rates_Master")</f>
        <v/>
      </c>
      <c r="D93" s="61">
        <f>IFERROR(INDEX(Rates_Master!$D:$D, MATCH(B93, Rates_Master!$A:$A, 0)), "")</f>
        <v/>
      </c>
      <c r="E93" s="62" t="n">
        <v>0.15</v>
      </c>
      <c r="F93" s="63">
        <f>IFERROR(INDEX(Rates_Master!$E:$E, MATCH(B93, Rates_Master!$A:$A, 0)), 0)</f>
        <v/>
      </c>
      <c r="G93" s="55">
        <f>ROUND(E93 * F93, 2)</f>
        <v/>
      </c>
      <c r="H93" s="24" t="inlineStr">
        <is>
          <t>Coolie</t>
        </is>
      </c>
      <c r="I93" s="19" t="inlineStr"/>
    </row>
    <row r="94" ht="20" customHeight="1">
      <c r="A94" s="19" t="n">
        <v>4</v>
      </c>
      <c r="B94" s="52" t="inlineStr">
        <is>
          <t>9999</t>
        </is>
      </c>
      <c r="C94" s="20" t="inlineStr">
        <is>
          <t>Carriage of material</t>
        </is>
      </c>
      <c r="D94" s="19" t="inlineStr">
        <is>
          <t>L.S.</t>
        </is>
      </c>
      <c r="E94" s="64" t="n">
        <v>0.52</v>
      </c>
      <c r="F94" s="65">
        <f>Factor_Sundries</f>
        <v/>
      </c>
      <c r="G94" s="55">
        <f>ROUND(E94 * F94, 2)</f>
        <v/>
      </c>
      <c r="H94" s="66" t="inlineStr">
        <is>
          <t>Base L.S. allowance x Cost Index Multiplier (Global_Factors)</t>
        </is>
      </c>
      <c r="I94" s="19" t="inlineStr"/>
    </row>
    <row r="95" ht="20" customHeight="1">
      <c r="A95" s="19" t="n">
        <v>5</v>
      </c>
      <c r="B95" s="52" t="inlineStr">
        <is>
          <t>9999</t>
        </is>
      </c>
      <c r="C95" s="20" t="inlineStr">
        <is>
          <t>Brushes etc.</t>
        </is>
      </c>
      <c r="D95" s="19" t="inlineStr">
        <is>
          <t>L.S.</t>
        </is>
      </c>
      <c r="E95" s="64" t="n">
        <v>4.16</v>
      </c>
      <c r="F95" s="65">
        <f>Factor_Sundries</f>
        <v/>
      </c>
      <c r="G95" s="55">
        <f>ROUND(E95 * F95, 2)</f>
        <v/>
      </c>
      <c r="H95" s="66" t="inlineStr">
        <is>
          <t>Base L.S. allowance x Cost Index Multiplier (Global_Factors)</t>
        </is>
      </c>
      <c r="I95" s="19" t="inlineStr"/>
    </row>
    <row r="96" ht="20" customHeight="1">
      <c r="A96" s="19" t="n">
        <v>6</v>
      </c>
      <c r="B96" s="52" t="inlineStr">
        <is>
          <t>9999</t>
        </is>
      </c>
      <c r="C96" s="20" t="inlineStr">
        <is>
          <t>Sundries</t>
        </is>
      </c>
      <c r="D96" s="19" t="inlineStr">
        <is>
          <t>L.S.</t>
        </is>
      </c>
      <c r="E96" s="64" t="n">
        <v>3.9</v>
      </c>
      <c r="F96" s="65">
        <f>Factor_Sundries</f>
        <v/>
      </c>
      <c r="G96" s="55">
        <f>ROUND(E96 * F96, 2)</f>
        <v/>
      </c>
      <c r="H96" s="66" t="inlineStr">
        <is>
          <t>Base L.S. allowance x Cost Index Multiplier (Global_Factors)</t>
        </is>
      </c>
      <c r="I96" s="19" t="inlineStr"/>
    </row>
    <row r="97">
      <c r="A97" s="67" t="inlineStr">
        <is>
          <t>TOTAL DIRECT COST "W" (all lines above):</t>
        </is>
      </c>
      <c r="B97" s="68" t="n"/>
      <c r="C97" s="68" t="n"/>
      <c r="D97" s="68" t="n"/>
      <c r="E97" s="68" t="n"/>
      <c r="F97" s="68" t="n"/>
      <c r="G97" s="5">
        <f>ROUND(SUM(G91:G96), 2)</f>
        <v/>
      </c>
      <c r="H97" s="69" t="inlineStr">
        <is>
          <t>Book value of W for item 13.57.1 = Rs 332.71</t>
        </is>
      </c>
      <c r="I97" s="68" t="n"/>
    </row>
    <row r="98" ht="28" customHeight="1">
      <c r="A98" s="67" t="inlineStr">
        <is>
          <t>Less "A" - imported lines already carrying statutory markups:</t>
        </is>
      </c>
      <c r="B98" s="68" t="n"/>
      <c r="C98" s="68" t="n"/>
      <c r="D98" s="68" t="n"/>
      <c r="E98" s="68" t="n"/>
      <c r="F98" s="68" t="n"/>
      <c r="G98" s="5">
        <f>ROUND(SUMIF($I$91:$I$96, "A", $G$91:$G$96), 2)</f>
        <v/>
      </c>
      <c r="H98" s="70" t="inlineStr">
        <is>
          <t>CPWD convention: markups are computed on (W-A), (X-A), (Y-A), (Z-A). A line tagged "A" is an imported rate that already includes Water, GST, CPOH and Cess.</t>
        </is>
      </c>
      <c r="I98" s="68" t="n"/>
    </row>
    <row r="99" ht="22" customHeight="1">
      <c r="A99" s="52" t="inlineStr">
        <is>
          <t>X1</t>
        </is>
      </c>
      <c r="B99" s="59" t="inlineStr">
        <is>
          <t>YES</t>
        </is>
      </c>
      <c r="C99" s="20" t="inlineStr">
        <is>
          <t>Add Water Charges on (W - A)</t>
        </is>
      </c>
      <c r="D99" s="58" t="n"/>
      <c r="E99" s="55">
        <f>G97 - G98</f>
        <v/>
      </c>
      <c r="F99" s="71">
        <f>Factor_Water</f>
        <v/>
      </c>
      <c r="G99" s="72">
        <f>IF(B99="YES", ROUND(E99 * F99, 2), 0)</f>
        <v/>
      </c>
      <c r="H99" s="24" t="inlineStr">
        <is>
          <t>CPWD: 1% water charges, computed on the direct cost net of A-tagged imports.</t>
        </is>
      </c>
      <c r="I99" s="58" t="n"/>
    </row>
    <row r="100" ht="22" customHeight="1">
      <c r="A100" s="2" t="inlineStr">
        <is>
          <t>X</t>
        </is>
      </c>
      <c r="B100" s="73" t="inlineStr">
        <is>
          <t>-</t>
        </is>
      </c>
      <c r="C100" s="74" t="inlineStr">
        <is>
          <t>Subtotal "X" (W + Water Charges)</t>
        </is>
      </c>
      <c r="D100" s="68" t="n"/>
      <c r="E100" s="68" t="n"/>
      <c r="F100" s="68" t="n"/>
      <c r="G100" s="5">
        <f>G97 + G99</f>
        <v/>
      </c>
      <c r="H100" s="70" t="inlineStr">
        <is>
          <t>Running compounded subtotal</t>
        </is>
      </c>
      <c r="I100" s="68" t="n"/>
    </row>
    <row r="101" ht="22" customHeight="1">
      <c r="A101" s="52" t="inlineStr">
        <is>
          <t>Y1</t>
        </is>
      </c>
      <c r="B101" s="59" t="inlineStr">
        <is>
          <t>YES</t>
        </is>
      </c>
      <c r="C101" s="20" t="inlineStr">
        <is>
          <t>Add GST on (X - A)</t>
        </is>
      </c>
      <c r="D101" s="58" t="n"/>
      <c r="E101" s="55">
        <f>G100 - G98</f>
        <v/>
      </c>
      <c r="F101" s="71">
        <f>Factor_GST</f>
        <v/>
      </c>
      <c r="G101" s="72">
        <f>IF(B101="YES", ROUND(E101 * F101, 2), 0)</f>
        <v/>
      </c>
      <c r="H101" s="24" t="inlineStr">
        <is>
          <t>CPWD DAR 2019 works contract multiplying factor 0.1405, net of A.</t>
        </is>
      </c>
      <c r="I101" s="58" t="n"/>
    </row>
    <row r="102" ht="22" customHeight="1">
      <c r="A102" s="2" t="inlineStr">
        <is>
          <t>Y</t>
        </is>
      </c>
      <c r="B102" s="73" t="inlineStr">
        <is>
          <t>-</t>
        </is>
      </c>
      <c r="C102" s="74" t="inlineStr">
        <is>
          <t>Subtotal "Y" (X + GST)</t>
        </is>
      </c>
      <c r="D102" s="68" t="n"/>
      <c r="E102" s="68" t="n"/>
      <c r="F102" s="68" t="n"/>
      <c r="G102" s="5">
        <f>G100 + G101</f>
        <v/>
      </c>
      <c r="H102" s="70" t="inlineStr">
        <is>
          <t>Running compounded subtotal</t>
        </is>
      </c>
      <c r="I102" s="68" t="n"/>
    </row>
    <row r="103" ht="22" customHeight="1">
      <c r="A103" s="52" t="inlineStr">
        <is>
          <t>Z1</t>
        </is>
      </c>
      <c r="B103" s="59" t="inlineStr">
        <is>
          <t>YES</t>
        </is>
      </c>
      <c r="C103" s="20" t="inlineStr">
        <is>
          <t>Add Contractor Profit &amp; Overheads on (Y - A)</t>
        </is>
      </c>
      <c r="D103" s="58" t="n"/>
      <c r="E103" s="55">
        <f>G102 - G98</f>
        <v/>
      </c>
      <c r="F103" s="71">
        <f>Factor_CPOH</f>
        <v/>
      </c>
      <c r="G103" s="72">
        <f>IF(B103="YES", ROUND(E103 * F103, 2), 0)</f>
        <v/>
      </c>
      <c r="H103" s="24" t="inlineStr">
        <is>
          <t>Standard 15% CPOH, net of A.</t>
        </is>
      </c>
      <c r="I103" s="58" t="n"/>
    </row>
    <row r="104" ht="22" customHeight="1">
      <c r="A104" s="2" t="inlineStr">
        <is>
          <t>Z</t>
        </is>
      </c>
      <c r="B104" s="73" t="inlineStr">
        <is>
          <t>-</t>
        </is>
      </c>
      <c r="C104" s="74" t="inlineStr">
        <is>
          <t>Subtotal "Z" (Y + CPOH)</t>
        </is>
      </c>
      <c r="D104" s="68" t="n"/>
      <c r="E104" s="68" t="n"/>
      <c r="F104" s="68" t="n"/>
      <c r="G104" s="5">
        <f>G102 + G103</f>
        <v/>
      </c>
      <c r="H104" s="70" t="inlineStr">
        <is>
          <t>Running compounded subtotal</t>
        </is>
      </c>
      <c r="I104" s="68" t="n"/>
    </row>
    <row r="105" ht="22" customHeight="1">
      <c r="A105" s="52" t="inlineStr">
        <is>
          <t>Z2</t>
        </is>
      </c>
      <c r="B105" s="59" t="inlineStr">
        <is>
          <t>YES</t>
        </is>
      </c>
      <c r="C105" s="20" t="inlineStr">
        <is>
          <t>Add BOCW Welfare Cess on (Z - A)</t>
        </is>
      </c>
      <c r="D105" s="58" t="n"/>
      <c r="E105" s="55">
        <f>G104 - G98</f>
        <v/>
      </c>
      <c r="F105" s="71">
        <f>Factor_Cess</f>
        <v/>
      </c>
      <c r="G105" s="72">
        <f>IF(B105="YES", ROUND(E105 * F105, 2), 0)</f>
        <v/>
      </c>
      <c r="H105" s="24" t="inlineStr">
        <is>
          <t>Statutory 1% BOCW Welfare Cess, net of A.</t>
        </is>
      </c>
      <c r="I105" s="58" t="n"/>
    </row>
    <row r="106">
      <c r="A106" s="75" t="inlineStr">
        <is>
          <t>Cost of 10.00 sqm:</t>
        </is>
      </c>
      <c r="B106" s="76" t="n"/>
      <c r="C106" s="76" t="n"/>
      <c r="D106" s="76" t="n"/>
      <c r="E106" s="76" t="n"/>
      <c r="F106" s="76" t="n"/>
      <c r="G106" s="77">
        <f>ROUND(G104 + G105, 2)</f>
        <v/>
      </c>
      <c r="H106" s="76" t="n"/>
      <c r="I106" s="76" t="n"/>
    </row>
    <row r="107" ht="30" customHeight="1">
      <c r="A107" s="78" t="inlineStr">
        <is>
          <t>RESOLVED RATE per 1.00 sqm  (SAY):</t>
        </is>
      </c>
      <c r="B107" s="79" t="n"/>
      <c r="C107" s="79" t="n"/>
      <c r="D107" s="79" t="n"/>
      <c r="E107" s="79" t="n"/>
      <c r="F107" s="79" t="n"/>
      <c r="G107" s="56">
        <f>ROUND(G106 / 10.0, 2)</f>
        <v/>
      </c>
      <c r="H107" s="80" t="inlineStr">
        <is>
          <t>CPWD DAR 2019 printed Say rate for this item = Rs 44.50 per sqm. Any difference means a Rates_Master rate has been edited away from the 2019 base.</t>
        </is>
      </c>
      <c r="I107" s="79" t="n"/>
    </row>
    <row r="108"/>
    <row r="109" ht="32" customHeight="1">
      <c r="A109" s="57" t="inlineStr">
        <is>
          <t>ITEM 18.78  -  18 Water Supply (Vol.2)  -  Making chases up to 7.5 x 7.5 cm in walls including making good and finishing the same with cement concrete 1:3:6</t>
        </is>
      </c>
    </row>
    <row r="110" ht="20" customHeight="1">
      <c r="A110" s="16" t="inlineStr">
        <is>
          <t>Basis:</t>
        </is>
      </c>
      <c r="B110" s="54" t="n">
        <v>10</v>
      </c>
      <c r="C110" s="20" t="inlineStr">
        <is>
          <t>metre</t>
        </is>
      </c>
      <c r="D110" s="16" t="inlineStr">
        <is>
          <t>Consumed by:</t>
        </is>
      </c>
      <c r="E110" s="24" t="inlineStr">
        <is>
          <t>08_Cladding_Work (chase cutting for concealed fixings / services)</t>
        </is>
      </c>
      <c r="F110" s="58" t="n"/>
      <c r="G110" s="58" t="n"/>
      <c r="H110" s="58" t="n"/>
      <c r="I110" s="58"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59" t="inlineStr">
        <is>
          <t>4.2.5</t>
        </is>
      </c>
      <c r="C112" s="81" t="inlineStr">
        <is>
          <t>Rate as per resolved item no. 4.2.5 above</t>
        </is>
      </c>
      <c r="D112" s="61" t="inlineStr">
        <is>
          <t>cum</t>
        </is>
      </c>
      <c r="E112" s="62" t="n">
        <v>0.04</v>
      </c>
      <c r="F112" s="63">
        <f>'Resolved_Cross_Volume_Items'!$G$44</f>
        <v/>
      </c>
      <c r="G112" s="55">
        <f>ROUND(E112 * F112, 2)</f>
        <v/>
      </c>
      <c r="H112" s="24" t="inlineStr">
        <is>
          <t>Cement concrete 1:3:6 - 0.075 x 0.075 x 10 m = 0.05625 cum, less 33% for pipe = 0.03769 cum, say 0.04 cum. Rate resolved above.</t>
        </is>
      </c>
      <c r="I112" s="50" t="inlineStr">
        <is>
          <t>A</t>
        </is>
      </c>
    </row>
    <row r="113" ht="20" customHeight="1">
      <c r="A113" s="19" t="n">
        <v>2</v>
      </c>
      <c r="B113" s="59" t="inlineStr">
        <is>
          <t>0123</t>
        </is>
      </c>
      <c r="C113" s="60">
        <f>IFERROR(INDEX(Rates_Master!$C:$C, MATCH(B113, Rates_Master!$A:$A, 0)), "Code not found in Rates_Master")</f>
        <v/>
      </c>
      <c r="D113" s="61">
        <f>IFERROR(INDEX(Rates_Master!$D:$D, MATCH(B113, Rates_Master!$A:$A, 0)), "")</f>
        <v/>
      </c>
      <c r="E113" s="62" t="n">
        <v>0.25</v>
      </c>
      <c r="F113" s="63">
        <f>IFERROR(INDEX(Rates_Master!$E:$E, MATCH(B113, Rates_Master!$A:$A, 0)), 0)</f>
        <v/>
      </c>
      <c r="G113" s="55">
        <f>ROUND(E113 * F113, 2)</f>
        <v/>
      </c>
      <c r="H113" s="24" t="inlineStr">
        <is>
          <t>Mason (brick layer) 1st class</t>
        </is>
      </c>
      <c r="I113" s="19" t="inlineStr"/>
    </row>
    <row r="114" ht="20" customHeight="1">
      <c r="A114" s="19" t="n">
        <v>3</v>
      </c>
      <c r="B114" s="59" t="inlineStr">
        <is>
          <t>0124</t>
        </is>
      </c>
      <c r="C114" s="60">
        <f>IFERROR(INDEX(Rates_Master!$C:$C, MATCH(B114, Rates_Master!$A:$A, 0)), "Code not found in Rates_Master")</f>
        <v/>
      </c>
      <c r="D114" s="61">
        <f>IFERROR(INDEX(Rates_Master!$D:$D, MATCH(B114, Rates_Master!$A:$A, 0)), "")</f>
        <v/>
      </c>
      <c r="E114" s="62" t="n">
        <v>0.25</v>
      </c>
      <c r="F114" s="63">
        <f>IFERROR(INDEX(Rates_Master!$E:$E, MATCH(B114, Rates_Master!$A:$A, 0)), 0)</f>
        <v/>
      </c>
      <c r="G114" s="55">
        <f>ROUND(E114 * F114, 2)</f>
        <v/>
      </c>
      <c r="H114" s="24" t="inlineStr">
        <is>
          <t>Mason (brick layer) 2nd class</t>
        </is>
      </c>
      <c r="I114" s="19" t="inlineStr"/>
    </row>
    <row r="115" ht="20" customHeight="1">
      <c r="A115" s="19" t="n">
        <v>4</v>
      </c>
      <c r="B115" s="59" t="inlineStr">
        <is>
          <t>0114</t>
        </is>
      </c>
      <c r="C115" s="60">
        <f>IFERROR(INDEX(Rates_Master!$C:$C, MATCH(B115, Rates_Master!$A:$A, 0)), "Code not found in Rates_Master")</f>
        <v/>
      </c>
      <c r="D115" s="61">
        <f>IFERROR(INDEX(Rates_Master!$D:$D, MATCH(B115, Rates_Master!$A:$A, 0)), "")</f>
        <v/>
      </c>
      <c r="E115" s="62" t="n">
        <v>1</v>
      </c>
      <c r="F115" s="63">
        <f>IFERROR(INDEX(Rates_Master!$E:$E, MATCH(B115, Rates_Master!$A:$A, 0)), 0)</f>
        <v/>
      </c>
      <c r="G115" s="55">
        <f>ROUND(E115 * F115, 2)</f>
        <v/>
      </c>
      <c r="H115" s="24" t="inlineStr">
        <is>
          <t>Beldar</t>
        </is>
      </c>
      <c r="I115" s="19" t="inlineStr"/>
    </row>
    <row r="116">
      <c r="A116" s="67" t="inlineStr">
        <is>
          <t>TOTAL DIRECT COST "W" (all lines above):</t>
        </is>
      </c>
      <c r="B116" s="68" t="n"/>
      <c r="C116" s="68" t="n"/>
      <c r="D116" s="68" t="n"/>
      <c r="E116" s="68" t="n"/>
      <c r="F116" s="68" t="n"/>
      <c r="G116" s="5">
        <f>ROUND(SUM(G112:G115), 2)</f>
        <v/>
      </c>
      <c r="H116" s="69" t="inlineStr">
        <is>
          <t>Book value of W for item 18.78 = Rs 1,233.25</t>
        </is>
      </c>
      <c r="I116" s="68" t="n"/>
    </row>
    <row r="117" ht="28" customHeight="1">
      <c r="A117" s="67" t="inlineStr">
        <is>
          <t>Less "A" - imported lines already carrying statutory markups:</t>
        </is>
      </c>
      <c r="B117" s="68" t="n"/>
      <c r="C117" s="68" t="n"/>
      <c r="D117" s="68" t="n"/>
      <c r="E117" s="68" t="n"/>
      <c r="F117" s="68" t="n"/>
      <c r="G117" s="5">
        <f>ROUND(SUMIF($I$112:$I$115, "A", $G$112:$G$115), 2)</f>
        <v/>
      </c>
      <c r="H117" s="70" t="inlineStr">
        <is>
          <t>CPWD convention: markups are computed on (W-A), (X-A), (Y-A), (Z-A). A line tagged "A" is an imported rate that already includes Water, GST, CPOH and Cess.</t>
        </is>
      </c>
      <c r="I117" s="68" t="n"/>
    </row>
    <row r="118" ht="22" customHeight="1">
      <c r="A118" s="52" t="inlineStr">
        <is>
          <t>X1</t>
        </is>
      </c>
      <c r="B118" s="59" t="inlineStr">
        <is>
          <t>YES</t>
        </is>
      </c>
      <c r="C118" s="20" t="inlineStr">
        <is>
          <t>Add Water Charges on (W - A)</t>
        </is>
      </c>
      <c r="D118" s="58" t="n"/>
      <c r="E118" s="55">
        <f>G116 - G117</f>
        <v/>
      </c>
      <c r="F118" s="71">
        <f>Factor_Water</f>
        <v/>
      </c>
      <c r="G118" s="72">
        <f>IF(B118="YES", ROUND(E118 * F118, 2), 0)</f>
        <v/>
      </c>
      <c r="H118" s="24" t="inlineStr">
        <is>
          <t>CPWD: 1% water charges, computed on the direct cost net of A-tagged imports.</t>
        </is>
      </c>
      <c r="I118" s="58" t="n"/>
    </row>
    <row r="119" ht="22" customHeight="1">
      <c r="A119" s="2" t="inlineStr">
        <is>
          <t>X</t>
        </is>
      </c>
      <c r="B119" s="73" t="inlineStr">
        <is>
          <t>-</t>
        </is>
      </c>
      <c r="C119" s="74" t="inlineStr">
        <is>
          <t>Subtotal "X" (W + Water Charges)</t>
        </is>
      </c>
      <c r="D119" s="68" t="n"/>
      <c r="E119" s="68" t="n"/>
      <c r="F119" s="68" t="n"/>
      <c r="G119" s="5">
        <f>G116 + G118</f>
        <v/>
      </c>
      <c r="H119" s="70" t="inlineStr">
        <is>
          <t>Running compounded subtotal</t>
        </is>
      </c>
      <c r="I119" s="68" t="n"/>
    </row>
    <row r="120" ht="22" customHeight="1">
      <c r="A120" s="52" t="inlineStr">
        <is>
          <t>Y1</t>
        </is>
      </c>
      <c r="B120" s="59" t="inlineStr">
        <is>
          <t>YES</t>
        </is>
      </c>
      <c r="C120" s="20" t="inlineStr">
        <is>
          <t>Add GST on (X - A)</t>
        </is>
      </c>
      <c r="D120" s="58" t="n"/>
      <c r="E120" s="55">
        <f>G119 - G117</f>
        <v/>
      </c>
      <c r="F120" s="71">
        <f>Factor_GST</f>
        <v/>
      </c>
      <c r="G120" s="72">
        <f>IF(B120="YES", ROUND(E120 * F120, 2), 0)</f>
        <v/>
      </c>
      <c r="H120" s="24" t="inlineStr">
        <is>
          <t>CPWD DAR 2019 works contract multiplying factor 0.1405, net of A.</t>
        </is>
      </c>
      <c r="I120" s="58" t="n"/>
    </row>
    <row r="121" ht="22" customHeight="1">
      <c r="A121" s="2" t="inlineStr">
        <is>
          <t>Y</t>
        </is>
      </c>
      <c r="B121" s="73" t="inlineStr">
        <is>
          <t>-</t>
        </is>
      </c>
      <c r="C121" s="74" t="inlineStr">
        <is>
          <t>Subtotal "Y" (X + GST)</t>
        </is>
      </c>
      <c r="D121" s="68" t="n"/>
      <c r="E121" s="68" t="n"/>
      <c r="F121" s="68" t="n"/>
      <c r="G121" s="5">
        <f>G119 + G120</f>
        <v/>
      </c>
      <c r="H121" s="70" t="inlineStr">
        <is>
          <t>Running compounded subtotal</t>
        </is>
      </c>
      <c r="I121" s="68" t="n"/>
    </row>
    <row r="122" ht="22" customHeight="1">
      <c r="A122" s="52" t="inlineStr">
        <is>
          <t>Z1</t>
        </is>
      </c>
      <c r="B122" s="59" t="inlineStr">
        <is>
          <t>YES</t>
        </is>
      </c>
      <c r="C122" s="20" t="inlineStr">
        <is>
          <t>Add Contractor Profit &amp; Overheads on (Y - A)</t>
        </is>
      </c>
      <c r="D122" s="58" t="n"/>
      <c r="E122" s="55">
        <f>G121 - G117</f>
        <v/>
      </c>
      <c r="F122" s="71">
        <f>Factor_CPOH</f>
        <v/>
      </c>
      <c r="G122" s="72">
        <f>IF(B122="YES", ROUND(E122 * F122, 2), 0)</f>
        <v/>
      </c>
      <c r="H122" s="24" t="inlineStr">
        <is>
          <t>Standard 15% CPOH, net of A.</t>
        </is>
      </c>
      <c r="I122" s="58" t="n"/>
    </row>
    <row r="123" ht="22" customHeight="1">
      <c r="A123" s="2" t="inlineStr">
        <is>
          <t>Z</t>
        </is>
      </c>
      <c r="B123" s="73" t="inlineStr">
        <is>
          <t>-</t>
        </is>
      </c>
      <c r="C123" s="74" t="inlineStr">
        <is>
          <t>Subtotal "Z" (Y + CPOH)</t>
        </is>
      </c>
      <c r="D123" s="68" t="n"/>
      <c r="E123" s="68" t="n"/>
      <c r="F123" s="68" t="n"/>
      <c r="G123" s="5">
        <f>G121 + G122</f>
        <v/>
      </c>
      <c r="H123" s="70" t="inlineStr">
        <is>
          <t>Running compounded subtotal</t>
        </is>
      </c>
      <c r="I123" s="68" t="n"/>
    </row>
    <row r="124" ht="22" customHeight="1">
      <c r="A124" s="52" t="inlineStr">
        <is>
          <t>Z2</t>
        </is>
      </c>
      <c r="B124" s="59" t="inlineStr">
        <is>
          <t>YES</t>
        </is>
      </c>
      <c r="C124" s="20" t="inlineStr">
        <is>
          <t>Add BOCW Welfare Cess on (Z - A)</t>
        </is>
      </c>
      <c r="D124" s="58" t="n"/>
      <c r="E124" s="55">
        <f>G123 - G117</f>
        <v/>
      </c>
      <c r="F124" s="71">
        <f>Factor_Cess</f>
        <v/>
      </c>
      <c r="G124" s="72">
        <f>IF(B124="YES", ROUND(E124 * F124, 2), 0)</f>
        <v/>
      </c>
      <c r="H124" s="24" t="inlineStr">
        <is>
          <t>Statutory 1% BOCW Welfare Cess, net of A.</t>
        </is>
      </c>
      <c r="I124" s="58" t="n"/>
    </row>
    <row r="125">
      <c r="A125" s="75" t="inlineStr">
        <is>
          <t>Cost of 10.00 metre:</t>
        </is>
      </c>
      <c r="B125" s="76" t="n"/>
      <c r="C125" s="76" t="n"/>
      <c r="D125" s="76" t="n"/>
      <c r="E125" s="76" t="n"/>
      <c r="F125" s="76" t="n"/>
      <c r="G125" s="77">
        <f>ROUND(G123 + G124, 2)</f>
        <v/>
      </c>
      <c r="H125" s="76" t="n"/>
      <c r="I125" s="76" t="n"/>
    </row>
    <row r="126" ht="30" customHeight="1">
      <c r="A126" s="78" t="inlineStr">
        <is>
          <t>RESOLVED RATE per 1.00 metre  (SAY):</t>
        </is>
      </c>
      <c r="B126" s="79" t="n"/>
      <c r="C126" s="79" t="n"/>
      <c r="D126" s="79" t="n"/>
      <c r="E126" s="79" t="n"/>
      <c r="F126" s="79" t="n"/>
      <c r="G126" s="56">
        <f>ROUND(G125 / 10.0, 2)</f>
        <v/>
      </c>
      <c r="H126" s="80" t="inlineStr">
        <is>
          <t>CPWD DAR 2019 printed Say rate for this item = Rs 154.15 per metre. Any difference means a Rates_Master rate has been edited away from the 2019 base.</t>
        </is>
      </c>
      <c r="I126" s="79"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2"/>
  <sheetViews>
    <sheetView showGridLines="1" workbookViewId="0">
      <pane ySplit="3" topLeftCell="A4" activePane="bottomLeft" state="frozen"/>
      <selection pane="bottomLeft" activeCell="A1" sqref="A1"/>
    </sheetView>
  </sheetViews>
  <sheetFormatPr baseColWidth="8" defaultRowHeight="15"/>
  <cols>
    <col width="24" customWidth="1" min="1" max="1"/>
    <col width="24" customWidth="1" min="2" max="2"/>
    <col width="26" customWidth="1" min="3" max="3"/>
    <col width="24" customWidth="1" min="4" max="4"/>
    <col width="26" customWidth="1" min="5" max="5"/>
    <col width="24" customWidth="1" min="6" max="6"/>
    <col width="24" customWidth="1" min="7" max="7"/>
    <col width="46" customWidth="1" min="8" max="8"/>
  </cols>
  <sheetData>
    <row r="1" ht="30" customHeight="1">
      <c r="A1" s="10" t="inlineStr">
        <is>
          <t>CPWD DAR 2019 — SUB-HEAD 01: CARRIAGE OF MATERIALS (ANALYTICAL SIMULATOR &amp; BENCHMARKS)</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10" customHeight="1"/>
    <row r="5" ht="24" customHeight="1">
      <c r="A5" s="32" t="inlineStr">
        <is>
          <t>PANEL 1: SCOPE &amp; SPECIFICATION INPUTS (What is being moved &amp; contractual handling scope)</t>
        </is>
      </c>
    </row>
    <row r="6" ht="24" customHeight="1">
      <c r="A6" s="83" t="inlineStr">
        <is>
          <t>Custom Item Code:</t>
        </is>
      </c>
      <c r="B6" s="59" t="inlineStr">
        <is>
          <t>1.1.CUSTOM</t>
        </is>
      </c>
      <c r="C6" s="83" t="inlineStr">
        <is>
          <t>Material Commodity:</t>
        </is>
      </c>
      <c r="D6" s="84" t="inlineStr">
        <is>
          <t>R.C.C./C.I./Steel pipes 1000, 1100 &amp; 1200 mm dia</t>
        </is>
      </c>
      <c r="E6" s="83" t="inlineStr">
        <is>
          <t>Handling Scope:</t>
        </is>
      </c>
      <c r="F6" s="84" t="inlineStr">
        <is>
          <t>including loading, transporting, unloading and stacking</t>
        </is>
      </c>
      <c r="G6" s="83" t="inlineStr">
        <is>
          <t>Lift Condition:</t>
        </is>
      </c>
      <c r="H6" s="59" t="inlineStr">
        <is>
          <t>for all lifts</t>
        </is>
      </c>
    </row>
    <row r="7" ht="24" customHeight="1">
      <c r="A7" s="85" t="inlineStr">
        <is>
          <t>Municipal Gate Fee:</t>
        </is>
      </c>
      <c r="B7" s="86" t="n">
        <v>0</v>
      </c>
      <c r="C7" s="83" t="inlineStr">
        <is>
          <t>Manual Override (Opt):</t>
        </is>
      </c>
      <c r="D7" s="87" t="n"/>
    </row>
    <row r="8" ht="38" customHeight="1">
      <c r="A8" s="88" t="inlineStr">
        <is>
          <t>Assembled Nomenclature:</t>
        </is>
      </c>
      <c r="B8" s="89">
        <f>IF(D7&lt;&gt;"","" &amp; D7,"Carriage of " &amp; D6 &amp; " by mechanical transport " &amp; F6 &amp; " for lead upto " &amp; TEXT(B11, "0.00") &amp; " km " &amp; H6 &amp; IF(B7&gt;0, ", including municipal tipping royalty/gate fee of Rs " &amp; TEXT(B7, "0.00") &amp; " per " &amp; B13, "") &amp; ", complete as per directions of Engineer-in-charge.")</f>
        <v/>
      </c>
    </row>
    <row r="9" ht="10" customHeight="1"/>
    <row r="10" ht="24" customHeight="1">
      <c r="A10" s="32" t="inlineStr">
        <is>
          <t>PANEL 2: OPERATIONAL &amp; TRIP DYNAMICS (Site logistics, environmental mode &amp; equipment cycles)</t>
        </is>
      </c>
    </row>
    <row r="11" ht="22" customHeight="1">
      <c r="A11" s="83" t="inlineStr">
        <is>
          <t>Lead Distance (L):</t>
        </is>
      </c>
      <c r="B11" s="90" t="n">
        <v>26</v>
      </c>
      <c r="C11" s="83" t="inlineStr">
        <is>
          <t>Average Speed (S):</t>
        </is>
      </c>
      <c r="D11" s="91" t="n">
        <v>29</v>
      </c>
      <c r="E11" s="83" t="inlineStr">
        <is>
          <t>Turnaround Time (T):</t>
        </is>
      </c>
      <c r="F11" s="92" t="n">
        <v>1</v>
      </c>
      <c r="G11" s="83" t="inlineStr">
        <is>
          <t>Standard Payload (C):</t>
        </is>
      </c>
      <c r="H11" s="93">
        <f>IFERROR(INDEX($C$88:$C$114, MATCH(D6, $B$88:$B$114, 0)), 10.98)</f>
        <v/>
      </c>
    </row>
    <row r="12" ht="22" customHeight="1">
      <c r="A12" s="83" t="inlineStr">
        <is>
          <t>Operational Mode:</t>
        </is>
      </c>
      <c r="B12" s="59" t="inlineStr">
        <is>
          <t>STANDARD (DAYTIME)</t>
        </is>
      </c>
      <c r="C12" s="83" t="inlineStr">
        <is>
          <t>Fixed Trips Override:</t>
        </is>
      </c>
      <c r="D12" s="94" t="n">
        <v>3</v>
      </c>
      <c r="E12" s="83" t="inlineStr">
        <is>
          <t>Distance / Fuel Basis:</t>
        </is>
      </c>
      <c r="F12" s="59" t="inlineStr">
        <is>
          <t>DIRECT ROUTE (2NL + 6)</t>
        </is>
      </c>
      <c r="G12" s="83" t="inlineStr">
        <is>
          <t>Payload Override (C):</t>
        </is>
      </c>
      <c r="H12" s="94" t="n"/>
    </row>
    <row r="13" ht="22" customHeight="1">
      <c r="A13" s="83" t="inlineStr">
        <is>
          <t>Billing / Basis Unit:</t>
        </is>
      </c>
      <c r="B13" s="6">
        <f>IFERROR(INDEX($E$88:$E$114, MATCH(D6, $B$88:$B$114, 0)), "cum")</f>
        <v/>
      </c>
      <c r="C13" s="83" t="inlineStr">
        <is>
          <t>Daily Operational Trips (N):</t>
        </is>
      </c>
      <c r="D13" s="95">
        <f>IF(B12="URBAN RESTRICTED HOURS", D12, ROUND(8 / ((2 * B11 / D11) + F11), 2))</f>
        <v/>
      </c>
      <c r="E13" s="83" t="inlineStr">
        <is>
          <t>Daily Distance Travelled:</t>
        </is>
      </c>
      <c r="F13" s="96">
        <f>IF(F12="CPWD PRO-RATA (Item 1.1.18)", ROUND(88.00 * (D13 / 4.10), 2), ROUND((2 * D13 * B11) + 6.0, 2))</f>
        <v/>
      </c>
      <c r="G13" s="83" t="inlineStr">
        <is>
          <t>Total Daily Hauled Output:</t>
        </is>
      </c>
      <c r="H13" s="97">
        <f>ROUND(D13 * IF(H12&gt;0, H12, H11), 2)</f>
        <v/>
      </c>
    </row>
    <row r="14" ht="22" customHeight="1">
      <c r="A14" s="98" t="inlineStr">
        <is>
          <t>AUDIT STATUS:</t>
        </is>
      </c>
      <c r="B14" s="99">
        <f>IF(AND(D14="OK", F14&gt;0, H14&gt;0), "[PASS] ALL CHECKS OK", "[ALERT] CHECKS FAILED")</f>
        <v/>
      </c>
      <c r="C14" s="100" t="inlineStr">
        <is>
          <t>Daily Trips Check:</t>
        </is>
      </c>
      <c r="D14" s="52">
        <f>IF(D13&gt;0, "OK", "ERR: N&lt;=0")</f>
        <v/>
      </c>
      <c r="E14" s="83" t="inlineStr">
        <is>
          <t>Evaluated Diesel (Litres):</t>
        </is>
      </c>
      <c r="F14" s="101">
        <f>ROUND(F13 / 5.0, 2)</f>
        <v/>
      </c>
      <c r="G14" s="83" t="inlineStr">
        <is>
          <t>Evaluated Mobil Oil (Litres):</t>
        </is>
      </c>
      <c r="H14" s="102">
        <f>ROUND(F13 / 140.0, 3)</f>
        <v/>
      </c>
    </row>
    <row r="15" ht="10" customHeight="1"/>
    <row r="16" ht="24" customHeight="1">
      <c r="A16" s="32" t="inlineStr">
        <is>
          <t>1. MECHANICAL TRANSPORT TRIP BUILDER (Truck Hire + Labour + Fuel Linked to CPWD Mileage Formulas)</t>
        </is>
      </c>
    </row>
    <row r="17" ht="24" customHeight="1">
      <c r="A17" s="1" t="inlineStr">
        <is>
          <t>Line</t>
        </is>
      </c>
      <c r="B17" s="1" t="inlineStr">
        <is>
          <t>Code / Source</t>
        </is>
      </c>
      <c r="C17" s="1" t="inlineStr">
        <is>
          <t>Resource / Fuel Description</t>
        </is>
      </c>
      <c r="D17" s="1" t="inlineStr">
        <is>
          <t>Unit</t>
        </is>
      </c>
      <c r="E17" s="1" t="inlineStr">
        <is>
          <t>Quantity / Coeff</t>
        </is>
      </c>
      <c r="F17" s="1" t="inlineStr">
        <is>
          <t>Basic Rate (Rs)</t>
        </is>
      </c>
      <c r="G17" s="1" t="inlineStr">
        <is>
          <t>Amount (Rs)</t>
        </is>
      </c>
      <c r="H17" s="1" t="inlineStr">
        <is>
          <t>Source Reference / CPWD Notes</t>
        </is>
      </c>
    </row>
    <row r="18" ht="20" customHeight="1">
      <c r="A18" s="19" t="n">
        <v>1</v>
      </c>
      <c r="B18" s="49" t="inlineStr">
        <is>
          <t>0084</t>
        </is>
      </c>
      <c r="C18" s="81">
        <f>IF(B18="","", IFERROR(INDEX(Rates_Master!$C:$C, MATCH(B18, Rates_Master!$A:$A, 0)), "Custom Resource Line"))</f>
        <v/>
      </c>
      <c r="D18" s="61">
        <f>IF(B18="","", IFERROR(INDEX(Rates_Master!$D:$D, MATCH(B18, Rates_Master!$A:$A, 0)), ""))</f>
        <v/>
      </c>
      <c r="E18" s="103" t="n">
        <v>1</v>
      </c>
      <c r="F18" s="63">
        <f>IF(B18="","", IFERROR(INDEX(Rates_Master!$E:$E, MATCH(B18, Rates_Master!$A:$A, 0)), 0))</f>
        <v/>
      </c>
      <c r="G18" s="43">
        <f>IF(OR(B18="", E18=""), 0, ROUND(E18 * F18, 2))</f>
        <v/>
      </c>
      <c r="H18" s="104" t="inlineStr">
        <is>
          <t>CPWD Note 5: Hire charges of Diesel Truck (9-tonne) excluding diesel &amp; mobil oil (Code 0084)</t>
        </is>
      </c>
    </row>
    <row r="19" ht="20" customHeight="1">
      <c r="A19" s="19" t="n">
        <v>2</v>
      </c>
      <c r="B19" s="49" t="inlineStr">
        <is>
          <t>0114</t>
        </is>
      </c>
      <c r="C19" s="81">
        <f>IF(B19="","", IFERROR(INDEX(Rates_Master!$C:$C, MATCH(B19, Rates_Master!$A:$A, 0)), "Custom Resource Line"))</f>
        <v/>
      </c>
      <c r="D19" s="61">
        <f>IF(B19="","", IFERROR(INDEX(Rates_Master!$D:$D, MATCH(B19, Rates_Master!$A:$A, 0)), ""))</f>
        <v/>
      </c>
      <c r="E19" s="105">
        <f>IF(ISNUMBER(SEARCH("transporting only", F6)), 0, IF(ISNUMBER(SEARCH("machine loaded", F6)), 3, IF(ISNUMBER(SEARCH("excluding loading", F6)), 3, IF(ISNUMBER(SEARCH("railway siding", F6)), 3.75, IF(ISNUMBER(SEARCH("excluding stacking", F6)), 5, 6)))))</f>
        <v/>
      </c>
      <c r="F19" s="63">
        <f>IF(B19="","", IFERROR(INDEX(Rates_Master!$E:$E, MATCH(B19, Rates_Master!$A:$A, 0)), 0))</f>
        <v/>
      </c>
      <c r="G19" s="43">
        <f>IF(OR(B19="", E19=""), 0, ROUND(E19 * F19, 2))</f>
        <v/>
      </c>
      <c r="H19" s="104" t="inlineStr">
        <is>
          <t>CPWD Note 5: Labour gang scaled by Panel 1 Scope: 6 (Turnkey), 5 (No Stack), 3 (Machine Loaded), 0 (Haulage Only)</t>
        </is>
      </c>
    </row>
    <row r="20" ht="20" customHeight="1">
      <c r="A20" s="19" t="n">
        <v>3</v>
      </c>
      <c r="B20" s="49" t="inlineStr">
        <is>
          <t>1235</t>
        </is>
      </c>
      <c r="C20" s="81">
        <f>IF(B20="","", IFERROR(INDEX(Rates_Master!$C:$C, MATCH(B20, Rates_Master!$A:$A, 0)), "Custom Resource Line"))</f>
        <v/>
      </c>
      <c r="D20" s="61">
        <f>IF(B20="","", IFERROR(INDEX(Rates_Master!$D:$D, MATCH(B20, Rates_Master!$A:$A, 0)), ""))</f>
        <v/>
      </c>
      <c r="E20" s="105">
        <f>F14</f>
        <v/>
      </c>
      <c r="F20" s="63">
        <f>IF(B20="","", IFERROR(INDEX(Rates_Master!$E:$E, MATCH(B20, Rates_Master!$A:$A, 0)), 0))</f>
        <v/>
      </c>
      <c r="G20" s="43">
        <f>IF(OR(B20="", E20=""), 0, ROUND(E20 * F20, 2))</f>
        <v/>
      </c>
      <c r="H20" s="104" t="inlineStr">
        <is>
          <t>CPWD Note 3: Diesel consumed = Distance travelled / 5.0 km/L (linked to cell F14)</t>
        </is>
      </c>
    </row>
    <row r="21" ht="20" customHeight="1">
      <c r="A21" s="19" t="n">
        <v>4</v>
      </c>
      <c r="B21" s="49" t="inlineStr">
        <is>
          <t>5001</t>
        </is>
      </c>
      <c r="C21" s="81">
        <f>IF(B21="","", IFERROR(INDEX(Rates_Master!$C:$C, MATCH(B21, Rates_Master!$A:$A, 0)), "Custom Resource Line"))</f>
        <v/>
      </c>
      <c r="D21" s="61">
        <f>IF(B21="","", IFERROR(INDEX(Rates_Master!$D:$D, MATCH(B21, Rates_Master!$A:$A, 0)), ""))</f>
        <v/>
      </c>
      <c r="E21" s="105">
        <f>H14</f>
        <v/>
      </c>
      <c r="F21" s="63">
        <f>IF(B21="","", IFERROR(INDEX(Rates_Master!$E:$E, MATCH(B21, Rates_Master!$A:$A, 0)), 0))</f>
        <v/>
      </c>
      <c r="G21" s="43">
        <f>IF(OR(B21="", E21=""), 0, ROUND(E21 * F21, 2))</f>
        <v/>
      </c>
      <c r="H21" s="104" t="inlineStr">
        <is>
          <t>CPWD Note 4: Mobil oil consumed = Distance travelled / 140.0 km/L (linked to cell H14)</t>
        </is>
      </c>
    </row>
    <row r="22" ht="20" customHeight="1">
      <c r="A22" s="19" t="n">
        <v>5</v>
      </c>
      <c r="B22" s="59" t="inlineStr"/>
      <c r="C22" s="81">
        <f>IF(B22="","", IFERROR(INDEX(Rates_Master!$C:$C, MATCH(B22, Rates_Master!$A:$A, 0)), "Custom Resource Line"))</f>
        <v/>
      </c>
      <c r="D22" s="61">
        <f>IF(B22="","", IFERROR(INDEX(Rates_Master!$D:$D, MATCH(B22, Rates_Master!$A:$A, 0)), ""))</f>
        <v/>
      </c>
      <c r="E22" s="62" t="n"/>
      <c r="F22" s="63">
        <f>IF(B22="","", IFERROR(INDEX(Rates_Master!$E:$E, MATCH(B22, Rates_Master!$A:$A, 0)), 0))</f>
        <v/>
      </c>
      <c r="G22" s="43">
        <f>IF(OR(B22="", E22=""), 0, ROUND(E22 * F22, 2))</f>
        <v/>
      </c>
      <c r="H22" s="104" t="inlineStr"/>
    </row>
    <row r="23" ht="20" customHeight="1">
      <c r="A23" s="19" t="n">
        <v>6</v>
      </c>
      <c r="B23" s="59" t="inlineStr"/>
      <c r="C23" s="81">
        <f>IF(B23="","", IFERROR(INDEX(Rates_Master!$C:$C, MATCH(B23, Rates_Master!$A:$A, 0)), "Custom Resource Line"))</f>
        <v/>
      </c>
      <c r="D23" s="61">
        <f>IF(B23="","", IFERROR(INDEX(Rates_Master!$D:$D, MATCH(B23, Rates_Master!$A:$A, 0)), ""))</f>
        <v/>
      </c>
      <c r="E23" s="62" t="n"/>
      <c r="F23" s="63">
        <f>IF(B23="","", IFERROR(INDEX(Rates_Master!$E:$E, MATCH(B23, Rates_Master!$A:$A, 0)), 0))</f>
        <v/>
      </c>
      <c r="G23" s="43">
        <f>IF(OR(B23="", E23=""), 0, ROUND(E23 * F23, 2))</f>
        <v/>
      </c>
      <c r="H23" s="104" t="inlineStr"/>
    </row>
    <row r="24" ht="20" customHeight="1">
      <c r="A24" s="19" t="n">
        <v>7</v>
      </c>
      <c r="B24" s="59" t="inlineStr"/>
      <c r="C24" s="81">
        <f>IF(B24="","", IFERROR(INDEX(Rates_Master!$C:$C, MATCH(B24, Rates_Master!$A:$A, 0)), "Custom Resource Line"))</f>
        <v/>
      </c>
      <c r="D24" s="61">
        <f>IF(B24="","", IFERROR(INDEX(Rates_Master!$D:$D, MATCH(B24, Rates_Master!$A:$A, 0)), ""))</f>
        <v/>
      </c>
      <c r="E24" s="62" t="n"/>
      <c r="F24" s="63">
        <f>IF(B24="","", IFERROR(INDEX(Rates_Master!$E:$E, MATCH(B24, Rates_Master!$A:$A, 0)), 0))</f>
        <v/>
      </c>
      <c r="G24" s="43">
        <f>IF(OR(B24="", E24=""), 0, ROUND(E24 * F24, 2))</f>
        <v/>
      </c>
      <c r="H24" s="104" t="inlineStr"/>
    </row>
    <row r="25" ht="20" customHeight="1">
      <c r="A25" s="19" t="n">
        <v>8</v>
      </c>
      <c r="B25" s="59" t="inlineStr"/>
      <c r="C25" s="81">
        <f>IF(B25="","", IFERROR(INDEX(Rates_Master!$C:$C, MATCH(B25, Rates_Master!$A:$A, 0)), "Custom Resource Line"))</f>
        <v/>
      </c>
      <c r="D25" s="61">
        <f>IF(B25="","", IFERROR(INDEX(Rates_Master!$D:$D, MATCH(B25, Rates_Master!$A:$A, 0)), ""))</f>
        <v/>
      </c>
      <c r="E25" s="62" t="n"/>
      <c r="F25" s="63">
        <f>IF(B25="","", IFERROR(INDEX(Rates_Master!$E:$E, MATCH(B25, Rates_Master!$A:$A, 0)), 0))</f>
        <v/>
      </c>
      <c r="G25" s="43">
        <f>IF(OR(B25="", E25=""), 0, ROUND(E25 * F25, 2))</f>
        <v/>
      </c>
      <c r="H25" s="104" t="inlineStr"/>
    </row>
    <row r="26" ht="22" customHeight="1">
      <c r="A26" s="106" t="inlineStr">
        <is>
          <t>Direct Daily Operating Cost (W) (Rs):</t>
        </is>
      </c>
      <c r="B26" s="107" t="n"/>
      <c r="C26" s="107" t="n"/>
      <c r="D26" s="107" t="n"/>
      <c r="E26" s="107" t="n"/>
      <c r="F26" s="107" t="n"/>
      <c r="G26" s="108">
        <f>SUM(G18:G25)</f>
        <v/>
      </c>
      <c r="H26" s="107" t="n"/>
    </row>
    <row r="27" ht="22" customHeight="1">
      <c r="A27" s="67" t="inlineStr">
        <is>
          <t>Operating Cost per Single Round Trip (Rs):</t>
        </is>
      </c>
      <c r="B27" s="58" t="n"/>
      <c r="C27" s="58" t="n"/>
      <c r="D27" s="58" t="n"/>
      <c r="E27" s="58" t="n"/>
      <c r="F27" s="58" t="n"/>
      <c r="G27" s="77">
        <f>ROUND(G26 / D13, 2)</f>
        <v/>
      </c>
      <c r="H27" s="104" t="inlineStr">
        <is>
          <t>Evaluated operating cost per single round trip (= W / N)</t>
        </is>
      </c>
    </row>
    <row r="28" ht="10" customHeight="1"/>
    <row r="29" ht="24" customHeight="1">
      <c r="A29" s="32" t="inlineStr">
        <is>
          <t>2. STATUTORY MARKUPS &amp; UNIT RATE DERIVATION (CPWD CARRIAGE CONVENTION: 15% CPOH ONLY)</t>
        </is>
      </c>
    </row>
    <row r="30" ht="24" customHeight="1">
      <c r="A30" s="1" t="inlineStr">
        <is>
          <t>Item</t>
        </is>
      </c>
      <c r="B30" s="1" t="inlineStr">
        <is>
          <t>Description / Stage</t>
        </is>
      </c>
      <c r="C30" s="1" t="inlineStr">
        <is>
          <t>Apply? (YES/NO)</t>
        </is>
      </c>
      <c r="D30" s="1" t="inlineStr">
        <is>
          <t>Basis Applied</t>
        </is>
      </c>
      <c r="E30" s="1" t="inlineStr">
        <is>
          <t>Base Amount (Rs)</t>
        </is>
      </c>
      <c r="F30" s="1" t="inlineStr">
        <is>
          <t>Factor / %</t>
        </is>
      </c>
      <c r="G30" s="1" t="inlineStr">
        <is>
          <t>Amount (Rs)</t>
        </is>
      </c>
      <c r="H30" s="1" t="inlineStr">
        <is>
          <t>CPWD Statutory Rule &amp; Guidance Note</t>
        </is>
      </c>
    </row>
    <row r="31" ht="24" customHeight="1">
      <c r="A31" s="2" t="inlineStr">
        <is>
          <t>W</t>
        </is>
      </c>
      <c r="B31" s="74" t="inlineStr">
        <is>
          <t>Direct Daily Operating Cost (Truck + Labour + Fuel)</t>
        </is>
      </c>
      <c r="C31" s="73" t="inlineStr">
        <is>
          <t>-</t>
        </is>
      </c>
      <c r="D31" s="73" t="inlineStr">
        <is>
          <t>Direct Sum</t>
        </is>
      </c>
      <c r="E31" s="109" t="inlineStr">
        <is>
          <t>-</t>
        </is>
      </c>
      <c r="F31" s="109" t="inlineStr">
        <is>
          <t>-</t>
        </is>
      </c>
      <c r="G31" s="5">
        <f>G26</f>
        <v/>
      </c>
      <c r="H31" s="24" t="inlineStr">
        <is>
          <t>Total direct operating shift cost before statutory overheads</t>
        </is>
      </c>
    </row>
    <row r="32" ht="24" customHeight="1">
      <c r="A32" s="52" t="inlineStr">
        <is>
          <t>X1</t>
        </is>
      </c>
      <c r="B32" s="20" t="inlineStr">
        <is>
          <t>Add Water Charges (1% on W)</t>
        </is>
      </c>
      <c r="C32" s="59" t="inlineStr">
        <is>
          <t>NO</t>
        </is>
      </c>
      <c r="D32" s="19" t="inlineStr">
        <is>
          <t>On "W"</t>
        </is>
      </c>
      <c r="E32" s="55">
        <f>G31</f>
        <v/>
      </c>
      <c r="F32" s="71">
        <f>Factor_Water</f>
        <v/>
      </c>
      <c r="G32" s="72">
        <f>IF(C32="YES", ROUND(E32 * F32, 2), 0)</f>
        <v/>
      </c>
      <c r="H32" s="24" t="inlineStr">
        <is>
          <t>CPWD RULE: Omitted (NO) in Carriage items because no water is consumed in haulage.</t>
        </is>
      </c>
    </row>
    <row r="33" ht="24" customHeight="1">
      <c r="A33" s="2" t="inlineStr">
        <is>
          <t>X</t>
        </is>
      </c>
      <c r="B33" s="74" t="inlineStr">
        <is>
          <t>Subtotal "X" (W + Water Charges)</t>
        </is>
      </c>
      <c r="C33" s="73" t="inlineStr">
        <is>
          <t>-</t>
        </is>
      </c>
      <c r="D33" s="73" t="inlineStr">
        <is>
          <t>W + Water</t>
        </is>
      </c>
      <c r="E33" s="109" t="inlineStr">
        <is>
          <t>-</t>
        </is>
      </c>
      <c r="F33" s="109" t="inlineStr">
        <is>
          <t>-</t>
        </is>
      </c>
      <c r="G33" s="5">
        <f>G31 + G32</f>
        <v/>
      </c>
      <c r="H33" s="24" t="inlineStr">
        <is>
          <t>Base for GST (if applicable)</t>
        </is>
      </c>
    </row>
    <row r="34" ht="24" customHeight="1">
      <c r="A34" s="52" t="inlineStr">
        <is>
          <t>Y1</t>
        </is>
      </c>
      <c r="B34" s="20" t="inlineStr">
        <is>
          <t>Add GST (14.05% Works Contract Tax on X)</t>
        </is>
      </c>
      <c r="C34" s="59" t="inlineStr">
        <is>
          <t>NO</t>
        </is>
      </c>
      <c r="D34" s="19" t="inlineStr">
        <is>
          <t>On "X"</t>
        </is>
      </c>
      <c r="E34" s="55">
        <f>G33</f>
        <v/>
      </c>
      <c r="F34" s="71">
        <f>Factor_GST</f>
        <v/>
      </c>
      <c r="G34" s="72">
        <f>IF(C34="YES", ROUND(E34 * F34, 2), 0)</f>
        <v/>
      </c>
      <c r="H34" s="24" t="inlineStr">
        <is>
          <t>CPWD RULE: Base DAR 2019 carriage rates exclude GST. Keep NO for official DSR comparison.</t>
        </is>
      </c>
    </row>
    <row r="35" ht="24" customHeight="1">
      <c r="A35" s="2" t="inlineStr">
        <is>
          <t>Y</t>
        </is>
      </c>
      <c r="B35" s="74" t="inlineStr">
        <is>
          <t>Subtotal "Y" (X + GST)</t>
        </is>
      </c>
      <c r="C35" s="73" t="inlineStr">
        <is>
          <t>-</t>
        </is>
      </c>
      <c r="D35" s="73" t="inlineStr">
        <is>
          <t>X + GST</t>
        </is>
      </c>
      <c r="E35" s="109" t="inlineStr">
        <is>
          <t>-</t>
        </is>
      </c>
      <c r="F35" s="109" t="inlineStr">
        <is>
          <t>-</t>
        </is>
      </c>
      <c r="G35" s="5">
        <f>G33 + G34</f>
        <v/>
      </c>
      <c r="H35" s="24" t="inlineStr">
        <is>
          <t>Base for Contractor Profit &amp; Overheads (CPOH)</t>
        </is>
      </c>
    </row>
    <row r="36" ht="24" customHeight="1">
      <c r="A36" s="52" t="inlineStr">
        <is>
          <t>Z1</t>
        </is>
      </c>
      <c r="B36" s="20" t="inlineStr">
        <is>
          <t>Add Contractor Profit &amp; Overheads (15% on Y)</t>
        </is>
      </c>
      <c r="C36" s="59" t="inlineStr">
        <is>
          <t>YES</t>
        </is>
      </c>
      <c r="D36" s="19" t="inlineStr">
        <is>
          <t>On "Y"</t>
        </is>
      </c>
      <c r="E36" s="55">
        <f>G35</f>
        <v/>
      </c>
      <c r="F36" s="71">
        <f>Factor_CPOH</f>
        <v/>
      </c>
      <c r="G36" s="72">
        <f>IF(C36="YES", ROUND(E36 * F36, 2), 0)</f>
        <v/>
      </c>
      <c r="H36" s="24" t="inlineStr">
        <is>
          <t>CPWD RULE: Standard 15% CPOH is universally applied to all carriage items.</t>
        </is>
      </c>
    </row>
    <row r="37" ht="24" customHeight="1">
      <c r="A37" s="2" t="inlineStr">
        <is>
          <t>Z2</t>
        </is>
      </c>
      <c r="B37" s="74" t="inlineStr">
        <is>
          <t>Add BOCW Welfare Cess (1% on Y + CPOH)</t>
        </is>
      </c>
      <c r="C37" s="110" t="inlineStr">
        <is>
          <t>NO</t>
        </is>
      </c>
      <c r="D37" s="73" t="inlineStr">
        <is>
          <t>On "Y + CPOH"</t>
        </is>
      </c>
      <c r="E37" s="45">
        <f>G35 + G36</f>
        <v/>
      </c>
      <c r="F37" s="21">
        <f>Factor_Cess</f>
        <v/>
      </c>
      <c r="G37" s="5">
        <f>IF(C37="YES", ROUND(E37 * F37, 2), 0)</f>
        <v/>
      </c>
      <c r="H37" s="24" t="inlineStr">
        <is>
          <t>CPWD RULE: Cess is excluded in base rates; toggle YES only if project requires local cess.</t>
        </is>
      </c>
    </row>
    <row r="38" ht="24" customHeight="1">
      <c r="A38" s="30" t="inlineStr">
        <is>
          <t>Z</t>
        </is>
      </c>
      <c r="B38" s="111" t="inlineStr">
        <is>
          <t>Grand Total Daily Operating Cost with Overheads</t>
        </is>
      </c>
      <c r="C38" s="112" t="inlineStr">
        <is>
          <t>-</t>
        </is>
      </c>
      <c r="D38" s="112" t="inlineStr">
        <is>
          <t>Y + CPOH + Cess</t>
        </is>
      </c>
      <c r="E38" s="113" t="inlineStr">
        <is>
          <t>-</t>
        </is>
      </c>
      <c r="F38" s="113" t="inlineStr">
        <is>
          <t>-</t>
        </is>
      </c>
      <c r="G38" s="77">
        <f>G35 + G36 + G37</f>
        <v/>
      </c>
      <c r="H38" s="24" t="inlineStr">
        <is>
          <t>Total operating cost for 1 shift of 8 hours including 15% contractor profit &amp; overheads</t>
        </is>
      </c>
    </row>
    <row r="39" ht="24" customHeight="1">
      <c r="A39" s="2" t="inlineStr">
        <is>
          <t>-</t>
        </is>
      </c>
      <c r="B39" s="74" t="inlineStr">
        <is>
          <t>Cost per Single Round Trip with Overheads</t>
        </is>
      </c>
      <c r="C39" s="73" t="inlineStr">
        <is>
          <t>-</t>
        </is>
      </c>
      <c r="D39" s="73" t="inlineStr">
        <is>
          <t>Z / N Trips</t>
        </is>
      </c>
      <c r="E39" s="109">
        <f>G38</f>
        <v/>
      </c>
      <c r="F39" s="109">
        <f>D13</f>
        <v/>
      </c>
      <c r="G39" s="5">
        <f>ROUND(G38 / D13, 2)</f>
        <v/>
      </c>
      <c r="H39" s="24" t="inlineStr">
        <is>
          <t>Evaluated rate per single trip with overheads (= Total Cost Z / N)</t>
        </is>
      </c>
    </row>
    <row r="40" ht="24" customHeight="1">
      <c r="A40" s="2" t="inlineStr">
        <is>
          <t>-</t>
        </is>
      </c>
      <c r="B40" s="74" t="inlineStr">
        <is>
          <t>Analyzed Unit Rate per Billing Unit</t>
        </is>
      </c>
      <c r="C40" s="73" t="inlineStr">
        <is>
          <t>-</t>
        </is>
      </c>
      <c r="D40" s="73" t="inlineStr">
        <is>
          <t>Z / Total Output + Fee</t>
        </is>
      </c>
      <c r="E40" s="109">
        <f>G38</f>
        <v/>
      </c>
      <c r="F40" s="109">
        <f>H13</f>
        <v/>
      </c>
      <c r="G40" s="5">
        <f>ROUND((G38 / H13) + B7, 2)</f>
        <v/>
      </c>
      <c r="H40" s="24" t="inlineStr">
        <is>
          <t>Derived cost per individual billing unit including optional municipal tipping/gate fee</t>
        </is>
      </c>
    </row>
    <row r="41" ht="24" customHeight="1">
      <c r="A41" s="2" t="inlineStr">
        <is>
          <t>-</t>
        </is>
      </c>
      <c r="B41" s="74" t="inlineStr">
        <is>
          <t>Rate per Schedule Output Unit (100 m / 1000 Nos)</t>
        </is>
      </c>
      <c r="C41" s="73" t="inlineStr">
        <is>
          <t>-</t>
        </is>
      </c>
      <c r="D41" s="73" t="inlineStr">
        <is>
          <t>Basis Unit</t>
        </is>
      </c>
      <c r="E41" s="109">
        <f>B13</f>
        <v/>
      </c>
      <c r="F41" s="109" t="inlineStr">
        <is>
          <t>-</t>
        </is>
      </c>
      <c r="G41" s="5">
        <f>IF(OR(B13="100 m", B13="1000 Nos"), ROUND(G40 * 100, 2), G40)</f>
        <v/>
      </c>
      <c r="H41" s="24" t="inlineStr">
        <is>
          <t>Schedule rate formatted to CPWD DAR basis (e.g. per 100m for pipes, per 1000 for bricks)</t>
        </is>
      </c>
    </row>
    <row r="42" ht="30" customHeight="1">
      <c r="A42" s="50" t="inlineStr">
        <is>
          <t>SAY</t>
        </is>
      </c>
      <c r="B42" s="114" t="inlineStr">
        <is>
          <t>CPWD OFFICIAL "SAY" RATE FOR CARRIAGE (Linked to Contract Estimate):</t>
        </is>
      </c>
      <c r="C42" s="115" t="inlineStr">
        <is>
          <t>-</t>
        </is>
      </c>
      <c r="D42" s="115" t="inlineStr">
        <is>
          <t>Rounded per CPWD</t>
        </is>
      </c>
      <c r="E42" s="116" t="inlineStr">
        <is>
          <t>-</t>
        </is>
      </c>
      <c r="F42" s="116" t="inlineStr">
        <is>
          <t>-</t>
        </is>
      </c>
      <c r="G42" s="56">
        <f>IF(OR(B13="100 m", B13="1000 Nos"), ROUND(G41, 0), ROUND(G40, 2))</f>
        <v/>
      </c>
      <c r="H42" s="24" t="inlineStr">
        <is>
          <t>Final analytical rate ready for integration into BOQ and project cost estimates</t>
        </is>
      </c>
    </row>
    <row r="43" ht="10" customHeight="1"/>
    <row r="44" ht="24" customHeight="1">
      <c r="A44" s="32" t="inlineStr">
        <is>
          <t>3. HEADING 1.2: MANUAL LABOUR CARRIAGE CALCULATOR (For Lead Less Than 0.50 km / 50 m to 500 m)</t>
        </is>
      </c>
    </row>
    <row r="45" ht="22" customHeight="1">
      <c r="A45" s="117" t="inlineStr">
        <is>
          <t>CPWD DAR 2019 Item 1.2 Standards: Category A (Bulk Materials) = 7.67 Beldars 1st 50m (+1.67 Coolies/addl 50m). Category B (Heavy/Pipes/Steel) = 9.20 Beldars 1st 50m (+1.35 Beldars/addl 50m). All rates include 15% CPOH.</t>
        </is>
      </c>
    </row>
    <row r="46" ht="22" customHeight="1">
      <c r="A46" s="16" t="inlineStr">
        <is>
          <t>Manual Item Code:</t>
        </is>
      </c>
      <c r="B46" s="59" t="inlineStr">
        <is>
          <t>1.2.CUSTOM</t>
        </is>
      </c>
      <c r="C46" s="16" t="inlineStr">
        <is>
          <t>Material Category:</t>
        </is>
      </c>
      <c r="D46" s="59" t="inlineStr">
        <is>
          <t>Category B (Heavy / Pipes / Steel)</t>
        </is>
      </c>
      <c r="E46" s="16" t="inlineStr">
        <is>
          <t>Lead Distance (Metres):</t>
        </is>
      </c>
      <c r="F46" s="59" t="n">
        <v>100</v>
      </c>
      <c r="G46" s="16" t="inlineStr">
        <is>
          <t>Addl 50m Steps (M):</t>
        </is>
      </c>
      <c r="H46" s="118">
        <f>MAX(0, (F46 - 50) / 50)</f>
        <v/>
      </c>
    </row>
    <row r="47" ht="26" customHeight="1">
      <c r="A47" s="16" t="inlineStr">
        <is>
          <t>Manual Specification:</t>
        </is>
      </c>
      <c r="B47" s="87" t="inlineStr">
        <is>
          <t>Carriage by manual labour including loading, unloading and stacking for lead upto 100 metres complete as per directions of Engineer-in-charge.</t>
        </is>
      </c>
    </row>
    <row r="48" ht="22" customHeight="1">
      <c r="A48" s="16" t="inlineStr">
        <is>
          <t>8-Hour Output Capacity:</t>
        </is>
      </c>
      <c r="B48" s="94" t="n">
        <v>1702</v>
      </c>
      <c r="C48" s="16" t="inlineStr">
        <is>
          <t>Output / Billing Unit:</t>
        </is>
      </c>
      <c r="D48" s="59" t="inlineStr">
        <is>
          <t>100 m</t>
        </is>
      </c>
      <c r="E48" s="16" t="inlineStr">
        <is>
          <t>Base Labour 1st 50m (Rs):</t>
        </is>
      </c>
      <c r="F48" s="5">
        <f>IF(ISNUMBER(SEARCH("Category A", D46)), 4279.86, 5133.60)</f>
        <v/>
      </c>
      <c r="G48" s="16" t="inlineStr">
        <is>
          <t>Addl Labour / 50m (Rs):</t>
        </is>
      </c>
      <c r="H48" s="5">
        <f>IF(ISNUMBER(SEARCH("Category A", D46)), 931.86, 753.30)</f>
        <v/>
      </c>
    </row>
    <row r="49" ht="26" customHeight="1">
      <c r="A49" s="16" t="inlineStr">
        <is>
          <t>Total Labour Cost (Rs):</t>
        </is>
      </c>
      <c r="B49" s="5">
        <f>F48 + (H46 * H48)</f>
        <v/>
      </c>
      <c r="C49" s="16" t="inlineStr">
        <is>
          <t>Add 15% CPOH (Rs):</t>
        </is>
      </c>
      <c r="D49" s="5">
        <f>ROUND(B49 * 0.15, 2)</f>
        <v/>
      </c>
      <c r="E49" s="16" t="inlineStr">
        <is>
          <t>Total 8-Hr Cost with CPOH:</t>
        </is>
      </c>
      <c r="F49" s="77">
        <f>B49 + D49</f>
        <v/>
      </c>
      <c r="G49" s="16" t="inlineStr">
        <is>
          <t>Analyzed Unit Rate (Rs):</t>
        </is>
      </c>
      <c r="H49" s="56">
        <f>IF(OR(D48="100 m", D48="1000 Nos"), ROUND((F49 / B48) * 100, 2), ROUND(F49 / B48, 2))</f>
        <v/>
      </c>
    </row>
    <row r="50" ht="12" customHeight="1"/>
    <row r="51" ht="24" customHeight="1">
      <c r="A51" s="32" t="inlineStr">
        <is>
          <t>4. GROUND-TRUTH ENGINEERING REFERENCE BENCHMARKS (CPWD DAR 2019 SUB-HEAD 01)</t>
        </is>
      </c>
    </row>
    <row r="52" ht="22" customHeight="1">
      <c r="A52" s="32" t="inlineStr">
        <is>
          <t>4A. CPWD DAR 2019 DATA SHEET NO. 1 GROUND-TRUTH BENCHMARK (1 km to 30 km Mechanical Transport Reference)</t>
        </is>
      </c>
    </row>
    <row r="53" ht="24" customHeight="1">
      <c r="A53" s="1" t="inlineStr">
        <is>
          <t>Lead (L) (km)</t>
        </is>
      </c>
      <c r="B53" s="1" t="inlineStr">
        <is>
          <t>Avg Speed (S) (km/h)</t>
        </is>
      </c>
      <c r="C53" s="1" t="inlineStr">
        <is>
          <t>Trips (N) / Day</t>
        </is>
      </c>
      <c r="D53" s="1" t="inlineStr">
        <is>
          <t>Km Done / Day</t>
        </is>
      </c>
      <c r="E53" s="1" t="inlineStr">
        <is>
          <t>Diesel Qty (Litres)</t>
        </is>
      </c>
      <c r="F53" s="1" t="inlineStr">
        <is>
          <t>Mobil Oil (Litres)</t>
        </is>
      </c>
      <c r="G53" s="1" t="inlineStr">
        <is>
          <t>Total Shift Cost (Rs)</t>
        </is>
      </c>
      <c r="H53" s="1" t="inlineStr">
        <is>
          <t>Cost per Trip (Rs)</t>
        </is>
      </c>
    </row>
    <row r="54" ht="20" customHeight="1">
      <c r="A54" s="119" t="n">
        <v>1</v>
      </c>
      <c r="B54" s="120" t="n">
        <v>16</v>
      </c>
      <c r="C54" s="121" t="n">
        <v>7.11</v>
      </c>
      <c r="D54" s="46" t="n">
        <v>20.22</v>
      </c>
      <c r="E54" s="46" t="n">
        <v>4.04</v>
      </c>
      <c r="F54" s="122" t="n">
        <v>0.144</v>
      </c>
      <c r="G54" s="123" t="n">
        <v>5190.3</v>
      </c>
      <c r="H54" s="5" t="n">
        <v>730</v>
      </c>
    </row>
    <row r="55" ht="20" customHeight="1">
      <c r="A55" s="124" t="n">
        <v>2</v>
      </c>
      <c r="B55" s="125" t="n">
        <v>17</v>
      </c>
      <c r="C55" s="126" t="n">
        <v>6.48</v>
      </c>
      <c r="D55" s="47" t="n">
        <v>31.92</v>
      </c>
      <c r="E55" s="47" t="n">
        <v>6.38</v>
      </c>
      <c r="F55" s="127" t="n">
        <v>0.228</v>
      </c>
      <c r="G55" s="41" t="n">
        <v>5388.75</v>
      </c>
      <c r="H55" s="9" t="n">
        <v>831.6</v>
      </c>
    </row>
    <row r="56" ht="20" customHeight="1">
      <c r="A56" s="119" t="n">
        <v>3</v>
      </c>
      <c r="B56" s="120" t="n">
        <v>17.5</v>
      </c>
      <c r="C56" s="121" t="n">
        <v>5.96</v>
      </c>
      <c r="D56" s="46" t="n">
        <v>41.76</v>
      </c>
      <c r="E56" s="46" t="n">
        <v>8.35</v>
      </c>
      <c r="F56" s="122" t="n">
        <v>0.298</v>
      </c>
      <c r="G56" s="123" t="n">
        <v>5555.6</v>
      </c>
      <c r="H56" s="5" t="n">
        <v>932.15</v>
      </c>
    </row>
    <row r="57" ht="20" customHeight="1">
      <c r="A57" s="124" t="n">
        <v>4</v>
      </c>
      <c r="B57" s="125" t="n">
        <v>18</v>
      </c>
      <c r="C57" s="126" t="n">
        <v>5.54</v>
      </c>
      <c r="D57" s="47" t="n">
        <v>50.32</v>
      </c>
      <c r="E57" s="47" t="n">
        <v>10.06</v>
      </c>
      <c r="F57" s="127" t="n">
        <v>0.359</v>
      </c>
      <c r="G57" s="41" t="n">
        <v>5700.5</v>
      </c>
      <c r="H57" s="9" t="n">
        <v>1028.97</v>
      </c>
    </row>
    <row r="58" ht="20" customHeight="1">
      <c r="A58" s="119" t="n">
        <v>5</v>
      </c>
      <c r="B58" s="120" t="n">
        <v>18.5</v>
      </c>
      <c r="C58" s="121" t="n">
        <v>5.19</v>
      </c>
      <c r="D58" s="46" t="n">
        <v>57.9</v>
      </c>
      <c r="E58" s="46" t="n">
        <v>11.58</v>
      </c>
      <c r="F58" s="122" t="n">
        <v>0.414</v>
      </c>
      <c r="G58" s="123" t="n">
        <v>5829.54</v>
      </c>
      <c r="H58" s="5" t="n">
        <v>1123.23</v>
      </c>
    </row>
    <row r="59" ht="20" customHeight="1">
      <c r="A59" s="124" t="n">
        <v>6</v>
      </c>
      <c r="B59" s="125" t="n">
        <v>19</v>
      </c>
      <c r="C59" s="126" t="n">
        <v>4.9</v>
      </c>
      <c r="D59" s="47" t="n">
        <v>64.8</v>
      </c>
      <c r="E59" s="47" t="n">
        <v>12.96</v>
      </c>
      <c r="F59" s="127" t="n">
        <v>0.463</v>
      </c>
      <c r="G59" s="41" t="n">
        <v>5946.41</v>
      </c>
      <c r="H59" s="9" t="n">
        <v>1213.55</v>
      </c>
    </row>
    <row r="60" ht="20" customHeight="1">
      <c r="A60" s="119" t="n">
        <v>7</v>
      </c>
      <c r="B60" s="120" t="n">
        <v>19.5</v>
      </c>
      <c r="C60" s="121" t="n">
        <v>4.66</v>
      </c>
      <c r="D60" s="46" t="n">
        <v>71.23999999999999</v>
      </c>
      <c r="E60" s="46" t="n">
        <v>14.25</v>
      </c>
      <c r="F60" s="122" t="n">
        <v>0.509</v>
      </c>
      <c r="G60" s="123" t="n">
        <v>6055.72</v>
      </c>
      <c r="H60" s="5" t="n">
        <v>1299.51</v>
      </c>
    </row>
    <row r="61" ht="20" customHeight="1">
      <c r="A61" s="124" t="n">
        <v>8</v>
      </c>
      <c r="B61" s="125" t="n">
        <v>20</v>
      </c>
      <c r="C61" s="126" t="n">
        <v>4.44</v>
      </c>
      <c r="D61" s="47" t="n">
        <v>77.04000000000001</v>
      </c>
      <c r="E61" s="47" t="n">
        <v>15.41</v>
      </c>
      <c r="F61" s="127" t="n">
        <v>0.55</v>
      </c>
      <c r="G61" s="41" t="n">
        <v>6153.89</v>
      </c>
      <c r="H61" s="9" t="n">
        <v>1386.01</v>
      </c>
    </row>
    <row r="62" ht="20" customHeight="1">
      <c r="A62" s="119" t="n">
        <v>9</v>
      </c>
      <c r="B62" s="120" t="n">
        <v>20.5</v>
      </c>
      <c r="C62" s="121" t="n">
        <v>4.26</v>
      </c>
      <c r="D62" s="46" t="n">
        <v>82.68000000000001</v>
      </c>
      <c r="E62" s="46" t="n">
        <v>16.54</v>
      </c>
      <c r="F62" s="122" t="n">
        <v>0.591</v>
      </c>
      <c r="G62" s="123" t="n">
        <v>6249.86</v>
      </c>
      <c r="H62" s="5" t="n">
        <v>1467.1</v>
      </c>
    </row>
    <row r="63" ht="20" customHeight="1">
      <c r="A63" s="124" t="n">
        <v>10</v>
      </c>
      <c r="B63" s="125" t="n">
        <v>21</v>
      </c>
      <c r="C63" s="126" t="n">
        <v>4.1</v>
      </c>
      <c r="D63" s="47" t="n">
        <v>88</v>
      </c>
      <c r="E63" s="47" t="n">
        <v>17.6</v>
      </c>
      <c r="F63" s="127" t="n">
        <v>0.629</v>
      </c>
      <c r="G63" s="41" t="n">
        <v>6339.74</v>
      </c>
      <c r="H63" s="9" t="n">
        <v>1546.28</v>
      </c>
    </row>
    <row r="64" ht="20" customHeight="1">
      <c r="A64" s="119" t="n">
        <v>11</v>
      </c>
      <c r="B64" s="120" t="n">
        <v>21.5</v>
      </c>
      <c r="C64" s="121" t="n">
        <v>3.95</v>
      </c>
      <c r="D64" s="46" t="n">
        <v>92.90000000000001</v>
      </c>
      <c r="E64" s="46" t="n">
        <v>18.58</v>
      </c>
      <c r="F64" s="122" t="n">
        <v>0.664</v>
      </c>
      <c r="G64" s="123" t="n">
        <v>6422.79</v>
      </c>
      <c r="H64" s="5" t="n">
        <v>1626.02</v>
      </c>
    </row>
    <row r="65" ht="20" customHeight="1">
      <c r="A65" s="124" t="n">
        <v>12</v>
      </c>
      <c r="B65" s="125" t="n">
        <v>22</v>
      </c>
      <c r="C65" s="126" t="n">
        <v>3.83</v>
      </c>
      <c r="D65" s="47" t="n">
        <v>97.92</v>
      </c>
      <c r="E65" s="47" t="n">
        <v>19.58</v>
      </c>
      <c r="F65" s="127" t="n">
        <v>0.699</v>
      </c>
      <c r="G65" s="41" t="n">
        <v>6507.32</v>
      </c>
      <c r="H65" s="9" t="n">
        <v>1699.04</v>
      </c>
    </row>
    <row r="66" ht="20" customHeight="1">
      <c r="A66" s="119" t="n">
        <v>13</v>
      </c>
      <c r="B66" s="120" t="n">
        <v>22.5</v>
      </c>
      <c r="C66" s="121" t="n">
        <v>3.71</v>
      </c>
      <c r="D66" s="46" t="n">
        <v>102.46</v>
      </c>
      <c r="E66" s="46" t="n">
        <v>20.49</v>
      </c>
      <c r="F66" s="122" t="n">
        <v>0.732</v>
      </c>
      <c r="G66" s="123" t="n">
        <v>6584.6</v>
      </c>
      <c r="H66" s="5" t="n">
        <v>1774.82</v>
      </c>
    </row>
    <row r="67" ht="20" customHeight="1">
      <c r="A67" s="124" t="n">
        <v>14</v>
      </c>
      <c r="B67" s="125" t="n">
        <v>23</v>
      </c>
      <c r="C67" s="126" t="n">
        <v>3.61</v>
      </c>
      <c r="D67" s="47" t="n">
        <v>107.08</v>
      </c>
      <c r="E67" s="47" t="n">
        <v>21.42</v>
      </c>
      <c r="F67" s="127" t="n">
        <v>0.765</v>
      </c>
      <c r="G67" s="41" t="n">
        <v>6663.35</v>
      </c>
      <c r="H67" s="9" t="n">
        <v>1845.8</v>
      </c>
    </row>
    <row r="68" ht="20" customHeight="1">
      <c r="A68" s="119" t="n">
        <v>15</v>
      </c>
      <c r="B68" s="120" t="n">
        <v>23.5</v>
      </c>
      <c r="C68" s="121" t="n">
        <v>3.51</v>
      </c>
      <c r="D68" s="46" t="n">
        <v>111.3</v>
      </c>
      <c r="E68" s="46" t="n">
        <v>22.26</v>
      </c>
      <c r="F68" s="122" t="n">
        <v>0.795</v>
      </c>
      <c r="G68" s="123" t="n">
        <v>6734.54</v>
      </c>
      <c r="H68" s="5" t="n">
        <v>1918.67</v>
      </c>
    </row>
    <row r="69" ht="20" customHeight="1">
      <c r="A69" s="124" t="n">
        <v>16</v>
      </c>
      <c r="B69" s="125" t="n">
        <v>24</v>
      </c>
      <c r="C69" s="126" t="n">
        <v>3.43</v>
      </c>
      <c r="D69" s="47" t="n">
        <v>115.76</v>
      </c>
      <c r="E69" s="47" t="n">
        <v>23.15</v>
      </c>
      <c r="F69" s="127" t="n">
        <v>0.827</v>
      </c>
      <c r="G69" s="41" t="n">
        <v>6810.04</v>
      </c>
      <c r="H69" s="9" t="n">
        <v>1985.43</v>
      </c>
    </row>
    <row r="70" ht="20" customHeight="1">
      <c r="A70" s="119" t="n">
        <v>17</v>
      </c>
      <c r="B70" s="120" t="n">
        <v>24.5</v>
      </c>
      <c r="C70" s="121" t="n">
        <v>3.35</v>
      </c>
      <c r="D70" s="46" t="n">
        <v>119.9</v>
      </c>
      <c r="E70" s="46" t="n">
        <v>23.98</v>
      </c>
      <c r="F70" s="122" t="n">
        <v>0.856</v>
      </c>
      <c r="G70" s="123" t="n">
        <v>6880.17</v>
      </c>
      <c r="H70" s="5" t="n">
        <v>2053.78</v>
      </c>
    </row>
    <row r="71" ht="20" customHeight="1">
      <c r="A71" s="124" t="n">
        <v>18</v>
      </c>
      <c r="B71" s="125" t="n">
        <v>25</v>
      </c>
      <c r="C71" s="126" t="n">
        <v>3.28</v>
      </c>
      <c r="D71" s="47" t="n">
        <v>124.08</v>
      </c>
      <c r="E71" s="47" t="n">
        <v>24.82</v>
      </c>
      <c r="F71" s="127" t="n">
        <v>0.886</v>
      </c>
      <c r="G71" s="41" t="n">
        <v>6951.36</v>
      </c>
      <c r="H71" s="9" t="n">
        <v>2119.32</v>
      </c>
    </row>
    <row r="72" ht="20" customHeight="1">
      <c r="A72" s="119" t="n">
        <v>19</v>
      </c>
      <c r="B72" s="120" t="n">
        <v>25.5</v>
      </c>
      <c r="C72" s="121" t="n">
        <v>3.21</v>
      </c>
      <c r="D72" s="46" t="n">
        <v>127.98</v>
      </c>
      <c r="E72" s="46" t="n">
        <v>25.6</v>
      </c>
      <c r="F72" s="122" t="n">
        <v>0.914</v>
      </c>
      <c r="G72" s="123" t="n">
        <v>7017.51</v>
      </c>
      <c r="H72" s="5" t="n">
        <v>2186.14</v>
      </c>
    </row>
    <row r="73" ht="20" customHeight="1">
      <c r="A73" s="124" t="n">
        <v>20</v>
      </c>
      <c r="B73" s="125" t="n">
        <v>26</v>
      </c>
      <c r="C73" s="126" t="n">
        <v>3.15</v>
      </c>
      <c r="D73" s="47" t="n">
        <v>132</v>
      </c>
      <c r="E73" s="47" t="n">
        <v>26.4</v>
      </c>
      <c r="F73" s="127" t="n">
        <v>0.9429999999999999</v>
      </c>
      <c r="G73" s="41" t="n">
        <v>7085.45</v>
      </c>
      <c r="H73" s="9" t="n">
        <v>2249.35</v>
      </c>
    </row>
    <row r="74" ht="20" customHeight="1">
      <c r="A74" s="119" t="n">
        <v>21</v>
      </c>
      <c r="B74" s="120" t="n">
        <v>26.5</v>
      </c>
      <c r="C74" s="121" t="n">
        <v>3.09</v>
      </c>
      <c r="D74" s="46" t="n">
        <v>135.78</v>
      </c>
      <c r="E74" s="46" t="n">
        <v>27.16</v>
      </c>
      <c r="F74" s="122" t="n">
        <v>0.97</v>
      </c>
      <c r="G74" s="123" t="n">
        <v>7149.81</v>
      </c>
      <c r="H74" s="5" t="n">
        <v>2313.85</v>
      </c>
    </row>
    <row r="75" ht="20" customHeight="1">
      <c r="A75" s="124" t="n">
        <v>22</v>
      </c>
      <c r="B75" s="125" t="n">
        <v>27</v>
      </c>
      <c r="C75" s="126" t="n">
        <v>3.04</v>
      </c>
      <c r="D75" s="47" t="n">
        <v>139.76</v>
      </c>
      <c r="E75" s="47" t="n">
        <v>27.95</v>
      </c>
      <c r="F75" s="127" t="n">
        <v>0.998</v>
      </c>
      <c r="G75" s="41" t="n">
        <v>7216.7</v>
      </c>
      <c r="H75" s="9" t="n">
        <v>2373.91</v>
      </c>
    </row>
    <row r="76" ht="20" customHeight="1">
      <c r="A76" s="119" t="n">
        <v>23</v>
      </c>
      <c r="B76" s="120" t="n">
        <v>27.5</v>
      </c>
      <c r="C76" s="121" t="n">
        <v>2.99</v>
      </c>
      <c r="D76" s="46" t="n">
        <v>143.54</v>
      </c>
      <c r="E76" s="46" t="n">
        <v>28.71</v>
      </c>
      <c r="F76" s="122" t="n">
        <v>1.025</v>
      </c>
      <c r="G76" s="123" t="n">
        <v>7281.07</v>
      </c>
      <c r="H76" s="5" t="n">
        <v>2435.14</v>
      </c>
    </row>
    <row r="77" ht="20" customHeight="1">
      <c r="A77" s="124" t="n">
        <v>24</v>
      </c>
      <c r="B77" s="125" t="n">
        <v>28</v>
      </c>
      <c r="C77" s="126" t="n">
        <v>2.95</v>
      </c>
      <c r="D77" s="47" t="n">
        <v>147.6</v>
      </c>
      <c r="E77" s="47" t="n">
        <v>29.52</v>
      </c>
      <c r="F77" s="127" t="n">
        <v>1.054</v>
      </c>
      <c r="G77" s="41" t="n">
        <v>7349.73</v>
      </c>
      <c r="H77" s="9" t="n">
        <v>2491.43</v>
      </c>
    </row>
    <row r="78" ht="20" customHeight="1">
      <c r="A78" s="119" t="n">
        <v>25</v>
      </c>
      <c r="B78" s="120" t="n">
        <v>28.5</v>
      </c>
      <c r="C78" s="121" t="n">
        <v>2.9</v>
      </c>
      <c r="D78" s="46" t="n">
        <v>151</v>
      </c>
      <c r="E78" s="46" t="n">
        <v>30.2</v>
      </c>
      <c r="F78" s="122" t="n">
        <v>1.079</v>
      </c>
      <c r="G78" s="123" t="n">
        <v>7407.59</v>
      </c>
      <c r="H78" s="5" t="n">
        <v>2554.34</v>
      </c>
    </row>
    <row r="79" ht="20" customHeight="1">
      <c r="A79" s="124" t="n">
        <v>26</v>
      </c>
      <c r="B79" s="125" t="n">
        <v>29</v>
      </c>
      <c r="C79" s="126" t="n">
        <v>2.86</v>
      </c>
      <c r="D79" s="47" t="n">
        <v>154.72</v>
      </c>
      <c r="E79" s="47" t="n">
        <v>30.94</v>
      </c>
      <c r="F79" s="127" t="n">
        <v>1.105</v>
      </c>
      <c r="G79" s="41" t="n">
        <v>7470.17</v>
      </c>
      <c r="H79" s="9" t="n">
        <v>2611.95</v>
      </c>
    </row>
    <row r="80" ht="20" customHeight="1">
      <c r="A80" s="119" t="n">
        <v>27</v>
      </c>
      <c r="B80" s="120" t="n">
        <v>29.5</v>
      </c>
      <c r="C80" s="121" t="n">
        <v>2.83</v>
      </c>
      <c r="D80" s="46" t="n">
        <v>158.82</v>
      </c>
      <c r="E80" s="46" t="n">
        <v>31.76</v>
      </c>
      <c r="F80" s="122" t="n">
        <v>1.134</v>
      </c>
      <c r="G80" s="123" t="n">
        <v>7539.57</v>
      </c>
      <c r="H80" s="5" t="n">
        <v>2664.16</v>
      </c>
    </row>
    <row r="81" ht="20" customHeight="1">
      <c r="A81" s="124" t="n">
        <v>28</v>
      </c>
      <c r="B81" s="125" t="n">
        <v>30</v>
      </c>
      <c r="C81" s="126" t="n">
        <v>2.79</v>
      </c>
      <c r="D81" s="47" t="n">
        <v>162.24</v>
      </c>
      <c r="E81" s="47" t="n">
        <v>32.45</v>
      </c>
      <c r="F81" s="127" t="n">
        <v>1.159</v>
      </c>
      <c r="G81" s="41" t="n">
        <v>7598.17</v>
      </c>
      <c r="H81" s="9" t="n">
        <v>2723.36</v>
      </c>
    </row>
    <row r="82" ht="20" customHeight="1">
      <c r="A82" s="119" t="n">
        <v>29</v>
      </c>
      <c r="B82" s="120" t="n">
        <v>30.5</v>
      </c>
      <c r="C82" s="121" t="n">
        <v>2.76</v>
      </c>
      <c r="D82" s="46" t="n">
        <v>166.08</v>
      </c>
      <c r="E82" s="46" t="n">
        <v>33.22</v>
      </c>
      <c r="F82" s="122" t="n">
        <v>1.186</v>
      </c>
      <c r="G82" s="123" t="n">
        <v>7663.26</v>
      </c>
      <c r="H82" s="5" t="n">
        <v>2776.54</v>
      </c>
    </row>
    <row r="83" ht="20" customHeight="1">
      <c r="A83" s="124" t="n">
        <v>30</v>
      </c>
      <c r="B83" s="125" t="n">
        <v>31</v>
      </c>
      <c r="C83" s="126" t="n">
        <v>2.73</v>
      </c>
      <c r="D83" s="47" t="n">
        <v>169.8</v>
      </c>
      <c r="E83" s="47" t="n">
        <v>33.96</v>
      </c>
      <c r="F83" s="127" t="n">
        <v>1.213</v>
      </c>
      <c r="G83" s="41" t="n">
        <v>7726.16</v>
      </c>
      <c r="H83" s="9" t="n">
        <v>2830.1</v>
      </c>
    </row>
    <row r="84" ht="20" customHeight="1">
      <c r="A84" s="128" t="inlineStr">
        <is>
          <t>NOTES: N=8/((2L/S)+1); Km Done=(2NL)+6.0; Diesel=Km/5.0; Mobil Oil=Km/140.0; Cost=Diesel+Oil+Rs 3348 (6 Beldars)+Rs 1500 (Truck); Cost/Trip=Total Cost/N.</t>
        </is>
      </c>
    </row>
    <row r="85" ht="10" customHeight="1"/>
    <row r="86" ht="22" customHeight="1">
      <c r="A86" s="32" t="inlineStr">
        <is>
          <t>4B. CPWD DAR STANDARD MATERIAL PAYLOAD CAPACITIES MATRIX (Table 1.1 Technical Reference &amp; Dropdown Source)</t>
        </is>
      </c>
    </row>
    <row r="87" ht="24" customHeight="1">
      <c r="A87" s="1" t="inlineStr">
        <is>
          <t>DAR Code</t>
        </is>
      </c>
      <c r="B87" s="1" t="inlineStr">
        <is>
          <t>Material / Trade Specification</t>
        </is>
      </c>
      <c r="C87" s="1" t="inlineStr">
        <is>
          <t>Truck Payload / Trip</t>
        </is>
      </c>
      <c r="D87" s="1" t="inlineStr">
        <is>
          <t>Net Payable Qty</t>
        </is>
      </c>
      <c r="E87" s="1" t="inlineStr">
        <is>
          <t>Schedule Unit</t>
        </is>
      </c>
      <c r="F87" s="1" t="inlineStr">
        <is>
          <t>Looseness Allowance / Technical Norms</t>
        </is>
      </c>
      <c r="G87" s="1" t="inlineStr">
        <is>
          <t>Base Rate 1 km (Rs)</t>
        </is>
      </c>
      <c r="H87" s="1" t="inlineStr">
        <is>
          <t>Addl Rate &gt;20 km (Rs)</t>
        </is>
      </c>
    </row>
    <row r="88" ht="20" customHeight="1">
      <c r="A88" s="2" t="inlineStr">
        <is>
          <t>1.1.1</t>
        </is>
      </c>
      <c r="B88" s="3" t="inlineStr">
        <is>
          <t>Lime, moorum, building rubbish, malba</t>
        </is>
      </c>
      <c r="C88" s="46" t="n">
        <v>8</v>
      </c>
      <c r="D88" s="46" t="n">
        <v>8</v>
      </c>
      <c r="E88" s="4" t="inlineStr">
        <is>
          <t>cum</t>
        </is>
      </c>
      <c r="F88" s="3" t="inlineStr">
        <is>
          <t>Nil looseness deduction; full 8.0 cum payable</t>
        </is>
      </c>
      <c r="G88" s="45" t="n">
        <v>104.94</v>
      </c>
      <c r="H88" s="45" t="n">
        <v>8.35</v>
      </c>
    </row>
    <row r="89" ht="20" customHeight="1">
      <c r="A89" s="6" t="inlineStr">
        <is>
          <t>1.1.2</t>
        </is>
      </c>
      <c r="B89" s="7" t="inlineStr">
        <is>
          <t>Earth (excavated soil / good earth)</t>
        </is>
      </c>
      <c r="C89" s="47" t="n">
        <v>8</v>
      </c>
      <c r="D89" s="47" t="n">
        <v>6.4</v>
      </c>
      <c r="E89" s="8" t="inlineStr">
        <is>
          <t>cum</t>
        </is>
      </c>
      <c r="F89" s="7" t="inlineStr">
        <is>
          <t>20% deduction for looseness (Net = 6.40 cum)</t>
        </is>
      </c>
      <c r="G89" s="43" t="n">
        <v>131.17</v>
      </c>
      <c r="H89" s="43" t="n">
        <v>10.44</v>
      </c>
    </row>
    <row r="90" ht="20" customHeight="1">
      <c r="A90" s="2" t="inlineStr">
        <is>
          <t>1.1.3</t>
        </is>
      </c>
      <c r="B90" s="3" t="inlineStr">
        <is>
          <t>Manure or sludge</t>
        </is>
      </c>
      <c r="C90" s="46" t="n">
        <v>8</v>
      </c>
      <c r="D90" s="46" t="n">
        <v>7.36</v>
      </c>
      <c r="E90" s="4" t="inlineStr">
        <is>
          <t>cum</t>
        </is>
      </c>
      <c r="F90" s="3" t="inlineStr">
        <is>
          <t>8% deduction for looseness (Net = 7.36 cum)</t>
        </is>
      </c>
      <c r="G90" s="45" t="n">
        <v>114.06</v>
      </c>
      <c r="H90" s="45" t="n">
        <v>9.08</v>
      </c>
    </row>
    <row r="91" ht="20" customHeight="1">
      <c r="A91" s="6" t="inlineStr">
        <is>
          <t>1.1.4</t>
        </is>
      </c>
      <c r="B91" s="7" t="inlineStr">
        <is>
          <t>Excavated rock</t>
        </is>
      </c>
      <c r="C91" s="47" t="n">
        <v>8</v>
      </c>
      <c r="D91" s="47" t="n">
        <v>4</v>
      </c>
      <c r="E91" s="8" t="inlineStr">
        <is>
          <t>cum</t>
        </is>
      </c>
      <c r="F91" s="7" t="inlineStr">
        <is>
          <t>50% deduction for voids/looseness (Net = 4.00 cum)</t>
        </is>
      </c>
      <c r="G91" s="43" t="n">
        <v>209.88</v>
      </c>
      <c r="H91" s="43" t="n">
        <v>16.7</v>
      </c>
    </row>
    <row r="92" ht="20" customHeight="1">
      <c r="A92" s="2" t="inlineStr">
        <is>
          <t>1.1.5</t>
        </is>
      </c>
      <c r="B92" s="3" t="inlineStr">
        <is>
          <t>Sand, stone aggregate below 40 mm</t>
        </is>
      </c>
      <c r="C92" s="46" t="n">
        <v>8</v>
      </c>
      <c r="D92" s="46" t="n">
        <v>8</v>
      </c>
      <c r="E92" s="4" t="inlineStr">
        <is>
          <t>cum</t>
        </is>
      </c>
      <c r="F92" s="3" t="inlineStr">
        <is>
          <t>Nil looseness deduction; standard density 8.0 cum</t>
        </is>
      </c>
      <c r="G92" s="45" t="n">
        <v>104.94</v>
      </c>
      <c r="H92" s="45" t="n">
        <v>8.35</v>
      </c>
    </row>
    <row r="93" ht="20" customHeight="1">
      <c r="A93" s="6" t="inlineStr">
        <is>
          <t>1.1.6</t>
        </is>
      </c>
      <c r="B93" s="7" t="inlineStr">
        <is>
          <t>Stone aggregate 40 mm nominal size &amp; above</t>
        </is>
      </c>
      <c r="C93" s="47" t="n">
        <v>8</v>
      </c>
      <c r="D93" s="47" t="n">
        <v>7.36</v>
      </c>
      <c r="E93" s="8" t="inlineStr">
        <is>
          <t>cum</t>
        </is>
      </c>
      <c r="F93" s="7" t="inlineStr">
        <is>
          <t>8% deduction for voids in coarse aggregate</t>
        </is>
      </c>
      <c r="G93" s="43" t="n">
        <v>114.06</v>
      </c>
      <c r="H93" s="43" t="n">
        <v>9.08</v>
      </c>
    </row>
    <row r="94" ht="20" customHeight="1">
      <c r="A94" s="2" t="inlineStr">
        <is>
          <t>1.1.7</t>
        </is>
      </c>
      <c r="B94" s="3" t="inlineStr">
        <is>
          <t>Soling stone &amp; masonry stone</t>
        </is>
      </c>
      <c r="C94" s="46" t="n">
        <v>8</v>
      </c>
      <c r="D94" s="46" t="n">
        <v>6.8</v>
      </c>
      <c r="E94" s="4" t="inlineStr">
        <is>
          <t>cum</t>
        </is>
      </c>
      <c r="F94" s="3" t="inlineStr">
        <is>
          <t>15% deduction for stack voids (Net = 6.80 cum)</t>
        </is>
      </c>
      <c r="G94" s="45" t="n">
        <v>123.46</v>
      </c>
      <c r="H94" s="45" t="n">
        <v>9.82</v>
      </c>
    </row>
    <row r="95" ht="20" customHeight="1">
      <c r="A95" s="6" t="inlineStr">
        <is>
          <t>1.1.8</t>
        </is>
      </c>
      <c r="B95" s="7" t="inlineStr">
        <is>
          <t>Bricks (standard modular / conventional)</t>
        </is>
      </c>
      <c r="C95" s="47" t="n">
        <v>3000</v>
      </c>
      <c r="D95" s="47" t="n">
        <v>3000</v>
      </c>
      <c r="E95" s="8" t="inlineStr">
        <is>
          <t>1000 Nos</t>
        </is>
      </c>
      <c r="F95" s="7" t="inlineStr">
        <is>
          <t>3,000 Bricks per 9-tonne truck load</t>
        </is>
      </c>
      <c r="G95" s="43" t="n">
        <v>279.83</v>
      </c>
      <c r="H95" s="43" t="n">
        <v>22.26</v>
      </c>
    </row>
    <row r="96" ht="20" customHeight="1">
      <c r="A96" s="2" t="inlineStr">
        <is>
          <t>1.1.9</t>
        </is>
      </c>
      <c r="B96" s="3" t="inlineStr">
        <is>
          <t>Brick tiles / Allahabad roofing tiles</t>
        </is>
      </c>
      <c r="C96" s="46" t="n">
        <v>5000</v>
      </c>
      <c r="D96" s="46" t="n">
        <v>5000</v>
      </c>
      <c r="E96" s="4" t="inlineStr">
        <is>
          <t>1000 Nos</t>
        </is>
      </c>
      <c r="F96" s="3" t="inlineStr">
        <is>
          <t>5,000 Tiles per 9-tonne truck load</t>
        </is>
      </c>
      <c r="G96" s="45" t="n">
        <v>167.9</v>
      </c>
      <c r="H96" s="45" t="n">
        <v>13.36</v>
      </c>
    </row>
    <row r="97" ht="20" customHeight="1">
      <c r="A97" s="6" t="inlineStr">
        <is>
          <t>1.1.10</t>
        </is>
      </c>
      <c r="B97" s="7" t="inlineStr">
        <is>
          <t>Cement, stone blocks, Kota stone slabs</t>
        </is>
      </c>
      <c r="C97" s="47" t="n">
        <v>9</v>
      </c>
      <c r="D97" s="47" t="n">
        <v>9</v>
      </c>
      <c r="E97" s="8" t="inlineStr">
        <is>
          <t>tonne</t>
        </is>
      </c>
      <c r="F97" s="7" t="inlineStr">
        <is>
          <t>Rated maximum truck payload capacity = 9 tonnes</t>
        </is>
      </c>
      <c r="G97" s="43" t="n">
        <v>93.28</v>
      </c>
      <c r="H97" s="43" t="n">
        <v>7.42</v>
      </c>
    </row>
    <row r="98" ht="20" customHeight="1">
      <c r="A98" s="2" t="inlineStr">
        <is>
          <t>1.1.11</t>
        </is>
      </c>
      <c r="B98" s="3" t="inlineStr">
        <is>
          <t>Steel bars, structural sections &amp; fabric</t>
        </is>
      </c>
      <c r="C98" s="46" t="n">
        <v>9</v>
      </c>
      <c r="D98" s="46" t="n">
        <v>9</v>
      </c>
      <c r="E98" s="4" t="inlineStr">
        <is>
          <t>tonne</t>
        </is>
      </c>
      <c r="F98" s="3" t="inlineStr">
        <is>
          <t>Rated maximum truck payload capacity = 9 tonnes</t>
        </is>
      </c>
      <c r="G98" s="45" t="n">
        <v>93.28</v>
      </c>
      <c r="H98" s="45" t="n">
        <v>7.42</v>
      </c>
    </row>
    <row r="99" ht="20" customHeight="1">
      <c r="A99" s="6" t="inlineStr">
        <is>
          <t>1.1.12</t>
        </is>
      </c>
      <c r="B99" s="7" t="inlineStr">
        <is>
          <t>Timber (scantlings / logs)</t>
        </is>
      </c>
      <c r="C99" s="47" t="n">
        <v>7</v>
      </c>
      <c r="D99" s="47" t="n">
        <v>7</v>
      </c>
      <c r="E99" s="8" t="inlineStr">
        <is>
          <t>cum</t>
        </is>
      </c>
      <c r="F99" s="7" t="inlineStr">
        <is>
          <t>Volume limit on timber body = 7.0 cum</t>
        </is>
      </c>
      <c r="G99" s="43" t="n">
        <v>119.93</v>
      </c>
      <c r="H99" s="43" t="n">
        <v>9.539999999999999</v>
      </c>
    </row>
    <row r="100" ht="20" customHeight="1">
      <c r="A100" s="2" t="inlineStr">
        <is>
          <t>1.1.13</t>
        </is>
      </c>
      <c r="B100" s="3" t="inlineStr">
        <is>
          <t>Tar, bitumen in drums</t>
        </is>
      </c>
      <c r="C100" s="46" t="n">
        <v>8</v>
      </c>
      <c r="D100" s="46" t="n">
        <v>8</v>
      </c>
      <c r="E100" s="4" t="inlineStr">
        <is>
          <t>tonne</t>
        </is>
      </c>
      <c r="F100" s="3" t="inlineStr">
        <is>
          <t>Packed drum loading capacity = 8 tonnes</t>
        </is>
      </c>
      <c r="G100" s="45" t="n">
        <v>104.94</v>
      </c>
      <c r="H100" s="45" t="n">
        <v>8.35</v>
      </c>
    </row>
    <row r="101" ht="20" customHeight="1">
      <c r="A101" s="6" t="inlineStr">
        <is>
          <t>1.1.14</t>
        </is>
      </c>
      <c r="B101" s="7" t="inlineStr">
        <is>
          <t>Steam coal</t>
        </is>
      </c>
      <c r="C101" s="47" t="n">
        <v>7</v>
      </c>
      <c r="D101" s="47" t="n">
        <v>7</v>
      </c>
      <c r="E101" s="8" t="inlineStr">
        <is>
          <t>tonne</t>
        </is>
      </c>
      <c r="F101" s="7" t="inlineStr">
        <is>
          <t>Bulk density volume restriction = 7 tonnes</t>
        </is>
      </c>
      <c r="G101" s="43" t="n">
        <v>119.93</v>
      </c>
      <c r="H101" s="43" t="n">
        <v>9.539999999999999</v>
      </c>
    </row>
    <row r="102" ht="20" customHeight="1">
      <c r="A102" s="2" t="inlineStr">
        <is>
          <t>1.1.15.1</t>
        </is>
      </c>
      <c r="B102" s="3" t="inlineStr">
        <is>
          <t>S.W. pipes 100 mm dia</t>
        </is>
      </c>
      <c r="C102" s="46" t="n">
        <v>600</v>
      </c>
      <c r="D102" s="46" t="n">
        <v>600</v>
      </c>
      <c r="E102" s="4" t="inlineStr">
        <is>
          <t>100 m</t>
        </is>
      </c>
      <c r="F102" s="3" t="inlineStr">
        <is>
          <t>Payload capacity = 600 metres (6 x 100 m)</t>
        </is>
      </c>
      <c r="G102" s="45" t="n">
        <v>139.92</v>
      </c>
      <c r="H102" s="45" t="n">
        <v>11.13</v>
      </c>
    </row>
    <row r="103" ht="20" customHeight="1">
      <c r="A103" s="6" t="inlineStr">
        <is>
          <t>1.1.15.2</t>
        </is>
      </c>
      <c r="B103" s="7" t="inlineStr">
        <is>
          <t>S.W. pipes 150 mm dia</t>
        </is>
      </c>
      <c r="C103" s="47" t="n">
        <v>300</v>
      </c>
      <c r="D103" s="47" t="n">
        <v>300</v>
      </c>
      <c r="E103" s="8" t="inlineStr">
        <is>
          <t>100 m</t>
        </is>
      </c>
      <c r="F103" s="7" t="inlineStr">
        <is>
          <t>Payload capacity = 300 metres (3 x 100 m)</t>
        </is>
      </c>
      <c r="G103" s="43" t="n">
        <v>279.83</v>
      </c>
      <c r="H103" s="43" t="n">
        <v>22.26</v>
      </c>
    </row>
    <row r="104" ht="20" customHeight="1">
      <c r="A104" s="2" t="inlineStr">
        <is>
          <t>1.1.16.1</t>
        </is>
      </c>
      <c r="B104" s="3" t="inlineStr">
        <is>
          <t>R.C.C. / C.I. pipes 100 mm dia</t>
        </is>
      </c>
      <c r="C104" s="46" t="n">
        <v>366</v>
      </c>
      <c r="D104" s="46" t="n">
        <v>366</v>
      </c>
      <c r="E104" s="4" t="inlineStr">
        <is>
          <t>100 m</t>
        </is>
      </c>
      <c r="F104" s="3" t="inlineStr">
        <is>
          <t>Payload capacity = 366 metres</t>
        </is>
      </c>
      <c r="G104" s="45" t="n">
        <v>229.37</v>
      </c>
      <c r="H104" s="45" t="n">
        <v>18.25</v>
      </c>
    </row>
    <row r="105" ht="20" customHeight="1">
      <c r="A105" s="6" t="inlineStr">
        <is>
          <t>1.1.16.3</t>
        </is>
      </c>
      <c r="B105" s="7" t="inlineStr">
        <is>
          <t>R.C.C. / C.I. pipes 150 mm dia</t>
        </is>
      </c>
      <c r="C105" s="47" t="n">
        <v>219.6</v>
      </c>
      <c r="D105" s="47" t="n">
        <v>219.6</v>
      </c>
      <c r="E105" s="8" t="inlineStr">
        <is>
          <t>100 m</t>
        </is>
      </c>
      <c r="F105" s="7" t="inlineStr">
        <is>
          <t>Payload capacity = 219.60 metres</t>
        </is>
      </c>
      <c r="G105" s="43" t="n">
        <v>382.29</v>
      </c>
      <c r="H105" s="43" t="n">
        <v>30.42</v>
      </c>
    </row>
    <row r="106" ht="20" customHeight="1">
      <c r="A106" s="2" t="inlineStr">
        <is>
          <t>1.1.16.4</t>
        </is>
      </c>
      <c r="B106" s="3" t="inlineStr">
        <is>
          <t>R.C.C. / C.I. pipes 200 mm dia</t>
        </is>
      </c>
      <c r="C106" s="46" t="n">
        <v>135</v>
      </c>
      <c r="D106" s="46" t="n">
        <v>135</v>
      </c>
      <c r="E106" s="4" t="inlineStr">
        <is>
          <t>100 m</t>
        </is>
      </c>
      <c r="F106" s="3" t="inlineStr">
        <is>
          <t>Payload capacity = 135 metres</t>
        </is>
      </c>
      <c r="G106" s="45" t="n">
        <v>621.85</v>
      </c>
      <c r="H106" s="45" t="n">
        <v>49.48</v>
      </c>
    </row>
    <row r="107" ht="20" customHeight="1">
      <c r="A107" s="6" t="inlineStr">
        <is>
          <t>1.1.16.5</t>
        </is>
      </c>
      <c r="B107" s="7" t="inlineStr">
        <is>
          <t>R.C.C. / C.I. pipes 250 mm dia</t>
        </is>
      </c>
      <c r="C107" s="47" t="n">
        <v>95</v>
      </c>
      <c r="D107" s="47" t="n">
        <v>95</v>
      </c>
      <c r="E107" s="8" t="inlineStr">
        <is>
          <t>100 m</t>
        </is>
      </c>
      <c r="F107" s="7" t="inlineStr">
        <is>
          <t>Payload capacity = 95 metres</t>
        </is>
      </c>
      <c r="G107" s="43" t="n">
        <v>883.6799999999999</v>
      </c>
      <c r="H107" s="43" t="n">
        <v>70.31</v>
      </c>
    </row>
    <row r="108" ht="20" customHeight="1">
      <c r="A108" s="2" t="inlineStr">
        <is>
          <t>1.1.16.6</t>
        </is>
      </c>
      <c r="B108" s="3" t="inlineStr">
        <is>
          <t>R.C.C. / C.I. pipes 300 mm dia</t>
        </is>
      </c>
      <c r="C108" s="46" t="n">
        <v>76.86</v>
      </c>
      <c r="D108" s="46" t="n">
        <v>76.86</v>
      </c>
      <c r="E108" s="4" t="inlineStr">
        <is>
          <t>100 m</t>
        </is>
      </c>
      <c r="F108" s="3" t="inlineStr">
        <is>
          <t>Payload capacity = 76.86 metres</t>
        </is>
      </c>
      <c r="G108" s="45" t="n">
        <v>1092.25</v>
      </c>
      <c r="H108" s="45" t="n">
        <v>86.90000000000001</v>
      </c>
    </row>
    <row r="109" ht="20" customHeight="1">
      <c r="A109" s="6" t="inlineStr">
        <is>
          <t>1.1.16.7</t>
        </is>
      </c>
      <c r="B109" s="7" t="inlineStr">
        <is>
          <t>R.C.C. / C.I. pipes 350 mm dia</t>
        </is>
      </c>
      <c r="C109" s="47" t="n">
        <v>54.9</v>
      </c>
      <c r="D109" s="47" t="n">
        <v>54.9</v>
      </c>
      <c r="E109" s="8" t="inlineStr">
        <is>
          <t>100 m</t>
        </is>
      </c>
      <c r="F109" s="7" t="inlineStr">
        <is>
          <t>Payload capacity = 54.90 metres</t>
        </is>
      </c>
      <c r="G109" s="43" t="n">
        <v>1529.14</v>
      </c>
      <c r="H109" s="43" t="n">
        <v>121.66</v>
      </c>
    </row>
    <row r="110" ht="20" customHeight="1">
      <c r="A110" s="2" t="inlineStr">
        <is>
          <t>1.1.16.8</t>
        </is>
      </c>
      <c r="B110" s="3" t="inlineStr">
        <is>
          <t>R.C.C. / C.I. pipes 400 mm dia</t>
        </is>
      </c>
      <c r="C110" s="46" t="n">
        <v>40.26</v>
      </c>
      <c r="D110" s="46" t="n">
        <v>40.26</v>
      </c>
      <c r="E110" s="4" t="inlineStr">
        <is>
          <t>100 m</t>
        </is>
      </c>
      <c r="F110" s="3" t="inlineStr">
        <is>
          <t>Payload capacity = 40.26 metres</t>
        </is>
      </c>
      <c r="G110" s="45" t="n">
        <v>2085.2</v>
      </c>
      <c r="H110" s="45" t="n">
        <v>165.9</v>
      </c>
    </row>
    <row r="111" ht="20" customHeight="1">
      <c r="A111" s="6" t="inlineStr">
        <is>
          <t>1.1.16.9</t>
        </is>
      </c>
      <c r="B111" s="7" t="inlineStr">
        <is>
          <t>R.C.C. / C.I. pipes 450 &amp; 500 mm dia</t>
        </is>
      </c>
      <c r="C111" s="47" t="n">
        <v>32.94</v>
      </c>
      <c r="D111" s="47" t="n">
        <v>32.94</v>
      </c>
      <c r="E111" s="8" t="inlineStr">
        <is>
          <t>100 m</t>
        </is>
      </c>
      <c r="F111" s="7" t="inlineStr">
        <is>
          <t>Payload capacity = 32.94 metres</t>
        </is>
      </c>
      <c r="G111" s="43" t="n">
        <v>2548.57</v>
      </c>
      <c r="H111" s="43" t="n">
        <v>202.77</v>
      </c>
    </row>
    <row r="112" ht="20" customHeight="1">
      <c r="A112" s="2" t="inlineStr">
        <is>
          <t>1.1.16.10</t>
        </is>
      </c>
      <c r="B112" s="3" t="inlineStr">
        <is>
          <t>R.C.C. / C.I. pipes 600, 700, 750 &amp; 800 mm dia</t>
        </is>
      </c>
      <c r="C112" s="46" t="n">
        <v>21.96</v>
      </c>
      <c r="D112" s="46" t="n">
        <v>21.96</v>
      </c>
      <c r="E112" s="4" t="inlineStr">
        <is>
          <t>100 m</t>
        </is>
      </c>
      <c r="F112" s="3" t="inlineStr">
        <is>
          <t>Payload capacity = 21.96 metres</t>
        </is>
      </c>
      <c r="G112" s="45" t="n">
        <v>3822.86</v>
      </c>
      <c r="H112" s="45" t="n">
        <v>304.15</v>
      </c>
    </row>
    <row r="113" ht="20" customHeight="1">
      <c r="A113" s="6" t="inlineStr">
        <is>
          <t>1.1.16.11</t>
        </is>
      </c>
      <c r="B113" s="7" t="inlineStr">
        <is>
          <t>R.C.C. / C.I. pipes 900 mm dia</t>
        </is>
      </c>
      <c r="C113" s="47" t="n">
        <v>14.64</v>
      </c>
      <c r="D113" s="47" t="n">
        <v>14.64</v>
      </c>
      <c r="E113" s="8" t="inlineStr">
        <is>
          <t>100 m</t>
        </is>
      </c>
      <c r="F113" s="7" t="inlineStr">
        <is>
          <t>Payload capacity = 14.64 metres</t>
        </is>
      </c>
      <c r="G113" s="43" t="n">
        <v>5734.29</v>
      </c>
      <c r="H113" s="43" t="n">
        <v>456.23</v>
      </c>
    </row>
    <row r="114" ht="20" customHeight="1">
      <c r="A114" s="2" t="inlineStr">
        <is>
          <t>1.1.17.12</t>
        </is>
      </c>
      <c r="B114" s="3" t="inlineStr">
        <is>
          <t>R.C.C./C.I./Steel pipes 1000, 1100 &amp; 1200 mm dia</t>
        </is>
      </c>
      <c r="C114" s="46" t="n">
        <v>10.98</v>
      </c>
      <c r="D114" s="46" t="n">
        <v>10.98</v>
      </c>
      <c r="E114" s="4" t="inlineStr">
        <is>
          <t>100 m</t>
        </is>
      </c>
      <c r="F114" s="3" t="inlineStr">
        <is>
          <t>Payload capacity = 10.98 metres (heavy large bore)</t>
        </is>
      </c>
      <c r="G114" s="45" t="n">
        <v>7645.72</v>
      </c>
      <c r="H114" s="45" t="n">
        <v>608.3099999999999</v>
      </c>
    </row>
    <row r="115" ht="10" customHeight="1"/>
    <row r="116" ht="22" customHeight="1">
      <c r="A116" s="32" t="inlineStr">
        <is>
          <t>4C. CPWD DAR TABLE 1.2 MANUAL LABOUR REFERENCE (Labour Norms &amp; Rates for Lead &lt; 0.50 km)</t>
        </is>
      </c>
    </row>
    <row r="117" ht="24" customHeight="1">
      <c r="A117" s="1" t="inlineStr">
        <is>
          <t>Item No.</t>
        </is>
      </c>
      <c r="B117" s="1" t="inlineStr">
        <is>
          <t>Material / Specification</t>
        </is>
      </c>
      <c r="C117" s="1" t="inlineStr">
        <is>
          <t>Capacity / Day</t>
        </is>
      </c>
      <c r="D117" s="1" t="inlineStr">
        <is>
          <t>Unit</t>
        </is>
      </c>
      <c r="E117" s="1" t="inlineStr">
        <is>
          <t>Base Cost 1st 50m (Rs)</t>
        </is>
      </c>
      <c r="F117" s="1" t="inlineStr">
        <is>
          <t>Cost / 1st 50m (Rs)</t>
        </is>
      </c>
      <c r="G117" s="1" t="inlineStr">
        <is>
          <t>Addl Cost / 50m (Rs)</t>
        </is>
      </c>
      <c r="H117" s="1" t="inlineStr">
        <is>
          <t>CPWD Labour Norms</t>
        </is>
      </c>
    </row>
    <row r="118" ht="20" customHeight="1">
      <c r="A118" s="2" t="inlineStr">
        <is>
          <t>1.2.1</t>
        </is>
      </c>
      <c r="B118" s="74" t="inlineStr">
        <is>
          <t>Lime, moorum, building rubbish</t>
        </is>
      </c>
      <c r="C118" s="25" t="n">
        <v>35</v>
      </c>
      <c r="D118" s="73" t="inlineStr">
        <is>
          <t>cum</t>
        </is>
      </c>
      <c r="E118" s="45" t="n">
        <v>4921.84</v>
      </c>
      <c r="F118" s="45" t="n">
        <v>140.62</v>
      </c>
      <c r="G118" s="45" t="n">
        <v>30.62</v>
      </c>
      <c r="H118" s="129" t="inlineStr">
        <is>
          <t>7.67 Beldars 1st 50m, 1.67 addl coolie/50m</t>
        </is>
      </c>
    </row>
    <row r="119" ht="20" customHeight="1">
      <c r="A119" s="6" t="inlineStr">
        <is>
          <t>1.2.2</t>
        </is>
      </c>
      <c r="B119" s="130" t="inlineStr">
        <is>
          <t>Earth (20% looseness deduction)</t>
        </is>
      </c>
      <c r="C119" s="131" t="n">
        <v>28</v>
      </c>
      <c r="D119" s="132" t="inlineStr">
        <is>
          <t>cum</t>
        </is>
      </c>
      <c r="E119" s="43" t="n">
        <v>4921.84</v>
      </c>
      <c r="F119" s="43" t="n">
        <v>175.78</v>
      </c>
      <c r="G119" s="43" t="n">
        <v>38.27</v>
      </c>
      <c r="H119" s="133" t="inlineStr">
        <is>
          <t>7.67 Beldars 1st 50m, 1.67 addl coolie/50m</t>
        </is>
      </c>
    </row>
    <row r="120" ht="20" customHeight="1">
      <c r="A120" s="2" t="inlineStr">
        <is>
          <t>1.2.8</t>
        </is>
      </c>
      <c r="B120" s="74" t="inlineStr">
        <is>
          <t>Bricks (standard modular)</t>
        </is>
      </c>
      <c r="C120" s="25" t="n">
        <v>15000</v>
      </c>
      <c r="D120" s="73" t="inlineStr">
        <is>
          <t>1000 Nos</t>
        </is>
      </c>
      <c r="E120" s="45" t="n">
        <v>4921.84</v>
      </c>
      <c r="F120" s="45" t="n">
        <v>328.12</v>
      </c>
      <c r="G120" s="45" t="n">
        <v>71.44</v>
      </c>
      <c r="H120" s="129" t="inlineStr">
        <is>
          <t>7.67 Beldars 1st 50m, 1.67 addl coolie/50m</t>
        </is>
      </c>
    </row>
    <row r="121" ht="20" customHeight="1">
      <c r="A121" s="6" t="inlineStr">
        <is>
          <t>1.2.11</t>
        </is>
      </c>
      <c r="B121" s="130" t="inlineStr">
        <is>
          <t>Stone blocks, G.I., C.I., pipes &lt;100mm</t>
        </is>
      </c>
      <c r="C121" s="131" t="n">
        <v>46</v>
      </c>
      <c r="D121" s="132" t="inlineStr">
        <is>
          <t>tonne</t>
        </is>
      </c>
      <c r="E121" s="43" t="n">
        <v>5903.64</v>
      </c>
      <c r="F121" s="43" t="n">
        <v>128.34</v>
      </c>
      <c r="G121" s="43" t="n">
        <v>18.83</v>
      </c>
      <c r="H121" s="133" t="inlineStr">
        <is>
          <t>9.20 Beldars 1st 50m, 1.35 addl coolie/50m</t>
        </is>
      </c>
    </row>
    <row r="122" ht="20" customHeight="1">
      <c r="A122" s="2" t="inlineStr">
        <is>
          <t>1.2.12</t>
        </is>
      </c>
      <c r="B122" s="74" t="inlineStr">
        <is>
          <t>Cement in bags</t>
        </is>
      </c>
      <c r="C122" s="25" t="n">
        <v>57.99</v>
      </c>
      <c r="D122" s="73" t="inlineStr">
        <is>
          <t>tonne</t>
        </is>
      </c>
      <c r="E122" s="45" t="n">
        <v>5903.64</v>
      </c>
      <c r="F122" s="45" t="n">
        <v>101.8</v>
      </c>
      <c r="G122" s="45" t="n">
        <v>14.94</v>
      </c>
      <c r="H122" s="129" t="inlineStr">
        <is>
          <t>9.20 Beldars 1st 50m, 1.35 addl coolie/50m</t>
        </is>
      </c>
    </row>
    <row r="123" ht="20" customHeight="1">
      <c r="A123" s="6" t="inlineStr">
        <is>
          <t>1.2.17.1</t>
        </is>
      </c>
      <c r="B123" s="130" t="inlineStr">
        <is>
          <t>R.C.C./C.I. pipes 100mm dia</t>
        </is>
      </c>
      <c r="C123" s="131" t="n">
        <v>1702</v>
      </c>
      <c r="D123" s="132" t="inlineStr">
        <is>
          <t>100 m</t>
        </is>
      </c>
      <c r="E123" s="43" t="n">
        <v>5903.64</v>
      </c>
      <c r="F123" s="43" t="n">
        <v>346.86</v>
      </c>
      <c r="G123" s="43" t="n">
        <v>50.9</v>
      </c>
      <c r="H123" s="133" t="inlineStr">
        <is>
          <t>9.20 Beldars 1st 50m, 1.35 addl coolie/50m</t>
        </is>
      </c>
    </row>
    <row r="124" ht="10" customHeight="1"/>
    <row r="125" ht="22" customHeight="1">
      <c r="A125" s="32" t="inlineStr">
        <is>
          <t>4D. CPWD HANDLING SCOPE LABOUR GANG ALLOCATION MATRIX (Engineering Rationale for Cell E19)</t>
        </is>
      </c>
    </row>
    <row r="126" ht="24" customHeight="1">
      <c r="A126" s="1" t="inlineStr">
        <is>
          <t>Scope Option (Panel 1 Cell F6)</t>
        </is>
      </c>
      <c r="B126" s="1" t="inlineStr">
        <is>
          <t>Beldar Gang</t>
        </is>
      </c>
      <c r="C126" s="1" t="inlineStr">
        <is>
          <t>Loading Labour</t>
        </is>
      </c>
      <c r="D126" s="1" t="inlineStr">
        <is>
          <t>Unloading Labour</t>
        </is>
      </c>
      <c r="E126" s="1" t="inlineStr">
        <is>
          <t>Stacking Labour</t>
        </is>
      </c>
      <c r="F126" s="1" t="inlineStr">
        <is>
          <t>Daily Labour Cost (Rs)</t>
        </is>
      </c>
      <c r="G126" s="1" t="inlineStr">
        <is>
          <t>Direct Shift Cost (Rs)</t>
        </is>
      </c>
      <c r="H126" s="1" t="inlineStr">
        <is>
          <t>Engineering Operational Rationale</t>
        </is>
      </c>
    </row>
    <row r="127" ht="20" customHeight="1">
      <c r="A127" s="130" t="inlineStr">
        <is>
          <t>including loading, transporting, unloading and stacking</t>
        </is>
      </c>
      <c r="B127" s="93" t="n">
        <v>6</v>
      </c>
      <c r="C127" s="132" t="inlineStr">
        <is>
          <t>3.00 Beldars</t>
        </is>
      </c>
      <c r="D127" s="132" t="inlineStr">
        <is>
          <t>2.00 Beldars</t>
        </is>
      </c>
      <c r="E127" s="132" t="inlineStr">
        <is>
          <t>1.00 Beldar</t>
        </is>
      </c>
      <c r="F127" s="43" t="n">
        <v>3348</v>
      </c>
      <c r="G127" s="9" t="n">
        <v>5939.58</v>
      </c>
      <c r="H127" s="133" t="inlineStr">
        <is>
          <t>CPWD Item 1.1.1 baseline turnkey manual handling.</t>
        </is>
      </c>
    </row>
    <row r="128" ht="20" customHeight="1">
      <c r="A128" s="74" t="inlineStr">
        <is>
          <t>including loading, transporting, unloading to approved municipal dumping ground</t>
        </is>
      </c>
      <c r="B128" s="134" t="n">
        <v>6</v>
      </c>
      <c r="C128" s="73" t="inlineStr">
        <is>
          <t>3.00 Beldars</t>
        </is>
      </c>
      <c r="D128" s="73" t="inlineStr">
        <is>
          <t>2.00 Beldars</t>
        </is>
      </c>
      <c r="E128" s="73" t="inlineStr">
        <is>
          <t>1.00 Beldar</t>
        </is>
      </c>
      <c r="F128" s="45" t="n">
        <v>3348</v>
      </c>
      <c r="G128" s="5" t="n">
        <v>5939.58</v>
      </c>
      <c r="H128" s="129" t="inlineStr">
        <is>
          <t>CPWD Item 1.1.18 benchmark for urban malba/rubbish disposal.</t>
        </is>
      </c>
    </row>
    <row r="129" ht="20" customHeight="1">
      <c r="A129" s="130" t="inlineStr">
        <is>
          <t>including loading, transporting and unloading (excluding stacking)</t>
        </is>
      </c>
      <c r="B129" s="93" t="n">
        <v>5</v>
      </c>
      <c r="C129" s="132" t="inlineStr">
        <is>
          <t>3.00 Beldars</t>
        </is>
      </c>
      <c r="D129" s="132" t="inlineStr">
        <is>
          <t>2.00 Beldars</t>
        </is>
      </c>
      <c r="E129" s="132" t="inlineStr">
        <is>
          <t>0.00 Beldars</t>
        </is>
      </c>
      <c r="F129" s="43" t="n">
        <v>2790</v>
      </c>
      <c r="G129" s="9" t="n">
        <v>5381.58</v>
      </c>
      <c r="H129" s="133" t="inlineStr">
        <is>
          <t>Bulk delivery / dumping; manual stacking omitted.</t>
        </is>
      </c>
    </row>
    <row r="130" ht="20" customHeight="1">
      <c r="A130" s="74" t="inlineStr">
        <is>
          <t>transporting and unloading only (machine loaded / excluding loading)</t>
        </is>
      </c>
      <c r="B130" s="134" t="n">
        <v>3</v>
      </c>
      <c r="C130" s="73" t="inlineStr">
        <is>
          <t>0.00 Beldars</t>
        </is>
      </c>
      <c r="D130" s="73" t="inlineStr">
        <is>
          <t>2.00 Beldars</t>
        </is>
      </c>
      <c r="E130" s="73" t="inlineStr">
        <is>
          <t>1.00 Beldar</t>
        </is>
      </c>
      <c r="F130" s="45" t="n">
        <v>1674</v>
      </c>
      <c r="G130" s="5" t="n">
        <v>4265.58</v>
      </c>
      <c r="H130" s="129" t="inlineStr">
        <is>
          <t>Loaded by excavator/JCB (Sub-Head 02); manual loading excluded.</t>
        </is>
      </c>
    </row>
    <row r="131" ht="20" customHeight="1">
      <c r="A131" s="130" t="inlineStr">
        <is>
          <t>transporting only (excluding loading, unloading and stacking)</t>
        </is>
      </c>
      <c r="B131" s="93" t="n">
        <v>0</v>
      </c>
      <c r="C131" s="132" t="inlineStr">
        <is>
          <t>0.00 Beldars</t>
        </is>
      </c>
      <c r="D131" s="132" t="inlineStr">
        <is>
          <t>0.00 Beldars</t>
        </is>
      </c>
      <c r="E131" s="132" t="inlineStr">
        <is>
          <t>0.00 Beldars</t>
        </is>
      </c>
      <c r="F131" s="43" t="n">
        <v>0</v>
      </c>
      <c r="G131" s="9" t="n">
        <v>2591.58</v>
      </c>
      <c r="H131" s="133" t="inlineStr">
        <is>
          <t>Pure haulage; machine loaded at source and tipper unloaded at site.</t>
        </is>
      </c>
    </row>
    <row r="132" ht="20" customHeight="1">
      <c r="A132" s="74" t="inlineStr">
        <is>
          <t>including unloading and stacking at railway siding</t>
        </is>
      </c>
      <c r="B132" s="134" t="n">
        <v>3.75</v>
      </c>
      <c r="C132" s="73" t="inlineStr">
        <is>
          <t>0.00 Beldars</t>
        </is>
      </c>
      <c r="D132" s="73" t="inlineStr">
        <is>
          <t>2.50 Beldars</t>
        </is>
      </c>
      <c r="E132" s="73" t="inlineStr">
        <is>
          <t>1.25 Beldars</t>
        </is>
      </c>
      <c r="F132" s="45" t="n">
        <v>2092.5</v>
      </c>
      <c r="G132" s="5" t="n">
        <v>4684.08</v>
      </c>
      <c r="H132" s="129" t="inlineStr">
        <is>
          <t>CPWD Item 1.3 / 1.4 standard for railway wagon godown siding.</t>
        </is>
      </c>
    </row>
  </sheetData>
  <sheetProtection selectLockedCells="0" selectUnlockedCells="0" sheet="1" objects="0" insertRows="1" insertHyperlinks="1" autoFilter="1" scenarios="0" formatColumns="1" deleteColumns="1" insertColumns="1" pivotTables="1" deleteRows="1" formatCells="1" formatRows="1" sort="1"/>
  <mergeCells count="19">
    <mergeCell ref="A51:H51"/>
    <mergeCell ref="A3:I3"/>
    <mergeCell ref="A45:H45"/>
    <mergeCell ref="A16:H16"/>
    <mergeCell ref="B47:H47"/>
    <mergeCell ref="A84:H84"/>
    <mergeCell ref="A27:E27"/>
    <mergeCell ref="D7:H7"/>
    <mergeCell ref="A26:E26"/>
    <mergeCell ref="A86:H86"/>
    <mergeCell ref="A116:H116"/>
    <mergeCell ref="A5:H5"/>
    <mergeCell ref="B8:H8"/>
    <mergeCell ref="A29:H29"/>
    <mergeCell ref="A125:H125"/>
    <mergeCell ref="A52:H52"/>
    <mergeCell ref="A10:H10"/>
    <mergeCell ref="A1:I1"/>
    <mergeCell ref="A44:H44"/>
  </mergeCells>
  <dataValidations count="10">
    <dataValidation sqref="C32 C34 C36" showDropDown="0" showInputMessage="0" showErrorMessage="0" allowBlank="0" type="list">
      <formula1>"YES,NO"</formula1>
    </dataValidation>
    <dataValidation sqref="B12" showDropDown="0" showInputMessage="0" showErrorMessage="0" allowBlank="0" type="list">
      <formula1>"STANDARD (DAYTIME),URBAN RESTRICTED HOURS"</formula1>
    </dataValidation>
    <dataValidation sqref="F12" showDropDown="0" showInputMessage="0" showErrorMessage="0" allowBlank="0" type="list">
      <formula1>"CPWD PRO-RATA (Item 1.1.18),DIRECT ROUTE (2NL + 6)"</formula1>
    </dataValidation>
    <dataValidation sqref="D48" showDropDown="0" showInputMessage="0" showErrorMessage="0" allowBlank="0" type="list">
      <formula1>"cum,metre,100 m,tonne,1000 Nos"</formula1>
    </dataValidation>
    <dataValidation sqref="D46" showDropDown="0" showInputMessage="0" showErrorMessage="0" allowBlank="0" type="list">
      <formula1>"Category A (Bulk / Earth / Bricks),Category B (Heavy / Pipes / Steel)"</formula1>
    </dataValidation>
    <dataValidation sqref="F46" showDropDown="0" showInputMessage="0" showErrorMessage="0" allowBlank="0" type="list">
      <formula1>"50,100,150,200,250,300,350,400,450,500"</formula1>
    </dataValidation>
    <dataValidation sqref="B6" showDropDown="0" showInputMessage="0" showErrorMessage="0" allowBlank="0" type="list">
      <formula1>=CPWD_Carriage_Item_Codes</formula1>
    </dataValidation>
    <dataValidation sqref="D6" showDropDown="0" showInputMessage="0" showErrorMessage="0" allowBlank="0" type="list">
      <formula1>=CPWD_Carriage_Materials</formula1>
    </dataValidation>
    <dataValidation sqref="F6" showDropDown="0" showInputMessage="0" showErrorMessage="0" allowBlank="0" type="list">
      <formula1>=CPWD_Carriage_Scope</formula1>
    </dataValidation>
    <dataValidation sqref="H6"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Strata / soil classification</t>
        </is>
      </c>
      <c r="B7" s="138" t="inlineStr">
        <is>
          <t>All kinds of soil</t>
        </is>
      </c>
      <c r="C7" s="30" t="inlineStr">
        <is>
          <t>DRIVES COST</t>
        </is>
      </c>
      <c r="D7" s="139" t="inlineStr">
        <is>
          <t>Labour rows</t>
        </is>
      </c>
      <c r="E7" s="24" t="inlineStr">
        <is>
          <t>DAR 2.7.1 (ordinary rock), 2.7.2 (hard rock, blasting), 2.7.3 (hard rock, blasting prohibited) are priced separately from 2.1.1 (all kinds of soil) with different crews and machinery - so the strata is a real cost driver with data behind it.</t>
        </is>
      </c>
      <c r="F7" s="58" t="n"/>
      <c r="G7" s="58" t="n"/>
      <c r="H7" s="58" t="n"/>
      <c r="I7" s="58" t="n"/>
    </row>
    <row r="8" ht="32" customHeight="1">
      <c r="A8" s="137" t="inlineStr">
        <is>
          <t>Operation</t>
        </is>
      </c>
      <c r="B8" s="138" t="inlineStr">
        <is>
          <t>Surface excavation</t>
        </is>
      </c>
      <c r="C8" s="30" t="inlineStr">
        <is>
          <t>DRIVES COST</t>
        </is>
      </c>
      <c r="D8" s="139" t="inlineStr">
        <is>
          <t>Labour rows</t>
        </is>
      </c>
      <c r="E8" s="24" t="inlineStr">
        <is>
          <t>DAR 2.1 (surface excavation), 2.2 (rough excavation and banking), 2.3 (trench excavation), 2.6 (excavation by hydraulic excavator) each carry different Beldar/Coolie coefficients.</t>
        </is>
      </c>
      <c r="F8" s="58" t="n"/>
      <c r="G8" s="58" t="n"/>
      <c r="H8" s="58" t="n"/>
      <c r="I8" s="58" t="n"/>
    </row>
    <row r="9" ht="32" customHeight="1">
      <c r="A9" s="137" t="inlineStr">
        <is>
          <t>Depth / thickness band</t>
        </is>
      </c>
      <c r="B9" s="138" t="inlineStr">
        <is>
          <t>not exceeding 30 cm in depth</t>
        </is>
      </c>
      <c r="C9" s="30" t="inlineStr">
        <is>
          <t>DRIVES COST</t>
        </is>
      </c>
      <c r="D9" s="139" t="inlineStr">
        <is>
          <t>Output basis</t>
        </is>
      </c>
      <c r="E9" s="24" t="inlineStr">
        <is>
          <t>The depth band changes the output basis the crew is quoted against (100 sqm for surface work not exceeding 30 cm, 10 cum for deeper excavation) - see DAR 2.1.1 vs 2.2.1.</t>
        </is>
      </c>
      <c r="F9" s="58" t="n"/>
      <c r="G9" s="58" t="n"/>
      <c r="H9" s="58" t="n"/>
      <c r="I9" s="58" t="n"/>
    </row>
    <row r="10" ht="32" customHeight="1">
      <c r="A10" s="137" t="inlineStr">
        <is>
          <t>Lead for disposal</t>
        </is>
      </c>
      <c r="B10" s="138" t="inlineStr">
        <is>
          <t>upto 50 m lead</t>
        </is>
      </c>
      <c r="C10" s="2" t="inlineStr">
        <is>
          <t>NOMENCLATURE ONLY</t>
        </is>
      </c>
      <c r="D10" s="139" t="inlineStr">
        <is>
          <t>-</t>
        </is>
      </c>
      <c r="E10" s="24" t="inlineStr">
        <is>
          <t>Within an Earth Work item the DAR quotes one rate for disposal upto 50 m lead; beyond 50 m the carriage is measured separately under Sub-Head 01, not by varying this item. No differential figure exists inside Sub-Head 02.</t>
        </is>
      </c>
      <c r="F10" s="58" t="n"/>
      <c r="G10" s="58" t="n"/>
      <c r="H10" s="58" t="n"/>
      <c r="I10" s="58" t="n"/>
    </row>
    <row r="11" ht="32" customHeight="1">
      <c r="A11" s="137" t="inlineStr">
        <is>
          <t>Lift</t>
        </is>
      </c>
      <c r="B11" s="138" t="inlineStr">
        <is>
          <t>and 1.5 m lift</t>
        </is>
      </c>
      <c r="C11" s="2" t="inlineStr">
        <is>
          <t>NOMENCLATURE ONLY</t>
        </is>
      </c>
      <c r="D11" s="139" t="inlineStr">
        <is>
          <t>-</t>
        </is>
      </c>
      <c r="E11" s="24" t="inlineStr">
        <is>
          <t>The DAR prices one rate for the stated lift; "all lifts" and "1.5 m lift" wordings do not carry separate figures in Sub-Head 02.</t>
        </is>
      </c>
      <c r="F11" s="58" t="n"/>
      <c r="G11" s="58" t="n"/>
      <c r="H11" s="58" t="n"/>
      <c r="I11" s="58" t="n"/>
    </row>
    <row r="12" ht="32" customHeight="1">
      <c r="A12" s="137" t="inlineStr">
        <is>
          <t>Mechanical plant used</t>
        </is>
      </c>
      <c r="B12" s="138" t="inlineStr">
        <is>
          <t>Manual (no plant)</t>
        </is>
      </c>
      <c r="C12" s="30" t="inlineStr">
        <is>
          <t>DRIVES COST</t>
        </is>
      </c>
      <c r="D12" s="139" t="inlineStr">
        <is>
          <t>Labour rows</t>
        </is>
      </c>
      <c r="E12" s="24" t="inlineStr">
        <is>
          <t>DAR 2.6.1 prices excavation by hydraulic excavator with a machinery line and a much smaller labour gang than the manual item 2.1.1 - selecting plant should replace crew rows with a plant hire row from Rates_Master.</t>
        </is>
      </c>
      <c r="F12" s="58" t="n"/>
      <c r="G12" s="58" t="n"/>
      <c r="H12" s="58" t="n"/>
      <c r="I12" s="58" t="n"/>
    </row>
    <row r="13" ht="22" customHeight="1">
      <c r="A13" s="16" t="inlineStr">
        <is>
          <t>Custom Item Code:</t>
        </is>
      </c>
      <c r="B13" s="59" t="inlineStr">
        <is>
          <t>C-02.01</t>
        </is>
      </c>
      <c r="C13" s="16" t="inlineStr">
        <is>
          <t>Batch Output Basis:</t>
        </is>
      </c>
      <c r="D13" s="94" t="n">
        <v>100</v>
      </c>
      <c r="E13" s="16" t="inlineStr">
        <is>
          <t>Output Unit:</t>
        </is>
      </c>
      <c r="F13" s="59" t="inlineStr">
        <is>
          <t>sqm</t>
        </is>
      </c>
      <c r="G13" s="16" t="inlineStr">
        <is>
          <t>Trade Sub-Head:</t>
        </is>
      </c>
      <c r="H13" s="35" t="inlineStr">
        <is>
          <t>02 Earth Work</t>
        </is>
      </c>
      <c r="I13" s="66" t="inlineStr">
        <is>
          <t>Output Unit Note:</t>
        </is>
      </c>
    </row>
    <row r="14" ht="40" customHeight="1">
      <c r="A14" s="16" t="inlineStr">
        <is>
          <t>Assembled Item Nomenclature:</t>
        </is>
      </c>
      <c r="B14" s="140">
        <f>IF(I14&lt;&gt;"", I14, "Earth work in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Output basis quantity</t>
        </is>
      </c>
      <c r="B17" s="94" t="n">
        <v>100</v>
      </c>
      <c r="C17" s="19" t="inlineStr">
        <is>
          <t>sqm or cum</t>
        </is>
      </c>
      <c r="D17" s="139" t="inlineStr">
        <is>
          <t>Batch basis</t>
        </is>
      </c>
      <c r="E17" s="24" t="inlineStr">
        <is>
          <t>DAR Earth Work items are quoted per 100 sqm (surface work) or per 10 cum (volume work). Keep this consistent with the coefficients entered below.</t>
        </is>
      </c>
      <c r="F17" s="58" t="n"/>
      <c r="G17" s="58" t="n"/>
      <c r="H17" s="58" t="n"/>
      <c r="I17" s="58" t="n"/>
    </row>
    <row r="18" ht="30" customHeight="1">
      <c r="A18" s="137" t="inlineStr">
        <is>
          <t>Number of watering passes</t>
        </is>
      </c>
      <c r="B18" s="142" t="n">
        <v>1</v>
      </c>
      <c r="C18" s="19" t="inlineStr">
        <is>
          <t>passes</t>
        </is>
      </c>
      <c r="D18" s="139" t="inlineStr">
        <is>
          <t>Bhisti coeff</t>
        </is>
      </c>
      <c r="E18" s="24" t="inlineStr">
        <is>
          <t>DAR 2.5 is an explicit deduct item for NOT watering the excavated earth for banking - so watering is a costed operation with a printed figure.</t>
        </is>
      </c>
      <c r="F18" s="58" t="n"/>
      <c r="G18" s="58" t="n"/>
      <c r="H18" s="58" t="n"/>
      <c r="I18" s="58" t="n"/>
    </row>
    <row r="19" ht="30" customHeight="1">
      <c r="A19" s="137" t="inlineStr">
        <is>
          <t>Rolling with power roller</t>
        </is>
      </c>
      <c r="B19" s="59" t="inlineStr">
        <is>
          <t>YES</t>
        </is>
      </c>
      <c r="C19" s="19" t="inlineStr">
        <is>
          <t>YES / NO</t>
        </is>
      </c>
      <c r="D19" s="139" t="inlineStr">
        <is>
          <t>Plant row</t>
        </is>
      </c>
      <c r="E19" s="24" t="inlineStr">
        <is>
          <t>DAR 2.4 is an explicit deduct item for not rolling with a minimum 8 tonne power roller, which gives the differential directly.</t>
        </is>
      </c>
      <c r="F19" s="58" t="n"/>
      <c r="G19" s="58" t="n"/>
      <c r="H19" s="58" t="n"/>
      <c r="I19" s="58" t="n"/>
    </row>
    <row r="20" ht="30" customHeight="1">
      <c r="A20" s="137" t="inlineStr">
        <is>
          <t>Site clearance / dressing included</t>
        </is>
      </c>
      <c r="B20" s="59" t="inlineStr">
        <is>
          <t>NO</t>
        </is>
      </c>
      <c r="C20" s="19" t="inlineStr">
        <is>
          <t>YES / NO</t>
        </is>
      </c>
      <c r="D20" s="139" t="inlineStr">
        <is>
          <t>Labour rows</t>
        </is>
      </c>
      <c r="E20" s="24" t="inlineStr">
        <is>
          <t>Dressing is priced in its own DAR items rather than as an uplift on excavation; if included, add the dressing crew as extra labour rows.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(Earth Work items in the DAR are labour-and-plant only - leave blank unless the operation genuinely consumes material, e.g. imported earth or moorum)</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c r="C25" s="81">
        <f>IF(B25="","", IFERROR(INDEX(Rates_Master!$C:$C, MATCH(B25, Rates_Master!$A:$A, 0)), "Custom / Intermediate Material"))</f>
        <v/>
      </c>
      <c r="D25" s="61">
        <f>IF(B25="","", IFERROR(INDEX(Rates_Master!$D:$D, MATCH(B25, Rates_Master!$A:$A, 0)), ""))</f>
        <v/>
      </c>
      <c r="E25" s="62" t="n"/>
      <c r="F25" s="63">
        <f>IF(B25="","", IFERROR(INDEX(Rates_Master!$E:$E, MATCH(B25, Rates_Master!$A:$A, 0)), 0))</f>
        <v/>
      </c>
      <c r="G25" s="43">
        <f>IF(OR(B25="", E25=""), 0, ROUND(E25 * F25, 2))</f>
        <v/>
      </c>
      <c r="H25" s="143" t="inlineStr"/>
      <c r="I25" s="59" t="inlineStr"/>
    </row>
    <row r="26" ht="20" customHeight="1">
      <c r="A26" s="19" t="n">
        <v>2</v>
      </c>
      <c r="B26" s="59" t="inlineStr"/>
      <c r="C26" s="81">
        <f>IF(B26="","", IFERROR(INDEX(Rates_Master!$C:$C, MATCH(B26, Rates_Master!$A:$A, 0)), "Custom / Intermediate Material"))</f>
        <v/>
      </c>
      <c r="D26" s="61">
        <f>IF(B26="","", IFERROR(INDEX(Rates_Master!$D:$D, MATCH(B26, Rates_Master!$A:$A, 0)), ""))</f>
        <v/>
      </c>
      <c r="E26" s="62" t="n"/>
      <c r="F26" s="63">
        <f>IF(B26="","", IFERROR(INDEX(Rates_Master!$E:$E, MATCH(B26, Rates_Master!$A:$A, 0)), 0))</f>
        <v/>
      </c>
      <c r="G26" s="43">
        <f>IF(OR(B26="", E26=""), 0, ROUND(E26 * F26, 2))</f>
        <v/>
      </c>
      <c r="H26" s="143" t="inlineStr"/>
      <c r="I26" s="59" t="inlineStr"/>
    </row>
    <row r="27" ht="20" customHeight="1">
      <c r="A27" s="19" t="n">
        <v>3</v>
      </c>
      <c r="B27" s="59" t="inlineStr"/>
      <c r="C27" s="81">
        <f>IF(B27="","", IFERROR(INDEX(Rates_Master!$C:$C, MATCH(B27, Rates_Master!$A:$A, 0)), "Custom / Intermediate Material"))</f>
        <v/>
      </c>
      <c r="D27" s="61">
        <f>IF(B27="","", IFERROR(INDEX(Rates_Master!$D:$D, MATCH(B27, Rates_Master!$A:$A, 0)), ""))</f>
        <v/>
      </c>
      <c r="E27" s="62" t="n"/>
      <c r="F27" s="63">
        <f>IF(B27="","", IFERROR(INDEX(Rates_Master!$E:$E, MATCH(B27, Rates_Master!$A:$A, 0)), 0))</f>
        <v/>
      </c>
      <c r="G27" s="43">
        <f>IF(OR(B27="", E27=""), 0, ROUND(E27 * F27, 2))</f>
        <v/>
      </c>
      <c r="H27" s="143" t="inlineStr"/>
      <c r="I27" s="59" t="inlineStr"/>
    </row>
    <row r="28" ht="20" customHeight="1">
      <c r="A28" s="19" t="n">
        <v>4</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3" t="inlineStr"/>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0114</t>
        </is>
      </c>
      <c r="C39" s="81">
        <f>IF(B39="","", IFERROR(INDEX(Rates_Master!$C:$C, MATCH(B39, Rates_Master!$A:$A, 0)), "Custom Labour / Plant"))</f>
        <v/>
      </c>
      <c r="D39" s="61">
        <f>IF(B39="","", IFERROR(INDEX(Rates_Master!$D:$D, MATCH(B39, Rates_Master!$A:$A, 0)), ""))</f>
        <v/>
      </c>
      <c r="E39" s="62" t="n">
        <v>6.8</v>
      </c>
      <c r="F39" s="63">
        <f>IF(B39="","", IFERROR(INDEX(Rates_Master!$E:$E, MATCH(B39, Rates_Master!$A:$A, 0)), 0))</f>
        <v/>
      </c>
      <c r="G39" s="43">
        <f>IF(OR(B39="", E39=""), 0, ROUND(E39 * F39, 2))</f>
        <v/>
      </c>
      <c r="H39" s="143" t="inlineStr">
        <is>
          <t>Beldar (excavation &amp; throwing)</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5.6</v>
      </c>
      <c r="F40" s="63">
        <f>IF(B40="","", IFERROR(INDEX(Rates_Master!$E:$E, MATCH(B40, Rates_Master!$A:$A, 0)), 0))</f>
        <v/>
      </c>
      <c r="G40" s="43">
        <f>IF(OR(B40="", E40=""), 0, ROUND(E40 * F40, 2))</f>
        <v/>
      </c>
      <c r="H40" s="143" t="inlineStr">
        <is>
          <t>Coolie (carrying &amp; disposal upto 50m)</t>
        </is>
      </c>
      <c r="I40" s="6" t="inlineStr"/>
    </row>
    <row r="41" ht="20" customHeight="1">
      <c r="A41" s="19" t="n">
        <v>3</v>
      </c>
      <c r="B41" s="59" t="inlineStr"/>
      <c r="C41" s="81">
        <f>IF(B41="","", IFERROR(INDEX(Rates_Master!$C:$C, MATCH(B41, Rates_Master!$A:$A, 0)), "Custom Labour / Plant"))</f>
        <v/>
      </c>
      <c r="D41" s="61">
        <f>IF(B41="","", IFERROR(INDEX(Rates_Master!$D:$D, MATCH(B41, Rates_Master!$A:$A, 0)), ""))</f>
        <v/>
      </c>
      <c r="E41" s="62" t="n"/>
      <c r="F41" s="63">
        <f>IF(B41="","", IFERROR(INDEX(Rates_Master!$E:$E, MATCH(B41, Rates_Master!$A:$A, 0)), 0))</f>
        <v/>
      </c>
      <c r="G41" s="43">
        <f>IF(OR(B41="", E41=""), 0, ROUND(E41 * F41, 2))</f>
        <v/>
      </c>
      <c r="H41" s="143" t="inlineStr"/>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0</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water charges on labour cost for site compaction water and dust suppression.</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multiplying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2.1.1</t>
        </is>
      </c>
      <c r="B72" s="149" t="inlineStr">
        <is>
          <t>Earth work in surface excavation in all kinds of soil upto 50m lead and 1.5m lift</t>
        </is>
      </c>
      <c r="C72" s="150" t="inlineStr">
        <is>
          <t>sqm</t>
        </is>
      </c>
      <c r="D72" s="150" t="n">
        <v>100</v>
      </c>
      <c r="E72" s="151" t="n">
        <v>6919.2</v>
      </c>
      <c r="F72" s="150" t="inlineStr">
        <is>
          <t>Full W-&gt;X-&gt;Y-&gt;Z</t>
        </is>
      </c>
      <c r="G72" s="151" t="n">
        <v>92.56999999999999</v>
      </c>
      <c r="H72" s="152" t="n">
        <v>92.55</v>
      </c>
      <c r="I72" s="151" t="n"/>
    </row>
    <row r="73" ht="20" customHeight="1">
      <c r="A73" s="153" t="inlineStr">
        <is>
          <t>2.2.1</t>
        </is>
      </c>
      <c r="B73" s="154" t="inlineStr">
        <is>
          <t>Earth work in rough excavation, banking excavated earth in layers with watering &amp; rolling</t>
        </is>
      </c>
      <c r="C73" s="155" t="inlineStr">
        <is>
          <t>cum</t>
        </is>
      </c>
      <c r="D73" s="155" t="n">
        <v>10</v>
      </c>
      <c r="E73" s="156" t="n">
        <v>5581.72</v>
      </c>
      <c r="F73" s="155" t="inlineStr">
        <is>
          <t>Full W-&gt;X-&gt;Y-&gt;Z</t>
        </is>
      </c>
      <c r="G73" s="156" t="n">
        <v>746.8</v>
      </c>
      <c r="H73" s="157" t="n">
        <v>746.8</v>
      </c>
      <c r="I73" s="156" t="n"/>
    </row>
    <row r="74" ht="20" customHeight="1">
      <c r="A74" s="110" t="inlineStr">
        <is>
          <t>C-02.03</t>
        </is>
      </c>
      <c r="B74" s="149" t="inlineStr">
        <is>
          <t>(Available for new custom item)</t>
        </is>
      </c>
      <c r="C74" s="150" t="inlineStr">
        <is>
          <t>sqm</t>
        </is>
      </c>
      <c r="D74" s="150" t="n">
        <v>100</v>
      </c>
      <c r="E74" s="151" t="n"/>
      <c r="F74" s="150" t="inlineStr">
        <is>
          <t>Full W-&gt;X-&gt;Y-&gt;Z</t>
        </is>
      </c>
      <c r="G74" s="151" t="n"/>
      <c r="H74" s="152" t="n"/>
      <c r="I74" s="151" t="n"/>
    </row>
    <row r="75" ht="20" customHeight="1">
      <c r="A75" s="153" t="inlineStr">
        <is>
          <t>C-02.04</t>
        </is>
      </c>
      <c r="B75" s="154" t="inlineStr">
        <is>
          <t>(Available for new custom item)</t>
        </is>
      </c>
      <c r="C75" s="155" t="inlineStr">
        <is>
          <t>sqm</t>
        </is>
      </c>
      <c r="D75" s="155" t="n">
        <v>100</v>
      </c>
      <c r="E75" s="156" t="n"/>
      <c r="F75" s="155" t="inlineStr">
        <is>
          <t>Full W-&gt;X-&gt;Y-&gt;Z</t>
        </is>
      </c>
      <c r="G75" s="156" t="n"/>
      <c r="H75" s="157" t="n"/>
      <c r="I75" s="156" t="n"/>
    </row>
    <row r="76" ht="20" customHeight="1">
      <c r="A76" s="110" t="inlineStr">
        <is>
          <t>C-02.05</t>
        </is>
      </c>
      <c r="B76" s="149" t="inlineStr">
        <is>
          <t>(Available for new custom item)</t>
        </is>
      </c>
      <c r="C76" s="150" t="inlineStr">
        <is>
          <t>sqm</t>
        </is>
      </c>
      <c r="D76" s="150" t="n">
        <v>100</v>
      </c>
      <c r="E76" s="151" t="n"/>
      <c r="F76" s="150" t="inlineStr">
        <is>
          <t>Full W-&gt;X-&gt;Y-&gt;Z</t>
        </is>
      </c>
      <c r="G76" s="151" t="n"/>
      <c r="H76" s="152" t="n"/>
      <c r="I76" s="151" t="n"/>
    </row>
    <row r="77" ht="20" customHeight="1">
      <c r="A77" s="153" t="inlineStr">
        <is>
          <t>C-02.06</t>
        </is>
      </c>
      <c r="B77" s="154" t="inlineStr">
        <is>
          <t>(Available for new custom item)</t>
        </is>
      </c>
      <c r="C77" s="155" t="inlineStr">
        <is>
          <t>sqm</t>
        </is>
      </c>
      <c r="D77" s="155" t="n">
        <v>100</v>
      </c>
      <c r="E77" s="156" t="n"/>
      <c r="F77" s="155" t="inlineStr">
        <is>
          <t>Full W-&gt;X-&gt;Y-&gt;Z</t>
        </is>
      </c>
      <c r="G77" s="156" t="n"/>
      <c r="H77" s="157" t="n"/>
      <c r="I77" s="156" t="n"/>
    </row>
    <row r="78" ht="20" customHeight="1">
      <c r="A78" s="110" t="inlineStr">
        <is>
          <t>C-02.07</t>
        </is>
      </c>
      <c r="B78" s="149" t="inlineStr">
        <is>
          <t>(Available for new custom item)</t>
        </is>
      </c>
      <c r="C78" s="150" t="inlineStr">
        <is>
          <t>sqm</t>
        </is>
      </c>
      <c r="D78" s="150" t="n">
        <v>100</v>
      </c>
      <c r="E78" s="151" t="n"/>
      <c r="F78" s="150" t="inlineStr">
        <is>
          <t>Full W-&gt;X-&gt;Y-&gt;Z</t>
        </is>
      </c>
      <c r="G78" s="151" t="n"/>
      <c r="H78" s="152" t="n"/>
      <c r="I78" s="151" t="n"/>
    </row>
    <row r="79" ht="20" customHeight="1">
      <c r="A79" s="153" t="inlineStr">
        <is>
          <t>C-02.08</t>
        </is>
      </c>
      <c r="B79" s="154" t="inlineStr">
        <is>
          <t>(Available for new custom item)</t>
        </is>
      </c>
      <c r="C79" s="155" t="inlineStr">
        <is>
          <t>sqm</t>
        </is>
      </c>
      <c r="D79" s="155" t="n">
        <v>100</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11">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"All kinds of soil,Ordinary rock,Hard rock (requiring blasting),Hard rock (blasting prohibited)"</formula1>
    </dataValidation>
    <dataValidation sqref="B8" showDropDown="0" showInputMessage="0" showErrorMessage="0" allowBlank="1" type="list">
      <formula1>"Surface excavation,Rough excavation and banking,Trench / foundation excavation,Filling in layers with watering and ramming,Excavation by hydraulic excavator"</formula1>
    </dataValidation>
    <dataValidation sqref="B9" showDropDown="0" showInputMessage="0" showErrorMessage="0" allowBlank="1" type="list">
      <formula1>"not exceeding 30 cm in depth,exceeding 30 cm but not exceeding 1.5 m depth,exceeding 1.5 m depth"</formula1>
    </dataValidation>
    <dataValidation sqref="B10" showDropDown="0" showInputMessage="0" showErrorMessage="0" allowBlank="1" type="list">
      <formula1>"upto 50 m lead,lead beyond 50 m (price carriage separately under Sub-Head 01)"</formula1>
    </dataValidation>
    <dataValidation sqref="B11" showDropDown="0" showInputMessage="0" showErrorMessage="0" allowBlank="1" type="list">
      <formula1>"and 1.5 m lift,for all lifts"</formula1>
    </dataValidation>
    <dataValidation sqref="B12" showDropDown="0" showInputMessage="0" showErrorMessage="0" allowBlank="1" type="list">
      <formula1>"Manual (no plant),Hydraulic excavator,Power roller 8 tonne (compaction),Excavator + tipper combination"</formula1>
    </dataValidation>
    <dataValidation sqref="B19" showDropDown="0" showInputMessage="0" showErrorMessage="0" allowBlank="1" type="list">
      <formula1>"YES,NO"</formula1>
    </dataValidation>
    <dataValidation sqref="B2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Binder type</t>
        </is>
      </c>
      <c r="B7" s="138" t="inlineStr">
        <is>
          <t>Ordinary Portland cement</t>
        </is>
      </c>
      <c r="C7" s="30" t="inlineStr">
        <is>
          <t>DRIVES COST</t>
        </is>
      </c>
      <c r="D7" s="139" t="inlineStr">
        <is>
          <t>Material row 1</t>
        </is>
      </c>
      <c r="E7" s="24" t="inlineStr">
        <is>
          <t>DAR 3.1-3.14 use ordinary cement (code 0367); 3.15-3.17 use white cement at a different rate. Changing the binder changes the material code and rate.</t>
        </is>
      </c>
      <c r="F7" s="58" t="n"/>
      <c r="G7" s="58" t="n"/>
      <c r="H7" s="58" t="n"/>
      <c r="I7" s="58" t="n"/>
    </row>
    <row r="8" ht="32" customHeight="1">
      <c r="A8" s="137" t="inlineStr">
        <is>
          <t>Mix ratio (binder : aggregate)</t>
        </is>
      </c>
      <c r="B8" s="138" t="inlineStr">
        <is>
          <t>1:4</t>
        </is>
      </c>
      <c r="C8" s="30" t="inlineStr">
        <is>
          <t>DRIVES COST</t>
        </is>
      </c>
      <c r="D8" s="139" t="inlineStr">
        <is>
          <t>Material coeffs</t>
        </is>
      </c>
      <c r="E8" s="24" t="inlineStr">
        <is>
          <t>DAR 3.1 (1:1) through 3.11 (1:6) print a different cement volume for every ratio - 0.7175 cum of cement at 1:1 down to 0.178 cum at 1:6. This is the strongest cost driver on the sheet.</t>
        </is>
      </c>
      <c r="F8" s="58" t="n"/>
      <c r="G8" s="58" t="n"/>
      <c r="H8" s="58" t="n"/>
      <c r="I8" s="58" t="n"/>
    </row>
    <row r="9" ht="32" customHeight="1">
      <c r="A9" s="137" t="inlineStr">
        <is>
          <t>Fine aggregate type</t>
        </is>
      </c>
      <c r="B9" s="138" t="inlineStr">
        <is>
          <t>coarse sand</t>
        </is>
      </c>
      <c r="C9" s="30" t="inlineStr">
        <is>
          <t>DRIVES COST</t>
        </is>
      </c>
      <c r="D9" s="139" t="inlineStr">
        <is>
          <t>Material row 3</t>
        </is>
      </c>
      <c r="E9" s="24" t="inlineStr">
        <is>
          <t>DAR splits the same ratios by aggregate: 3.1-3.6 fine sand, 3.7-3.11 coarse sand, 3.12 stone dust, 3.13-3.14 marble dust - each a different Rates_Master code and rate.</t>
        </is>
      </c>
      <c r="F9" s="58" t="n"/>
      <c r="G9" s="58" t="n"/>
      <c r="H9" s="58" t="n"/>
      <c r="I9" s="58" t="n"/>
    </row>
    <row r="10" ht="32" customHeight="1">
      <c r="A10" s="137" t="inlineStr">
        <is>
          <t>Mixing method</t>
        </is>
      </c>
      <c r="B10" s="138" t="inlineStr">
        <is>
          <t>Manual (hand mixing)</t>
        </is>
      </c>
      <c r="C10" s="30" t="inlineStr">
        <is>
          <t>DRIVES COST</t>
        </is>
      </c>
      <c r="D10" s="139" t="inlineStr">
        <is>
          <t>Labour rows</t>
        </is>
      </c>
      <c r="E10" s="24" t="inlineStr">
        <is>
          <t>Hand mixing is priced with Beldar days; mechanical mixing adds a plant hire line (code 0002 onwards) whose day rate already includes operator and fuel per CPWD Note 1.</t>
        </is>
      </c>
      <c r="F10" s="58" t="n"/>
      <c r="G10" s="58" t="n"/>
      <c r="H10" s="58" t="n"/>
      <c r="I10" s="58" t="n"/>
    </row>
    <row r="11" ht="32" customHeight="1">
      <c r="A11" s="137" t="inlineStr">
        <is>
          <t>Location / lift of use</t>
        </is>
      </c>
      <c r="B11" s="138" t="inlineStr">
        <is>
          <t>at ground level</t>
        </is>
      </c>
      <c r="C11" s="2" t="inlineStr">
        <is>
          <t>NOMENCLATURE ONLY</t>
        </is>
      </c>
      <c r="D11" s="139" t="inlineStr">
        <is>
          <t>-</t>
        </is>
      </c>
      <c r="E11" s="24" t="inlineStr">
        <is>
          <t>The Mortars sub-head prices the mix itself, not its placement. Lifting to upper floors is priced in the consuming trade (see the "extra labour for lifting material" lines inside DAR 4.2.5), not here.</t>
        </is>
      </c>
      <c r="F11" s="58" t="n"/>
      <c r="G11" s="58" t="n"/>
      <c r="H11" s="58" t="n"/>
      <c r="I11" s="58" t="n"/>
    </row>
    <row r="12" ht="32" customHeight="1">
      <c r="A12" s="137" t="inlineStr">
        <is>
          <t>Purpose of the mix</t>
        </is>
      </c>
      <c r="B12" s="138" t="inlineStr">
        <is>
          <t>for masonry bedding</t>
        </is>
      </c>
      <c r="C12" s="2" t="inlineStr">
        <is>
          <t>NOMENCLATURE ONLY</t>
        </is>
      </c>
      <c r="D12" s="139" t="inlineStr">
        <is>
          <t>-</t>
        </is>
      </c>
      <c r="E12" s="24" t="inlineStr">
        <is>
          <t>The DAR does not vary a mortar rate by what it will be used for; the same item 3.9 is imported by Masonry, Stone, Cladding and Flooring alike.</t>
        </is>
      </c>
      <c r="F12" s="58" t="n"/>
      <c r="G12" s="58" t="n"/>
      <c r="H12" s="58" t="n"/>
      <c r="I12" s="58" t="n"/>
    </row>
    <row r="13" ht="22" customHeight="1">
      <c r="A13" s="16" t="inlineStr">
        <is>
          <t>Custom Item Code:</t>
        </is>
      </c>
      <c r="B13" s="59" t="inlineStr">
        <is>
          <t>C-03.01</t>
        </is>
      </c>
      <c r="C13" s="16" t="inlineStr">
        <is>
          <t>Batch Output Basis:</t>
        </is>
      </c>
      <c r="D13" s="94" t="n">
        <v>1</v>
      </c>
      <c r="E13" s="16" t="inlineStr">
        <is>
          <t>Output Unit:</t>
        </is>
      </c>
      <c r="F13" s="59" t="inlineStr">
        <is>
          <t>cum</t>
        </is>
      </c>
      <c r="G13" s="16" t="inlineStr">
        <is>
          <t>Trade Sub-Head:</t>
        </is>
      </c>
      <c r="H13" s="35" t="inlineStr">
        <is>
          <t>03 Mortars</t>
        </is>
      </c>
      <c r="I13" s="66" t="inlineStr">
        <is>
          <t>Output Unit Note:</t>
        </is>
      </c>
    </row>
    <row r="14" ht="40" customHeight="1">
      <c r="A14" s="16" t="inlineStr">
        <is>
          <t>Assembled Item Nomenclature:</t>
        </is>
      </c>
      <c r="B14" s="140">
        <f>IF(I14&lt;&gt;"", I14, "Providing and mixing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Dry volume factor</t>
        </is>
      </c>
      <c r="B17" s="158" t="n">
        <v>1.3</v>
      </c>
      <c r="C17" s="19" t="inlineStr">
        <is>
          <t>ratio</t>
        </is>
      </c>
      <c r="D17" s="139" t="inlineStr">
        <is>
          <t>Material coeffs</t>
        </is>
      </c>
      <c r="E17" s="24" t="inlineStr">
        <is>
          <t>The DAR derives wet-to-dry mortar volume inside each item header (e.g. 3.9 "0.268 cum of cement"). Adjust only if you are deriving a ratio the book does not print.</t>
        </is>
      </c>
      <c r="F17" s="58" t="n"/>
      <c r="G17" s="58" t="n"/>
      <c r="H17" s="58" t="n"/>
      <c r="I17" s="58" t="n"/>
    </row>
    <row r="18" ht="30" customHeight="1">
      <c r="A18" s="137" t="inlineStr">
        <is>
          <t>Cement bulk density</t>
        </is>
      </c>
      <c r="B18" s="158" t="n">
        <v>1.44</v>
      </c>
      <c r="C18" s="19" t="inlineStr">
        <is>
          <t>tonne / cum</t>
        </is>
      </c>
      <c r="D18" s="139" t="inlineStr">
        <is>
          <t>Cement coeff</t>
        </is>
      </c>
      <c r="E18" s="24" t="inlineStr">
        <is>
          <t>Used to convert the printed cement volume into the tonne basis that code 0367 is rated in - the conversion the DAR performs inline (0.269 cum = 0.38 tonne).</t>
        </is>
      </c>
      <c r="F18" s="58" t="n"/>
      <c r="G18" s="58" t="n"/>
      <c r="H18" s="58" t="n"/>
      <c r="I18" s="58" t="n"/>
    </row>
    <row r="19" ht="30" customHeight="1">
      <c r="A19" s="137" t="inlineStr">
        <is>
          <t>Batch output basis</t>
        </is>
      </c>
      <c r="B19" s="94" t="n">
        <v>1</v>
      </c>
      <c r="C19" s="19" t="inlineStr">
        <is>
          <t>cum</t>
        </is>
      </c>
      <c r="D19" s="139" t="inlineStr">
        <is>
          <t>Batch basis</t>
        </is>
      </c>
      <c r="E19" s="24" t="inlineStr">
        <is>
          <t>Every DAR mortar item is analysed for 1.00 cum. Keep 1.00 unless you deliberately want a batch rate.</t>
        </is>
      </c>
      <c r="F19" s="58" t="n"/>
      <c r="G19" s="58" t="n"/>
      <c r="H19" s="58" t="n"/>
      <c r="I19" s="58" t="n"/>
    </row>
    <row r="20" ht="30" customHeight="1">
      <c r="A20" s="137" t="inlineStr">
        <is>
          <t>Wastage allowance</t>
        </is>
      </c>
      <c r="B20" s="94" t="n">
        <v>0</v>
      </c>
      <c r="C20" s="19" t="inlineStr">
        <is>
          <t>%</t>
        </is>
      </c>
      <c r="D20" s="139" t="inlineStr">
        <is>
          <t>Material coeffs</t>
        </is>
      </c>
      <c r="E20" s="24" t="inlineStr">
        <is>
          <t>The DAR mortar items carry no wastage percentage - wastage on mortar is absorbed in the consuming trade. Leave at 0 to stay faithful to the book.</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0367</t>
        </is>
      </c>
      <c r="C25" s="81">
        <f>IF(B25="","", IFERROR(INDEX(Rates_Master!$C:$C, MATCH(B25, Rates_Master!$A:$A, 0)), "Custom / Intermediate Material"))</f>
        <v/>
      </c>
      <c r="D25" s="61">
        <f>IF(B25="","", IFERROR(INDEX(Rates_Master!$D:$D, MATCH(B25, Rates_Master!$A:$A, 0)), ""))</f>
        <v/>
      </c>
      <c r="E25" s="62" t="n">
        <v>0.38</v>
      </c>
      <c r="F25" s="63">
        <f>IF(B25="","", IFERROR(INDEX(Rates_Master!$E:$E, MATCH(B25, Rates_Master!$A:$A, 0)), 0))</f>
        <v/>
      </c>
      <c r="G25" s="43">
        <f>IF(OR(B25="", E25=""), 0, ROUND(E25 * F25, 2))</f>
        <v/>
      </c>
      <c r="H25" s="143" t="inlineStr">
        <is>
          <t>Portland Cement (0.269 cum = 0.38 tonne)</t>
        </is>
      </c>
      <c r="I25" s="59" t="inlineStr"/>
    </row>
    <row r="26" ht="20" customHeight="1">
      <c r="A26" s="19" t="n">
        <v>2</v>
      </c>
      <c r="B26" s="59" t="inlineStr">
        <is>
          <t>2209</t>
        </is>
      </c>
      <c r="C26" s="81">
        <f>IF(B26="","", IFERROR(INDEX(Rates_Master!$C:$C, MATCH(B26, Rates_Master!$A:$A, 0)), "Custom / Intermediate Material"))</f>
        <v/>
      </c>
      <c r="D26" s="61">
        <f>IF(B26="","", IFERROR(INDEX(Rates_Master!$D:$D, MATCH(B26, Rates_Master!$A:$A, 0)), ""))</f>
        <v/>
      </c>
      <c r="E26" s="62" t="n">
        <v>0.38</v>
      </c>
      <c r="F26" s="63">
        <f>IF(B26="","", IFERROR(INDEX(Rates_Master!$E:$E, MATCH(B26, Rates_Master!$A:$A, 0)), 0))</f>
        <v/>
      </c>
      <c r="G26" s="43">
        <f>IF(OR(B26="", E26=""), 0, ROUND(E26 * F26, 2))</f>
        <v/>
      </c>
      <c r="H26" s="143" t="inlineStr">
        <is>
          <t>Carriage of Cement</t>
        </is>
      </c>
      <c r="I26" s="59" t="inlineStr"/>
    </row>
    <row r="27" ht="20" customHeight="1">
      <c r="A27" s="19" t="n">
        <v>3</v>
      </c>
      <c r="B27" s="59" t="inlineStr">
        <is>
          <t>0982</t>
        </is>
      </c>
      <c r="C27" s="81">
        <f>IF(B27="","", IFERROR(INDEX(Rates_Master!$C:$C, MATCH(B27, Rates_Master!$A:$A, 0)), "Custom / Intermediate Material"))</f>
        <v/>
      </c>
      <c r="D27" s="61">
        <f>IF(B27="","", IFERROR(INDEX(Rates_Master!$D:$D, MATCH(B27, Rates_Master!$A:$A, 0)), ""))</f>
        <v/>
      </c>
      <c r="E27" s="62" t="n">
        <v>1.07</v>
      </c>
      <c r="F27" s="63">
        <f>IF(B27="","", IFERROR(INDEX(Rates_Master!$E:$E, MATCH(B27, Rates_Master!$A:$A, 0)), 0))</f>
        <v/>
      </c>
      <c r="G27" s="43">
        <f>IF(OR(B27="", E27=""), 0, ROUND(E27 * F27, 2))</f>
        <v/>
      </c>
      <c r="H27" s="143" t="inlineStr">
        <is>
          <t>Coarse sand (zone III)</t>
        </is>
      </c>
      <c r="I27" s="59" t="inlineStr"/>
    </row>
    <row r="28" ht="20" customHeight="1">
      <c r="A28" s="19" t="n">
        <v>4</v>
      </c>
      <c r="B28" s="59" t="inlineStr">
        <is>
          <t>2203</t>
        </is>
      </c>
      <c r="C28" s="81">
        <f>IF(B28="","", IFERROR(INDEX(Rates_Master!$C:$C, MATCH(B28, Rates_Master!$A:$A, 0)), "Custom / Intermediate Material"))</f>
        <v/>
      </c>
      <c r="D28" s="61">
        <f>IF(B28="","", IFERROR(INDEX(Rates_Master!$D:$D, MATCH(B28, Rates_Master!$A:$A, 0)), ""))</f>
        <v/>
      </c>
      <c r="E28" s="62" t="n">
        <v>1.07</v>
      </c>
      <c r="F28" s="63">
        <f>IF(B28="","", IFERROR(INDEX(Rates_Master!$E:$E, MATCH(B28, Rates_Master!$A:$A, 0)), 0))</f>
        <v/>
      </c>
      <c r="G28" s="43">
        <f>IF(OR(B28="", E28=""), 0, ROUND(E28 * F28, 2))</f>
        <v/>
      </c>
      <c r="H28" s="143" t="inlineStr">
        <is>
          <t>Carriage of Coarse sand</t>
        </is>
      </c>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0114</t>
        </is>
      </c>
      <c r="C39" s="81">
        <f>IF(B39="","", IFERROR(INDEX(Rates_Master!$C:$C, MATCH(B39, Rates_Master!$A:$A, 0)), "Custom Labour / Plant"))</f>
        <v/>
      </c>
      <c r="D39" s="61">
        <f>IF(B39="","", IFERROR(INDEX(Rates_Master!$D:$D, MATCH(B39, Rates_Master!$A:$A, 0)), ""))</f>
        <v/>
      </c>
      <c r="E39" s="62" t="n">
        <v>0.75</v>
      </c>
      <c r="F39" s="63">
        <f>IF(B39="","", IFERROR(INDEX(Rates_Master!$E:$E, MATCH(B39, Rates_Master!$A:$A, 0)), 0))</f>
        <v/>
      </c>
      <c r="G39" s="43">
        <f>IF(OR(B39="", E39=""), 0, ROUND(E39 * F39, 2))</f>
        <v/>
      </c>
      <c r="H39" s="143" t="inlineStr">
        <is>
          <t>Beldar (measuring, carrying &amp; mixing)</t>
        </is>
      </c>
      <c r="I39" s="6" t="inlineStr"/>
    </row>
    <row r="40" ht="20" customHeight="1">
      <c r="A40" s="19" t="n">
        <v>2</v>
      </c>
      <c r="B40" s="59" t="inlineStr">
        <is>
          <t>0101</t>
        </is>
      </c>
      <c r="C40" s="81">
        <f>IF(B40="","", IFERROR(INDEX(Rates_Master!$C:$C, MATCH(B40, Rates_Master!$A:$A, 0)), "Custom Labour / Plant"))</f>
        <v/>
      </c>
      <c r="D40" s="61">
        <f>IF(B40="","", IFERROR(INDEX(Rates_Master!$D:$D, MATCH(B40, Rates_Master!$A:$A, 0)), ""))</f>
        <v/>
      </c>
      <c r="E40" s="62" t="n">
        <v>0.07000000000000001</v>
      </c>
      <c r="F40" s="63">
        <f>IF(B40="","", IFERROR(INDEX(Rates_Master!$E:$E, MATCH(B40, Rates_Master!$A:$A, 0)), 0))</f>
        <v/>
      </c>
      <c r="G40" s="43">
        <f>IF(OR(B40="", E40=""), 0, ROUND(E40 * F40, 2))</f>
        <v/>
      </c>
      <c r="H40" s="143" t="inlineStr">
        <is>
          <t>Bhisti (watering)</t>
        </is>
      </c>
      <c r="I40" s="6" t="inlineStr"/>
    </row>
    <row r="41" ht="20" customHeight="1">
      <c r="A41" s="19" t="n">
        <v>3</v>
      </c>
      <c r="B41" s="59" t="inlineStr"/>
      <c r="C41" s="81">
        <f>IF(B41="","", IFERROR(INDEX(Rates_Master!$C:$C, MATCH(B41, Rates_Master!$A:$A, 0)), "Custom Labour / Plant"))</f>
        <v/>
      </c>
      <c r="D41" s="61">
        <f>IF(B41="","", IFERROR(INDEX(Rates_Master!$D:$D, MATCH(B41, Rates_Master!$A:$A, 0)), ""))</f>
        <v/>
      </c>
      <c r="E41" s="62" t="n"/>
      <c r="F41" s="63">
        <f>IF(B41="","", IFERROR(INDEX(Rates_Master!$E:$E, MATCH(B41, Rates_Master!$A:$A, 0)), 0))</f>
        <v/>
      </c>
      <c r="G41" s="43">
        <f>IF(OR(B41="", E41=""), 0, ROUND(E41 * F41, 2))</f>
        <v/>
      </c>
      <c r="H41" s="143" t="inlineStr"/>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13.52</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NO</t>
        </is>
      </c>
      <c r="D57" s="19" t="inlineStr">
        <is>
          <t>On (W - A)</t>
        </is>
      </c>
      <c r="E57" s="55">
        <f>G56 - G36</f>
        <v/>
      </c>
      <c r="F57" s="71">
        <f>Factor_Water</f>
        <v/>
      </c>
      <c r="G57" s="72">
        <f>IF(C57="YES", ROUND(E57 * F57, 2), 0)</f>
        <v/>
      </c>
      <c r="H57" s="24" t="inlineStr">
        <is>
          <t>CPWD RULE: 0% markup default. Water is not added here as it is marked up once in Masonry/Flooring.</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NO</t>
        </is>
      </c>
      <c r="D59" s="19" t="inlineStr">
        <is>
          <t>On (X - A)</t>
        </is>
      </c>
      <c r="E59" s="55">
        <f>G58 - G36</f>
        <v/>
      </c>
      <c r="F59" s="71">
        <f>Factor_GST</f>
        <v/>
      </c>
      <c r="G59" s="72">
        <f>IF(C59="YES", ROUND(E59 * F59, 2), 0)</f>
        <v/>
      </c>
      <c r="H59" s="24" t="inlineStr">
        <is>
          <t>CPWD RULE: GST is not added here to prevent double taxation when imported into Masonry.</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NO</t>
        </is>
      </c>
      <c r="D61" s="19" t="inlineStr">
        <is>
          <t>On (Y - A)</t>
        </is>
      </c>
      <c r="E61" s="55">
        <f>G60 - G36</f>
        <v/>
      </c>
      <c r="F61" s="71">
        <f>Factor_CPOH</f>
        <v/>
      </c>
      <c r="G61" s="72">
        <f>IF(C61="YES", ROUND(E61 * F61, 2), 0)</f>
        <v/>
      </c>
      <c r="H61" s="24" t="inlineStr">
        <is>
          <t>CPWD RULE: Contractor profit is not added to intermediate mortar. Consuming trades add 15% CPOH over combined total.</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NO</t>
        </is>
      </c>
      <c r="D63" s="19" t="inlineStr">
        <is>
          <t>On (Z - A)</t>
        </is>
      </c>
      <c r="E63" s="55">
        <f>G62 - G36</f>
        <v/>
      </c>
      <c r="F63" s="71">
        <f>Factor_Cess</f>
        <v/>
      </c>
      <c r="G63" s="72">
        <f>IF(C63="YES", ROUND(E63 * F63, 2), 0)</f>
        <v/>
      </c>
      <c r="H63" s="24" t="inlineStr">
        <is>
          <t>CPWD RULE: 0% Cess here; applied once at the end of the consuming trade item.</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3.1</t>
        </is>
      </c>
      <c r="B72" s="149" t="inlineStr">
        <is>
          <t>Cement mortar 1:1 (1 cement : 1 fine sand)</t>
        </is>
      </c>
      <c r="C72" s="150" t="inlineStr">
        <is>
          <t>cum</t>
        </is>
      </c>
      <c r="D72" s="150" t="n">
        <v>1</v>
      </c>
      <c r="E72" s="151" t="n">
        <v>6390.6</v>
      </c>
      <c r="F72" s="150" t="inlineStr">
        <is>
          <t>No markups (base cost)</t>
        </is>
      </c>
      <c r="G72" s="151" t="n">
        <v>6390.6</v>
      </c>
      <c r="H72" s="152" t="n">
        <v>6390.6</v>
      </c>
      <c r="I72" s="151" t="n"/>
    </row>
    <row r="73" ht="20" customHeight="1">
      <c r="A73" s="153" t="inlineStr">
        <is>
          <t>3.9</t>
        </is>
      </c>
      <c r="B73" s="154" t="inlineStr">
        <is>
          <t>Cement mortar 1:4 (1 cement : 4 coarse sand)</t>
        </is>
      </c>
      <c r="C73" s="155" t="inlineStr">
        <is>
          <t>cum</t>
        </is>
      </c>
      <c r="D73" s="155" t="n">
        <v>1</v>
      </c>
      <c r="E73" s="156" t="n">
        <v>4010.35</v>
      </c>
      <c r="F73" s="155" t="inlineStr">
        <is>
          <t>No markups (base cost)</t>
        </is>
      </c>
      <c r="G73" s="156" t="n">
        <v>4010.35</v>
      </c>
      <c r="H73" s="157" t="n">
        <v>4010.35</v>
      </c>
      <c r="I73" s="156" t="n"/>
    </row>
    <row r="74" ht="20" customHeight="1">
      <c r="A74" s="110" t="inlineStr">
        <is>
          <t>C-03.03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C-03.04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C-03.05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C-03.06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C-03.07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C-03.08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"Ordinary Portland cement,White cement,Lime,Mud mortar"</formula1>
    </dataValidation>
    <dataValidation sqref="B8" showDropDown="0" showInputMessage="0" showErrorMessage="0" allowBlank="1" type="list">
      <formula1>"1:1,1:2,1:3,1:4,1:5,1:6,1:8"</formula1>
    </dataValidation>
    <dataValidation sqref="B9" showDropDown="0" showInputMessage="0" showErrorMessage="0" allowBlank="1" type="list">
      <formula1>"fine sand,coarse sand,stone dust,marble dust"</formula1>
    </dataValidation>
    <dataValidation sqref="B10" showDropDown="0" showInputMessage="0" showErrorMessage="0" allowBlank="1" type="list">
      <formula1>"Manual (hand mixing),Mechanical mixer"</formula1>
    </dataValidation>
    <dataValidation sqref="B11" showDropDown="0" showInputMessage="0" showErrorMessage="0" allowBlank="1" type="list">
      <formula1>"at ground level,for all floors / lifts"</formula1>
    </dataValidation>
    <dataValidation sqref="B12"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Mix / grade</t>
        </is>
      </c>
      <c r="B7" s="138" t="inlineStr">
        <is>
          <t>1:2:4</t>
        </is>
      </c>
      <c r="C7" s="30" t="inlineStr">
        <is>
          <t>DRIVES COST</t>
        </is>
      </c>
      <c r="D7" s="139" t="inlineStr">
        <is>
          <t>Material coeffs</t>
        </is>
      </c>
      <c r="E7" s="24" t="inlineStr">
        <is>
          <t>DAR 4.1.2 (1:1.5:3) through 4.1.8 (1:4:8) print different cement, sand and aggregate volumes for each grade, giving Say rates from about Rs 8,025 to well over Rs 10,000 per cum.</t>
        </is>
      </c>
      <c r="F7" s="58" t="n"/>
      <c r="G7" s="58" t="n"/>
      <c r="H7" s="58" t="n"/>
      <c r="I7" s="58" t="n"/>
    </row>
    <row r="8" ht="32" customHeight="1">
      <c r="A8" s="137" t="inlineStr">
        <is>
          <t>Coarse aggregate nominal size</t>
        </is>
      </c>
      <c r="B8" s="138" t="inlineStr">
        <is>
          <t>20 mm nominal size</t>
        </is>
      </c>
      <c r="C8" s="30" t="inlineStr">
        <is>
          <t>DRIVES COST</t>
        </is>
      </c>
      <c r="D8" s="139" t="inlineStr">
        <is>
          <t>Material rows 1-2</t>
        </is>
      </c>
      <c r="E8" s="24" t="inlineStr">
        <is>
          <t>DAR 4.1.3 (20 mm) and 4.1.4 (40 mm) are the same 1:2:4 grade but use different aggregate codes and a different voids deduction, so the two print different rates.</t>
        </is>
      </c>
      <c r="F8" s="58" t="n"/>
      <c r="G8" s="58" t="n"/>
      <c r="H8" s="58" t="n"/>
      <c r="I8" s="58" t="n"/>
    </row>
    <row r="9" ht="32" customHeight="1">
      <c r="A9" s="137" t="inlineStr">
        <is>
          <t>Placement location in the structure</t>
        </is>
      </c>
      <c r="B9" s="138" t="inlineStr">
        <is>
          <t>in foundation and plinth</t>
        </is>
      </c>
      <c r="C9" s="2" t="inlineStr">
        <is>
          <t>NOMENCLATURE ONLY</t>
        </is>
      </c>
      <c r="D9" s="139" t="inlineStr">
        <is>
          <t>-</t>
        </is>
      </c>
      <c r="E9"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9" s="58" t="n"/>
      <c r="G9" s="58" t="n"/>
      <c r="H9" s="58" t="n"/>
      <c r="I9" s="58" t="n"/>
    </row>
    <row r="10" ht="32" customHeight="1">
      <c r="A10" s="137" t="inlineStr">
        <is>
          <t>Centering and shuttering</t>
        </is>
      </c>
      <c r="B10" s="138" t="inlineStr">
        <is>
          <t>excluding centering and shuttering</t>
        </is>
      </c>
      <c r="C10" s="2" t="inlineStr">
        <is>
          <t>NOMENCLATURE ONLY</t>
        </is>
      </c>
      <c r="D10" s="139" t="inlineStr">
        <is>
          <t>-</t>
        </is>
      </c>
      <c r="E10" s="24" t="inlineStr">
        <is>
          <t>Every DAR concrete and RCC item is analysed excluding the cost of centering and shuttering, which is measured under its own sub-head. There is no in-item differential.</t>
        </is>
      </c>
      <c r="F10" s="58" t="n"/>
      <c r="G10" s="58" t="n"/>
      <c r="H10" s="58" t="n"/>
      <c r="I10" s="58" t="n"/>
    </row>
    <row r="11" ht="32" customHeight="1">
      <c r="A11" s="137" t="inlineStr">
        <is>
          <t>Reinforcement</t>
        </is>
      </c>
      <c r="B11" s="138" t="inlineStr">
        <is>
          <t>not applicable (plain concrete)</t>
        </is>
      </c>
      <c r="C11" s="2" t="inlineStr">
        <is>
          <t>NOMENCLATURE ONLY</t>
        </is>
      </c>
      <c r="D11" s="139" t="inlineStr">
        <is>
          <t>-</t>
        </is>
      </c>
      <c r="E11" s="24" t="inlineStr">
        <is>
          <t>RCC items in the DAR exclude reinforcement, which is measured and priced separately under Steel Work. No in-item figure exists.</t>
        </is>
      </c>
      <c r="F11" s="58" t="n"/>
      <c r="G11" s="58" t="n"/>
      <c r="H11" s="58" t="n"/>
      <c r="I11" s="58" t="n"/>
    </row>
    <row r="12" ht="32" customHeight="1">
      <c r="A12" s="137" t="inlineStr">
        <is>
          <t>Finish to exposed surface</t>
        </is>
      </c>
      <c r="B12" s="138" t="inlineStr">
        <is>
          <t>no special finish</t>
        </is>
      </c>
      <c r="C12" s="49" t="inlineStr">
        <is>
          <t>USER-SUPPLIED COST</t>
        </is>
      </c>
      <c r="D12" s="139" t="inlineStr">
        <is>
          <t>Sundries row</t>
        </is>
      </c>
      <c r="E12" s="24" t="inlineStr">
        <is>
          <t>Float finish, hardener topping and similar finishes are priced in Flooring items (11.3-11.5), not inside the concrete item. If required here, enter the allowance as a Sundries line.</t>
        </is>
      </c>
      <c r="F12" s="58" t="n"/>
      <c r="G12" s="58" t="n"/>
      <c r="H12" s="58" t="n"/>
      <c r="I12" s="58" t="n"/>
    </row>
    <row r="13" ht="22" customHeight="1">
      <c r="A13" s="16" t="inlineStr">
        <is>
          <t>Custom Item Code:</t>
        </is>
      </c>
      <c r="B13" s="59" t="inlineStr">
        <is>
          <t>C-04.01</t>
        </is>
      </c>
      <c r="C13" s="16" t="inlineStr">
        <is>
          <t>Batch Output Basis:</t>
        </is>
      </c>
      <c r="D13" s="94" t="n">
        <v>1</v>
      </c>
      <c r="E13" s="16" t="inlineStr">
        <is>
          <t>Output Unit:</t>
        </is>
      </c>
      <c r="F13" s="59" t="inlineStr">
        <is>
          <t>cum</t>
        </is>
      </c>
      <c r="G13" s="16" t="inlineStr">
        <is>
          <t>Trade Sub-Head:</t>
        </is>
      </c>
      <c r="H13" s="35" t="inlineStr">
        <is>
          <t>04 Concrete Work</t>
        </is>
      </c>
      <c r="I13" s="66" t="inlineStr">
        <is>
          <t>Output Unit Note:</t>
        </is>
      </c>
    </row>
    <row r="14" ht="40" customHeight="1">
      <c r="A14" s="16" t="inlineStr">
        <is>
          <t>Assembled Item Nomenclature:</t>
        </is>
      </c>
      <c r="B14" s="140">
        <f>IF(I14&lt;&gt;"", I14, "Providing and laying in position cement concrete of grade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Voids deduction in aggregate</t>
        </is>
      </c>
      <c r="B17" s="158" t="n">
        <v>0.075</v>
      </c>
      <c r="C17" s="19" t="inlineStr">
        <is>
          <t>fraction</t>
        </is>
      </c>
      <c r="D17" s="139" t="inlineStr">
        <is>
          <t>Aggregate coeff</t>
        </is>
      </c>
      <c r="E17" s="24" t="inlineStr">
        <is>
          <t>DAR 4.1.4 deducts 7.5% for voids inline ("0.56 - 7.5% for voids = 0.52 cum"). Adjust only with a documented reason.</t>
        </is>
      </c>
      <c r="F17" s="58" t="n"/>
      <c r="G17" s="58" t="n"/>
      <c r="H17" s="58" t="n"/>
      <c r="I17" s="58" t="n"/>
    </row>
    <row r="18" ht="30" customHeight="1">
      <c r="A18" s="137" t="inlineStr">
        <is>
          <t>Extra lift labour (floor level)</t>
        </is>
      </c>
      <c r="B18" s="94" t="n">
        <v>0</v>
      </c>
      <c r="C18" s="19" t="inlineStr">
        <is>
          <t>Coolie days</t>
        </is>
      </c>
      <c r="D18" s="139" t="inlineStr">
        <is>
          <t>Labour rows</t>
        </is>
      </c>
      <c r="E18" s="24" t="inlineStr">
        <is>
          <t>The DAR adds this as its own Coolie line - 4.2.5 uses 0.75 x 2.5 = 1.88 Coolie days for lifting material up to floor V level. Enter the days here and mirror them on a Coolie row.</t>
        </is>
      </c>
      <c r="F18" s="58" t="n"/>
      <c r="G18" s="58" t="n"/>
      <c r="H18" s="58" t="n"/>
      <c r="I18" s="58" t="n"/>
    </row>
    <row r="19" ht="30" customHeight="1">
      <c r="A19" s="137" t="inlineStr">
        <is>
          <t>Concrete mixer productivity</t>
        </is>
      </c>
      <c r="B19" s="158" t="n">
        <v>0.07000000000000001</v>
      </c>
      <c r="C19" s="19" t="inlineStr">
        <is>
          <t>days / cum</t>
        </is>
      </c>
      <c r="D19" s="139" t="inlineStr">
        <is>
          <t>Plant row</t>
        </is>
      </c>
      <c r="E19" s="24" t="inlineStr">
        <is>
          <t>DAR 4.2.5 uses 0.07 mixer-days per cum. Plant codes 0001-0083 already include operator, fuel and lubricants for an 8-hour shift per CPWD Note 1.</t>
        </is>
      </c>
      <c r="F19" s="58" t="n"/>
      <c r="G19" s="58" t="n"/>
      <c r="H19" s="58" t="n"/>
      <c r="I19" s="58" t="n"/>
    </row>
    <row r="20" ht="30" customHeight="1">
      <c r="A20" s="137" t="inlineStr">
        <is>
          <t>Vibrator productivity</t>
        </is>
      </c>
      <c r="B20" s="158" t="n">
        <v>0.07000000000000001</v>
      </c>
      <c r="C20" s="19" t="inlineStr">
        <is>
          <t>days / cum</t>
        </is>
      </c>
      <c r="D20" s="139" t="inlineStr">
        <is>
          <t>Plant row</t>
        </is>
      </c>
      <c r="E20" s="24" t="inlineStr">
        <is>
          <t>DAR 4.2.5 uses 0.07 needle-vibrator days per cum on the same basis.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0295</t>
        </is>
      </c>
      <c r="C25" s="81">
        <f>IF(B25="","", IFERROR(INDEX(Rates_Master!$C:$C, MATCH(B25, Rates_Master!$A:$A, 0)), "Custom / Intermediate Material"))</f>
        <v/>
      </c>
      <c r="D25" s="61">
        <f>IF(B25="","", IFERROR(INDEX(Rates_Master!$D:$D, MATCH(B25, Rates_Master!$A:$A, 0)), ""))</f>
        <v/>
      </c>
      <c r="E25" s="62" t="n">
        <v>0.57</v>
      </c>
      <c r="F25" s="63">
        <f>IF(B25="","", IFERROR(INDEX(Rates_Master!$E:$E, MATCH(B25, Rates_Master!$A:$A, 0)), 0))</f>
        <v/>
      </c>
      <c r="G25" s="43">
        <f>IF(OR(B25="", E25=""), 0, ROUND(E25 * F25, 2))</f>
        <v/>
      </c>
      <c r="H25" s="143" t="inlineStr">
        <is>
          <t>Stone Aggregate 20 mm nominal size</t>
        </is>
      </c>
      <c r="I25" s="59" t="inlineStr"/>
    </row>
    <row r="26" ht="20" customHeight="1">
      <c r="A26" s="19" t="n">
        <v>2</v>
      </c>
      <c r="B26" s="59" t="inlineStr">
        <is>
          <t>0297</t>
        </is>
      </c>
      <c r="C26" s="81">
        <f>IF(B26="","", IFERROR(INDEX(Rates_Master!$C:$C, MATCH(B26, Rates_Master!$A:$A, 0)), "Custom / Intermediate Material"))</f>
        <v/>
      </c>
      <c r="D26" s="61">
        <f>IF(B26="","", IFERROR(INDEX(Rates_Master!$D:$D, MATCH(B26, Rates_Master!$A:$A, 0)), ""))</f>
        <v/>
      </c>
      <c r="E26" s="62" t="n">
        <v>0.28</v>
      </c>
      <c r="F26" s="63">
        <f>IF(B26="","", IFERROR(INDEX(Rates_Master!$E:$E, MATCH(B26, Rates_Master!$A:$A, 0)), 0))</f>
        <v/>
      </c>
      <c r="G26" s="43">
        <f>IF(OR(B26="", E26=""), 0, ROUND(E26 * F26, 2))</f>
        <v/>
      </c>
      <c r="H26" s="143" t="inlineStr">
        <is>
          <t>Stone Aggregate 10 mm nominal size</t>
        </is>
      </c>
      <c r="I26" s="59" t="inlineStr"/>
    </row>
    <row r="27" ht="20" customHeight="1">
      <c r="A27" s="19" t="n">
        <v>3</v>
      </c>
      <c r="B27" s="59" t="inlineStr">
        <is>
          <t>2202</t>
        </is>
      </c>
      <c r="C27" s="81">
        <f>IF(B27="","", IFERROR(INDEX(Rates_Master!$C:$C, MATCH(B27, Rates_Master!$A:$A, 0)), "Custom / Intermediate Material"))</f>
        <v/>
      </c>
      <c r="D27" s="61">
        <f>IF(B27="","", IFERROR(INDEX(Rates_Master!$D:$D, MATCH(B27, Rates_Master!$A:$A, 0)), ""))</f>
        <v/>
      </c>
      <c r="E27" s="62" t="n">
        <v>0.85</v>
      </c>
      <c r="F27" s="63">
        <f>IF(B27="","", IFERROR(INDEX(Rates_Master!$E:$E, MATCH(B27, Rates_Master!$A:$A, 0)), 0))</f>
        <v/>
      </c>
      <c r="G27" s="43">
        <f>IF(OR(B27="", E27=""), 0, ROUND(E27 * F27, 2))</f>
        <v/>
      </c>
      <c r="H27" s="143" t="inlineStr">
        <is>
          <t>Carriage of Stone aggregate below 40 mm</t>
        </is>
      </c>
      <c r="I27" s="59" t="inlineStr"/>
    </row>
    <row r="28" ht="20" customHeight="1">
      <c r="A28" s="19" t="n">
        <v>4</v>
      </c>
      <c r="B28" s="59" t="inlineStr">
        <is>
          <t>0982</t>
        </is>
      </c>
      <c r="C28" s="81">
        <f>IF(B28="","", IFERROR(INDEX(Rates_Master!$C:$C, MATCH(B28, Rates_Master!$A:$A, 0)), "Custom / Intermediate Material"))</f>
        <v/>
      </c>
      <c r="D28" s="61">
        <f>IF(B28="","", IFERROR(INDEX(Rates_Master!$D:$D, MATCH(B28, Rates_Master!$A:$A, 0)), ""))</f>
        <v/>
      </c>
      <c r="E28" s="62" t="n">
        <v>0.425</v>
      </c>
      <c r="F28" s="63">
        <f>IF(B28="","", IFERROR(INDEX(Rates_Master!$E:$E, MATCH(B28, Rates_Master!$A:$A, 0)), 0))</f>
        <v/>
      </c>
      <c r="G28" s="43">
        <f>IF(OR(B28="", E28=""), 0, ROUND(E28 * F28, 2))</f>
        <v/>
      </c>
      <c r="H28" s="143" t="inlineStr">
        <is>
          <t>Coarse sand (zone III)</t>
        </is>
      </c>
      <c r="I28" s="59" t="inlineStr"/>
    </row>
    <row r="29" ht="20" customHeight="1">
      <c r="A29" s="19" t="n">
        <v>5</v>
      </c>
      <c r="B29" s="59" t="inlineStr">
        <is>
          <t>2203</t>
        </is>
      </c>
      <c r="C29" s="81">
        <f>IF(B29="","", IFERROR(INDEX(Rates_Master!$C:$C, MATCH(B29, Rates_Master!$A:$A, 0)), "Custom / Intermediate Material"))</f>
        <v/>
      </c>
      <c r="D29" s="61">
        <f>IF(B29="","", IFERROR(INDEX(Rates_Master!$D:$D, MATCH(B29, Rates_Master!$A:$A, 0)), ""))</f>
        <v/>
      </c>
      <c r="E29" s="62" t="n">
        <v>0.425</v>
      </c>
      <c r="F29" s="63">
        <f>IF(B29="","", IFERROR(INDEX(Rates_Master!$E:$E, MATCH(B29, Rates_Master!$A:$A, 0)), 0))</f>
        <v/>
      </c>
      <c r="G29" s="43">
        <f>IF(OR(B29="", E29=""), 0, ROUND(E29 * F29, 2))</f>
        <v/>
      </c>
      <c r="H29" s="143" t="inlineStr">
        <is>
          <t>Carriage of Coarse sand</t>
        </is>
      </c>
      <c r="I29" s="59" t="inlineStr"/>
    </row>
    <row r="30" ht="20" customHeight="1">
      <c r="A30" s="19" t="n">
        <v>6</v>
      </c>
      <c r="B30" s="59" t="inlineStr">
        <is>
          <t>0367</t>
        </is>
      </c>
      <c r="C30" s="81">
        <f>IF(B30="","", IFERROR(INDEX(Rates_Master!$C:$C, MATCH(B30, Rates_Master!$A:$A, 0)), "Custom / Intermediate Material"))</f>
        <v/>
      </c>
      <c r="D30" s="61">
        <f>IF(B30="","", IFERROR(INDEX(Rates_Master!$D:$D, MATCH(B30, Rates_Master!$A:$A, 0)), ""))</f>
        <v/>
      </c>
      <c r="E30" s="62" t="n">
        <v>0.32</v>
      </c>
      <c r="F30" s="63">
        <f>IF(B30="","", IFERROR(INDEX(Rates_Master!$E:$E, MATCH(B30, Rates_Master!$A:$A, 0)), 0))</f>
        <v/>
      </c>
      <c r="G30" s="43">
        <f>IF(OR(B30="", E30=""), 0, ROUND(E30 * F30, 2))</f>
        <v/>
      </c>
      <c r="H30" s="143" t="inlineStr">
        <is>
          <t>Portland Cement</t>
        </is>
      </c>
      <c r="I30" s="59" t="inlineStr"/>
    </row>
    <row r="31" ht="20" customHeight="1">
      <c r="A31" s="19" t="n">
        <v>7</v>
      </c>
      <c r="B31" s="59" t="inlineStr">
        <is>
          <t>2209</t>
        </is>
      </c>
      <c r="C31" s="81">
        <f>IF(B31="","", IFERROR(INDEX(Rates_Master!$C:$C, MATCH(B31, Rates_Master!$A:$A, 0)), "Custom / Intermediate Material"))</f>
        <v/>
      </c>
      <c r="D31" s="61">
        <f>IF(B31="","", IFERROR(INDEX(Rates_Master!$D:$D, MATCH(B31, Rates_Master!$A:$A, 0)), ""))</f>
        <v/>
      </c>
      <c r="E31" s="62" t="n">
        <v>0.32</v>
      </c>
      <c r="F31" s="63">
        <f>IF(B31="","", IFERROR(INDEX(Rates_Master!$E:$E, MATCH(B31, Rates_Master!$A:$A, 0)), 0))</f>
        <v/>
      </c>
      <c r="G31" s="43">
        <f>IF(OR(B31="", E31=""), 0, ROUND(E31 * F31, 2))</f>
        <v/>
      </c>
      <c r="H31" s="143" t="inlineStr">
        <is>
          <t>Carriage of Cement</t>
        </is>
      </c>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0.1</v>
      </c>
      <c r="F39" s="63">
        <f>IF(B39="","", IFERROR(INDEX(Rates_Master!$E:$E, MATCH(B39, Rates_Master!$A:$A, 0)), 0))</f>
        <v/>
      </c>
      <c r="G39" s="43">
        <f>IF(OR(B39="", E39=""), 0, ROUND(E39 * F39, 2))</f>
        <v/>
      </c>
      <c r="H39" s="143" t="inlineStr">
        <is>
          <t>Mason (average)</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1.63</v>
      </c>
      <c r="F40" s="63">
        <f>IF(B40="","", IFERROR(INDEX(Rates_Master!$E:$E, MATCH(B40, Rates_Master!$A:$A, 0)), 0))</f>
        <v/>
      </c>
      <c r="G40" s="43">
        <f>IF(OR(B40="", E40=""), 0, ROUND(E40 * F40, 2))</f>
        <v/>
      </c>
      <c r="H40" s="143" t="inlineStr">
        <is>
          <t>Beldar (carrying &amp; placing)</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0.7</v>
      </c>
      <c r="F41" s="63">
        <f>IF(B41="","", IFERROR(INDEX(Rates_Master!$E:$E, MATCH(B41, Rates_Master!$A:$A, 0)), 0))</f>
        <v/>
      </c>
      <c r="G41" s="43">
        <f>IF(OR(B41="", E41=""), 0, ROUND(E41 * F41, 2))</f>
        <v/>
      </c>
      <c r="H41" s="143" t="inlineStr">
        <is>
          <t>Bhisti (curing)</t>
        </is>
      </c>
      <c r="I41" s="6" t="inlineStr"/>
    </row>
    <row r="42" ht="20" customHeight="1">
      <c r="A42" s="19" t="n">
        <v>4</v>
      </c>
      <c r="B42" s="59" t="inlineStr">
        <is>
          <t>0002</t>
        </is>
      </c>
      <c r="C42" s="81">
        <f>IF(B42="","", IFERROR(INDEX(Rates_Master!$C:$C, MATCH(B42, Rates_Master!$A:$A, 0)), "Custom Labour / Plant"))</f>
        <v/>
      </c>
      <c r="D42" s="61">
        <f>IF(B42="","", IFERROR(INDEX(Rates_Master!$D:$D, MATCH(B42, Rates_Master!$A:$A, 0)), ""))</f>
        <v/>
      </c>
      <c r="E42" s="62" t="n">
        <v>0.07000000000000001</v>
      </c>
      <c r="F42" s="63">
        <f>IF(B42="","", IFERROR(INDEX(Rates_Master!$E:$E, MATCH(B42, Rates_Master!$A:$A, 0)), 0))</f>
        <v/>
      </c>
      <c r="G42" s="43">
        <f>IF(OR(B42="", E42=""), 0, ROUND(E42 * F42, 2))</f>
        <v/>
      </c>
      <c r="H42" s="143" t="inlineStr">
        <is>
          <t>Hire charges of Concrete Mixer with hopper</t>
        </is>
      </c>
      <c r="I42" s="6" t="inlineStr"/>
    </row>
    <row r="43" ht="20" customHeight="1">
      <c r="A43" s="19" t="n">
        <v>5</v>
      </c>
      <c r="B43" s="59" t="inlineStr">
        <is>
          <t>0012</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3" t="inlineStr">
        <is>
          <t>Vibrator (Needle type 40mm)</t>
        </is>
      </c>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14.3</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for curing &amp; concrete water.</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4.1.2</t>
        </is>
      </c>
      <c r="B72" s="149" t="inlineStr">
        <is>
          <t>PCC 1:1.5:3 with 20mm graded stone aggregate up to plinth level</t>
        </is>
      </c>
      <c r="C72" s="150" t="inlineStr">
        <is>
          <t>cum</t>
        </is>
      </c>
      <c r="D72" s="150" t="n">
        <v>1</v>
      </c>
      <c r="E72" s="151" t="n">
        <v>5389.89</v>
      </c>
      <c r="F72" s="150" t="inlineStr">
        <is>
          <t>Full W-&gt;X-&gt;Y-&gt;Z</t>
        </is>
      </c>
      <c r="G72" s="151" t="n">
        <v>7210.58</v>
      </c>
      <c r="H72" s="152" t="n">
        <v>7210.55</v>
      </c>
      <c r="I72" s="151" t="n"/>
    </row>
    <row r="73" ht="20" customHeight="1">
      <c r="A73" s="153" t="inlineStr">
        <is>
          <t>4.1.3</t>
        </is>
      </c>
      <c r="B73" s="154" t="inlineStr">
        <is>
          <t>PCC 1:2:4 with 20mm graded stone aggregate up to plinth level</t>
        </is>
      </c>
      <c r="C73" s="155" t="inlineStr">
        <is>
          <t>cum</t>
        </is>
      </c>
      <c r="D73" s="155" t="n">
        <v>1</v>
      </c>
      <c r="E73" s="156" t="n">
        <v>5074.69</v>
      </c>
      <c r="F73" s="155" t="inlineStr">
        <is>
          <t>Full W-&gt;X-&gt;Y-&gt;Z</t>
        </is>
      </c>
      <c r="G73" s="156" t="n">
        <v>6788.62</v>
      </c>
      <c r="H73" s="157" t="n">
        <v>6788.6</v>
      </c>
      <c r="I73" s="156" t="n"/>
    </row>
    <row r="74" ht="20" customHeight="1">
      <c r="A74" s="110" t="inlineStr">
        <is>
          <t>C-04.03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C-04.04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C-04.05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C-04.06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C-04.07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C-04.08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"1:1.5:3,1:2:4,1:3:6,1:4:8,1:5:10,M20 design mix,M25 design mix"</formula1>
    </dataValidation>
    <dataValidation sqref="B8" showDropDown="0" showInputMessage="0" showErrorMessage="0" allowBlank="1" type="list">
      <formula1>"20 mm nominal size,40 mm nominal size,10 mm nominal size,graded 20 mm and 10 mm"</formula1>
    </dataValidation>
    <dataValidation sqref="B9" showDropDown="0" showInputMessage="0" showErrorMessage="0" allowBlank="1" type="list">
      <formula1>"in foundation and plinth,in superstructure,in retaining walls,as levelling course"</formula1>
    </dataValidation>
    <dataValidation sqref="B10" showDropDown="0" showInputMessage="0" showErrorMessage="0" allowBlank="1" type="list">
      <formula1>"excluding centering and shuttering,including centering and shuttering (price separately)"</formula1>
    </dataValidation>
    <dataValidation sqref="B11" showDropDown="0" showInputMessage="0" showErrorMessage="0" allowBlank="1" type="list">
      <formula1>"excluding reinforcement,including reinforcement (price separately)"</formula1>
    </dataValidation>
    <dataValidation sqref="B12"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05: Reinforced cement concrete in plinth beams, columns, and slabs. Excludes centering, shuttering, and reinforcement which are measured and priced separately per CPWD specifications.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Mix / grade</t>
        </is>
      </c>
      <c r="B7" s="138" t="inlineStr">
        <is>
          <t>1:2:4</t>
        </is>
      </c>
      <c r="C7" s="30" t="inlineStr">
        <is>
          <t>DRIVES COST</t>
        </is>
      </c>
      <c r="D7" s="139" t="inlineStr">
        <is>
          <t>Material coeffs</t>
        </is>
      </c>
      <c r="E7" s="24" t="inlineStr">
        <is>
          <t>DAR 4.1.2 (1:1.5:3) through 4.1.8 (1:4:8) print different cement, sand and aggregate volumes for each grade, giving Say rates from about Rs 8,025 to well over Rs 10,000 per cum.</t>
        </is>
      </c>
      <c r="F7" s="58" t="n"/>
      <c r="G7" s="58" t="n"/>
      <c r="H7" s="58" t="n"/>
      <c r="I7" s="58" t="n"/>
    </row>
    <row r="8" ht="32" customHeight="1">
      <c r="A8" s="137" t="inlineStr">
        <is>
          <t>Coarse aggregate nominal size</t>
        </is>
      </c>
      <c r="B8" s="138" t="inlineStr">
        <is>
          <t>20 mm nominal size</t>
        </is>
      </c>
      <c r="C8" s="30" t="inlineStr">
        <is>
          <t>DRIVES COST</t>
        </is>
      </c>
      <c r="D8" s="139" t="inlineStr">
        <is>
          <t>Material rows 1-2</t>
        </is>
      </c>
      <c r="E8" s="24" t="inlineStr">
        <is>
          <t>DAR 4.1.3 (20 mm) and 4.1.4 (40 mm) are the same 1:2:4 grade but use different aggregate codes and a different voids deduction, so the two print different rates.</t>
        </is>
      </c>
      <c r="F8" s="58" t="n"/>
      <c r="G8" s="58" t="n"/>
      <c r="H8" s="58" t="n"/>
      <c r="I8" s="58" t="n"/>
    </row>
    <row r="9" ht="32" customHeight="1">
      <c r="A9" s="137" t="inlineStr">
        <is>
          <t>Placement location in the structure</t>
        </is>
      </c>
      <c r="B9" s="138" t="inlineStr">
        <is>
          <t>in plinth beams</t>
        </is>
      </c>
      <c r="C9" s="2" t="inlineStr">
        <is>
          <t>NOMENCLATURE ONLY</t>
        </is>
      </c>
      <c r="D9" s="139" t="inlineStr">
        <is>
          <t>-</t>
        </is>
      </c>
      <c r="E9"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9" s="58" t="n"/>
      <c r="G9" s="58" t="n"/>
      <c r="H9" s="58" t="n"/>
      <c r="I9" s="58" t="n"/>
    </row>
    <row r="10" ht="32" customHeight="1">
      <c r="A10" s="137" t="inlineStr">
        <is>
          <t>Centering and shuttering</t>
        </is>
      </c>
      <c r="B10" s="138" t="inlineStr">
        <is>
          <t>excluding centering and shuttering</t>
        </is>
      </c>
      <c r="C10" s="2" t="inlineStr">
        <is>
          <t>NOMENCLATURE ONLY</t>
        </is>
      </c>
      <c r="D10" s="139" t="inlineStr">
        <is>
          <t>-</t>
        </is>
      </c>
      <c r="E10" s="24" t="inlineStr">
        <is>
          <t>Every DAR concrete and RCC item is analysed excluding the cost of centering and shuttering, which is measured under its own sub-head. There is no in-item differential.</t>
        </is>
      </c>
      <c r="F10" s="58" t="n"/>
      <c r="G10" s="58" t="n"/>
      <c r="H10" s="58" t="n"/>
      <c r="I10" s="58" t="n"/>
    </row>
    <row r="11" ht="32" customHeight="1">
      <c r="A11" s="137" t="inlineStr">
        <is>
          <t>Reinforcement</t>
        </is>
      </c>
      <c r="B11" s="138" t="inlineStr">
        <is>
          <t>excluding reinforcement</t>
        </is>
      </c>
      <c r="C11" s="2" t="inlineStr">
        <is>
          <t>NOMENCLATURE ONLY</t>
        </is>
      </c>
      <c r="D11" s="139" t="inlineStr">
        <is>
          <t>-</t>
        </is>
      </c>
      <c r="E11" s="24" t="inlineStr">
        <is>
          <t>RCC items in the DAR exclude reinforcement, which is measured and priced separately under Steel Work. No in-item figure exists.</t>
        </is>
      </c>
      <c r="F11" s="58" t="n"/>
      <c r="G11" s="58" t="n"/>
      <c r="H11" s="58" t="n"/>
      <c r="I11" s="58" t="n"/>
    </row>
    <row r="12" ht="32" customHeight="1">
      <c r="A12" s="137" t="inlineStr">
        <is>
          <t>Finish to exposed surface</t>
        </is>
      </c>
      <c r="B12" s="138" t="inlineStr">
        <is>
          <t>no special finish</t>
        </is>
      </c>
      <c r="C12" s="49" t="inlineStr">
        <is>
          <t>USER-SUPPLIED COST</t>
        </is>
      </c>
      <c r="D12" s="139" t="inlineStr">
        <is>
          <t>Sundries row</t>
        </is>
      </c>
      <c r="E12" s="24" t="inlineStr">
        <is>
          <t>Float finish, hardener topping and similar finishes are priced in Flooring items (11.3-11.5), not inside the concrete item. If required here, enter the allowance as a Sundries line.</t>
        </is>
      </c>
      <c r="F12" s="58" t="n"/>
      <c r="G12" s="58" t="n"/>
      <c r="H12" s="58" t="n"/>
      <c r="I12" s="58" t="n"/>
    </row>
    <row r="13" ht="22" customHeight="1">
      <c r="A13" s="16" t="inlineStr">
        <is>
          <t>Custom Item Code:</t>
        </is>
      </c>
      <c r="B13" s="59" t="inlineStr">
        <is>
          <t>C-05.01</t>
        </is>
      </c>
      <c r="C13" s="16" t="inlineStr">
        <is>
          <t>Batch Output Basis:</t>
        </is>
      </c>
      <c r="D13" s="94" t="n">
        <v>1</v>
      </c>
      <c r="E13" s="16" t="inlineStr">
        <is>
          <t>Output Unit:</t>
        </is>
      </c>
      <c r="F13" s="59" t="inlineStr">
        <is>
          <t>cum</t>
        </is>
      </c>
      <c r="G13" s="16" t="inlineStr">
        <is>
          <t>Trade Sub-Head:</t>
        </is>
      </c>
      <c r="H13" s="35" t="inlineStr">
        <is>
          <t>05 RCC Work</t>
        </is>
      </c>
      <c r="I13" s="66" t="inlineStr">
        <is>
          <t>Output Unit Note:</t>
        </is>
      </c>
    </row>
    <row r="14" ht="40" customHeight="1">
      <c r="A14" s="16" t="inlineStr">
        <is>
          <t>Assembled Item Nomenclature:</t>
        </is>
      </c>
      <c r="B14" s="140">
        <f>IF(I14&lt;&gt;"", I14, "Providing and laying in position reinforced cement concrete of grade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Voids deduction in aggregate</t>
        </is>
      </c>
      <c r="B17" s="158" t="n">
        <v>0.075</v>
      </c>
      <c r="C17" s="19" t="inlineStr">
        <is>
          <t>fraction</t>
        </is>
      </c>
      <c r="D17" s="139" t="inlineStr">
        <is>
          <t>Aggregate coeff</t>
        </is>
      </c>
      <c r="E17" s="24" t="inlineStr">
        <is>
          <t>DAR 4.1.4 deducts 7.5% for voids inline ("0.56 - 7.5% for voids = 0.52 cum"). Adjust only with a documented reason.</t>
        </is>
      </c>
      <c r="F17" s="58" t="n"/>
      <c r="G17" s="58" t="n"/>
      <c r="H17" s="58" t="n"/>
      <c r="I17" s="58" t="n"/>
    </row>
    <row r="18" ht="30" customHeight="1">
      <c r="A18" s="137" t="inlineStr">
        <is>
          <t>Extra lift labour (floor level)</t>
        </is>
      </c>
      <c r="B18" s="94" t="n">
        <v>0</v>
      </c>
      <c r="C18" s="19" t="inlineStr">
        <is>
          <t>Coolie days</t>
        </is>
      </c>
      <c r="D18" s="139" t="inlineStr">
        <is>
          <t>Labour rows</t>
        </is>
      </c>
      <c r="E18" s="24" t="inlineStr">
        <is>
          <t>The DAR adds this as its own Coolie line - 4.2.5 uses 0.75 x 2.5 = 1.88 Coolie days for lifting material up to floor V level. Enter the days here and mirror them on a Coolie row.</t>
        </is>
      </c>
      <c r="F18" s="58" t="n"/>
      <c r="G18" s="58" t="n"/>
      <c r="H18" s="58" t="n"/>
      <c r="I18" s="58" t="n"/>
    </row>
    <row r="19" ht="30" customHeight="1">
      <c r="A19" s="137" t="inlineStr">
        <is>
          <t>Concrete mixer productivity</t>
        </is>
      </c>
      <c r="B19" s="158" t="n">
        <v>0.07000000000000001</v>
      </c>
      <c r="C19" s="19" t="inlineStr">
        <is>
          <t>days / cum</t>
        </is>
      </c>
      <c r="D19" s="139" t="inlineStr">
        <is>
          <t>Plant row</t>
        </is>
      </c>
      <c r="E19" s="24" t="inlineStr">
        <is>
          <t>DAR 4.2.5 uses 0.07 mixer-days per cum. Plant codes 0001-0083 already include operator, fuel and lubricants for an 8-hour shift per CPWD Note 1.</t>
        </is>
      </c>
      <c r="F19" s="58" t="n"/>
      <c r="G19" s="58" t="n"/>
      <c r="H19" s="58" t="n"/>
      <c r="I19" s="58" t="n"/>
    </row>
    <row r="20" ht="30" customHeight="1">
      <c r="A20" s="137" t="inlineStr">
        <is>
          <t>Vibrator productivity</t>
        </is>
      </c>
      <c r="B20" s="158" t="n">
        <v>0.07000000000000001</v>
      </c>
      <c r="C20" s="19" t="inlineStr">
        <is>
          <t>days / cum</t>
        </is>
      </c>
      <c r="D20" s="139" t="inlineStr">
        <is>
          <t>Plant row</t>
        </is>
      </c>
      <c r="E20" s="24" t="inlineStr">
        <is>
          <t>DAR 4.2.5 uses 0.07 needle-vibrator days per cum on the same basis.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0295</t>
        </is>
      </c>
      <c r="C25" s="81">
        <f>IF(B25="","", IFERROR(INDEX(Rates_Master!$C:$C, MATCH(B25, Rates_Master!$A:$A, 0)), "Custom / Intermediate Material"))</f>
        <v/>
      </c>
      <c r="D25" s="61">
        <f>IF(B25="","", IFERROR(INDEX(Rates_Master!$D:$D, MATCH(B25, Rates_Master!$A:$A, 0)), ""))</f>
        <v/>
      </c>
      <c r="E25" s="62" t="n">
        <v>0.57</v>
      </c>
      <c r="F25" s="63">
        <f>IF(B25="","", IFERROR(INDEX(Rates_Master!$E:$E, MATCH(B25, Rates_Master!$A:$A, 0)), 0))</f>
        <v/>
      </c>
      <c r="G25" s="43">
        <f>IF(OR(B25="", E25=""), 0, ROUND(E25 * F25, 2))</f>
        <v/>
      </c>
      <c r="H25" s="143" t="inlineStr">
        <is>
          <t>Stone Aggregate 20 mm nominal size</t>
        </is>
      </c>
      <c r="I25" s="59" t="inlineStr"/>
    </row>
    <row r="26" ht="20" customHeight="1">
      <c r="A26" s="19" t="n">
        <v>2</v>
      </c>
      <c r="B26" s="59" t="inlineStr">
        <is>
          <t>0297</t>
        </is>
      </c>
      <c r="C26" s="81">
        <f>IF(B26="","", IFERROR(INDEX(Rates_Master!$C:$C, MATCH(B26, Rates_Master!$A:$A, 0)), "Custom / Intermediate Material"))</f>
        <v/>
      </c>
      <c r="D26" s="61">
        <f>IF(B26="","", IFERROR(INDEX(Rates_Master!$D:$D, MATCH(B26, Rates_Master!$A:$A, 0)), ""))</f>
        <v/>
      </c>
      <c r="E26" s="62" t="n">
        <v>0.28</v>
      </c>
      <c r="F26" s="63">
        <f>IF(B26="","", IFERROR(INDEX(Rates_Master!$E:$E, MATCH(B26, Rates_Master!$A:$A, 0)), 0))</f>
        <v/>
      </c>
      <c r="G26" s="43">
        <f>IF(OR(B26="", E26=""), 0, ROUND(E26 * F26, 2))</f>
        <v/>
      </c>
      <c r="H26" s="143" t="inlineStr">
        <is>
          <t>Stone Aggregate 10 mm nominal size</t>
        </is>
      </c>
      <c r="I26" s="59" t="inlineStr"/>
    </row>
    <row r="27" ht="20" customHeight="1">
      <c r="A27" s="19" t="n">
        <v>3</v>
      </c>
      <c r="B27" s="59" t="inlineStr">
        <is>
          <t>2202</t>
        </is>
      </c>
      <c r="C27" s="81">
        <f>IF(B27="","", IFERROR(INDEX(Rates_Master!$C:$C, MATCH(B27, Rates_Master!$A:$A, 0)), "Custom / Intermediate Material"))</f>
        <v/>
      </c>
      <c r="D27" s="61">
        <f>IF(B27="","", IFERROR(INDEX(Rates_Master!$D:$D, MATCH(B27, Rates_Master!$A:$A, 0)), ""))</f>
        <v/>
      </c>
      <c r="E27" s="62" t="n">
        <v>0.85</v>
      </c>
      <c r="F27" s="63">
        <f>IF(B27="","", IFERROR(INDEX(Rates_Master!$E:$E, MATCH(B27, Rates_Master!$A:$A, 0)), 0))</f>
        <v/>
      </c>
      <c r="G27" s="43">
        <f>IF(OR(B27="", E27=""), 0, ROUND(E27 * F27, 2))</f>
        <v/>
      </c>
      <c r="H27" s="143" t="inlineStr">
        <is>
          <t>Carriage of Stone aggregate</t>
        </is>
      </c>
      <c r="I27" s="59" t="inlineStr"/>
    </row>
    <row r="28" ht="20" customHeight="1">
      <c r="A28" s="19" t="n">
        <v>4</v>
      </c>
      <c r="B28" s="59" t="inlineStr">
        <is>
          <t>0982</t>
        </is>
      </c>
      <c r="C28" s="81">
        <f>IF(B28="","", IFERROR(INDEX(Rates_Master!$C:$C, MATCH(B28, Rates_Master!$A:$A, 0)), "Custom / Intermediate Material"))</f>
        <v/>
      </c>
      <c r="D28" s="61">
        <f>IF(B28="","", IFERROR(INDEX(Rates_Master!$D:$D, MATCH(B28, Rates_Master!$A:$A, 0)), ""))</f>
        <v/>
      </c>
      <c r="E28" s="62" t="n">
        <v>0.425</v>
      </c>
      <c r="F28" s="63">
        <f>IF(B28="","", IFERROR(INDEX(Rates_Master!$E:$E, MATCH(B28, Rates_Master!$A:$A, 0)), 0))</f>
        <v/>
      </c>
      <c r="G28" s="43">
        <f>IF(OR(B28="", E28=""), 0, ROUND(E28 * F28, 2))</f>
        <v/>
      </c>
      <c r="H28" s="143" t="inlineStr">
        <is>
          <t>Coarse sand (zone III)</t>
        </is>
      </c>
      <c r="I28" s="59" t="inlineStr"/>
    </row>
    <row r="29" ht="20" customHeight="1">
      <c r="A29" s="19" t="n">
        <v>5</v>
      </c>
      <c r="B29" s="59" t="inlineStr">
        <is>
          <t>2203</t>
        </is>
      </c>
      <c r="C29" s="81">
        <f>IF(B29="","", IFERROR(INDEX(Rates_Master!$C:$C, MATCH(B29, Rates_Master!$A:$A, 0)), "Custom / Intermediate Material"))</f>
        <v/>
      </c>
      <c r="D29" s="61">
        <f>IF(B29="","", IFERROR(INDEX(Rates_Master!$D:$D, MATCH(B29, Rates_Master!$A:$A, 0)), ""))</f>
        <v/>
      </c>
      <c r="E29" s="62" t="n">
        <v>0.425</v>
      </c>
      <c r="F29" s="63">
        <f>IF(B29="","", IFERROR(INDEX(Rates_Master!$E:$E, MATCH(B29, Rates_Master!$A:$A, 0)), 0))</f>
        <v/>
      </c>
      <c r="G29" s="43">
        <f>IF(OR(B29="", E29=""), 0, ROUND(E29 * F29, 2))</f>
        <v/>
      </c>
      <c r="H29" s="143" t="inlineStr">
        <is>
          <t>Carriage of Coarse sand</t>
        </is>
      </c>
      <c r="I29" s="59" t="inlineStr"/>
    </row>
    <row r="30" ht="20" customHeight="1">
      <c r="A30" s="19" t="n">
        <v>6</v>
      </c>
      <c r="B30" s="59" t="inlineStr">
        <is>
          <t>0367</t>
        </is>
      </c>
      <c r="C30" s="81">
        <f>IF(B30="","", IFERROR(INDEX(Rates_Master!$C:$C, MATCH(B30, Rates_Master!$A:$A, 0)), "Custom / Intermediate Material"))</f>
        <v/>
      </c>
      <c r="D30" s="61">
        <f>IF(B30="","", IFERROR(INDEX(Rates_Master!$D:$D, MATCH(B30, Rates_Master!$A:$A, 0)), ""))</f>
        <v/>
      </c>
      <c r="E30" s="62" t="n">
        <v>0.4</v>
      </c>
      <c r="F30" s="63">
        <f>IF(B30="","", IFERROR(INDEX(Rates_Master!$E:$E, MATCH(B30, Rates_Master!$A:$A, 0)), 0))</f>
        <v/>
      </c>
      <c r="G30" s="43">
        <f>IF(OR(B30="", E30=""), 0, ROUND(E30 * F30, 2))</f>
        <v/>
      </c>
      <c r="H30" s="143" t="inlineStr">
        <is>
          <t>Portland Cement</t>
        </is>
      </c>
      <c r="I30" s="59" t="inlineStr"/>
    </row>
    <row r="31" ht="20" customHeight="1">
      <c r="A31" s="19" t="n">
        <v>7</v>
      </c>
      <c r="B31" s="59" t="inlineStr">
        <is>
          <t>2209</t>
        </is>
      </c>
      <c r="C31" s="81">
        <f>IF(B31="","", IFERROR(INDEX(Rates_Master!$C:$C, MATCH(B31, Rates_Master!$A:$A, 0)), "Custom / Intermediate Material"))</f>
        <v/>
      </c>
      <c r="D31" s="61">
        <f>IF(B31="","", IFERROR(INDEX(Rates_Master!$D:$D, MATCH(B31, Rates_Master!$A:$A, 0)), ""))</f>
        <v/>
      </c>
      <c r="E31" s="62" t="n">
        <v>0.4</v>
      </c>
      <c r="F31" s="63">
        <f>IF(B31="","", IFERROR(INDEX(Rates_Master!$E:$E, MATCH(B31, Rates_Master!$A:$A, 0)), 0))</f>
        <v/>
      </c>
      <c r="G31" s="43">
        <f>IF(OR(B31="", E31=""), 0, ROUND(E31 * F31, 2))</f>
        <v/>
      </c>
      <c r="H31" s="143" t="inlineStr">
        <is>
          <t>Carriage of Cement</t>
        </is>
      </c>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0.17</v>
      </c>
      <c r="F39" s="63">
        <f>IF(B39="","", IFERROR(INDEX(Rates_Master!$E:$E, MATCH(B39, Rates_Master!$A:$A, 0)), 0))</f>
        <v/>
      </c>
      <c r="G39" s="43">
        <f>IF(OR(B39="", E39=""), 0, ROUND(E39 * F39, 2))</f>
        <v/>
      </c>
      <c r="H39" s="143" t="inlineStr">
        <is>
          <t>Mason (average)</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2</v>
      </c>
      <c r="F40" s="63">
        <f>IF(B40="","", IFERROR(INDEX(Rates_Master!$E:$E, MATCH(B40, Rates_Master!$A:$A, 0)), 0))</f>
        <v/>
      </c>
      <c r="G40" s="43">
        <f>IF(OR(B40="", E40=""), 0, ROUND(E40 * F40, 2))</f>
        <v/>
      </c>
      <c r="H40" s="143" t="inlineStr">
        <is>
          <t>Beldar (mixing &amp; placing)</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0.9</v>
      </c>
      <c r="F41" s="63">
        <f>IF(B41="","", IFERROR(INDEX(Rates_Master!$E:$E, MATCH(B41, Rates_Master!$A:$A, 0)), 0))</f>
        <v/>
      </c>
      <c r="G41" s="43">
        <f>IF(OR(B41="", E41=""), 0, ROUND(E41 * F41, 2))</f>
        <v/>
      </c>
      <c r="H41" s="143" t="inlineStr">
        <is>
          <t>Bhisti (curing)</t>
        </is>
      </c>
      <c r="I41" s="6" t="inlineStr"/>
    </row>
    <row r="42" ht="20" customHeight="1">
      <c r="A42" s="19" t="n">
        <v>4</v>
      </c>
      <c r="B42" s="59" t="inlineStr">
        <is>
          <t>0002</t>
        </is>
      </c>
      <c r="C42" s="81">
        <f>IF(B42="","", IFERROR(INDEX(Rates_Master!$C:$C, MATCH(B42, Rates_Master!$A:$A, 0)), "Custom Labour / Plant"))</f>
        <v/>
      </c>
      <c r="D42" s="61">
        <f>IF(B42="","", IFERROR(INDEX(Rates_Master!$D:$D, MATCH(B42, Rates_Master!$A:$A, 0)), ""))</f>
        <v/>
      </c>
      <c r="E42" s="62" t="n">
        <v>0.07000000000000001</v>
      </c>
      <c r="F42" s="63">
        <f>IF(B42="","", IFERROR(INDEX(Rates_Master!$E:$E, MATCH(B42, Rates_Master!$A:$A, 0)), 0))</f>
        <v/>
      </c>
      <c r="G42" s="43">
        <f>IF(OR(B42="", E42=""), 0, ROUND(E42 * F42, 2))</f>
        <v/>
      </c>
      <c r="H42" s="143" t="inlineStr">
        <is>
          <t>Hire charges of Concrete Mixer</t>
        </is>
      </c>
      <c r="I42" s="6" t="inlineStr"/>
    </row>
    <row r="43" ht="20" customHeight="1">
      <c r="A43" s="19" t="n">
        <v>5</v>
      </c>
      <c r="B43" s="59" t="inlineStr">
        <is>
          <t>0012</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3" t="inlineStr">
        <is>
          <t>Needle Vibrator 40mm</t>
        </is>
      </c>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14.3</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for curing &amp; site water.</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5.1.2</t>
        </is>
      </c>
      <c r="B72" s="149" t="inlineStr">
        <is>
          <t>RCC 1:1.5:3 up to plinth level (excl. shuttering &amp; reinforcement)</t>
        </is>
      </c>
      <c r="C72" s="150" t="inlineStr">
        <is>
          <t>cum</t>
        </is>
      </c>
      <c r="D72" s="150" t="n">
        <v>1</v>
      </c>
      <c r="E72" s="151" t="n">
        <v>5768.78</v>
      </c>
      <c r="F72" s="150" t="inlineStr">
        <is>
          <t>Full W-&gt;X-&gt;Y-&gt;Z</t>
        </is>
      </c>
      <c r="G72" s="151" t="n">
        <v>7717.15</v>
      </c>
      <c r="H72" s="152" t="n">
        <v>7717.15</v>
      </c>
      <c r="I72" s="151" t="n"/>
    </row>
    <row r="73" ht="20" customHeight="1">
      <c r="A73" s="153" t="inlineStr">
        <is>
          <t>5.1.3</t>
        </is>
      </c>
      <c r="B73" s="154" t="inlineStr">
        <is>
          <t>RCC 1:2:4 up to plinth level (excl. shuttering &amp; reinforcement)</t>
        </is>
      </c>
      <c r="C73" s="155" t="inlineStr">
        <is>
          <t>cum</t>
        </is>
      </c>
      <c r="D73" s="155" t="n">
        <v>1</v>
      </c>
      <c r="E73" s="156" t="n">
        <v>5373.98</v>
      </c>
      <c r="F73" s="155" t="inlineStr">
        <is>
          <t>Full W-&gt;X-&gt;Y-&gt;Z</t>
        </is>
      </c>
      <c r="G73" s="156" t="n">
        <v>7189.02</v>
      </c>
      <c r="H73" s="157" t="n">
        <v>7189</v>
      </c>
      <c r="I73" s="156" t="n"/>
    </row>
    <row r="74" ht="20" customHeight="1">
      <c r="A74" s="110" t="inlineStr">
        <is>
          <t>C-05.03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C-05.04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C-05.05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C-05.06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C-05.07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C-05.08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"1:1.5:3,1:2:4,1:3:6,1:4:8,1:5:10,M20 design mix,M25 design mix"</formula1>
    </dataValidation>
    <dataValidation sqref="B8" showDropDown="0" showInputMessage="0" showErrorMessage="0" allowBlank="1" type="list">
      <formula1>"20 mm nominal size,40 mm nominal size,10 mm nominal size,graded 20 mm and 10 mm"</formula1>
    </dataValidation>
    <dataValidation sqref="B9" showDropDown="0" showInputMessage="0" showErrorMessage="0" allowBlank="1" type="list">
      <formula1>"in plinth beams,in columns,in suspended slabs,in walls,in footings"</formula1>
    </dataValidation>
    <dataValidation sqref="B10" showDropDown="0" showInputMessage="0" showErrorMessage="0" allowBlank="1" type="list">
      <formula1>"excluding centering and shuttering,including centering and shuttering (price separately)"</formula1>
    </dataValidation>
    <dataValidation sqref="B11" showDropDown="0" showInputMessage="0" showErrorMessage="0" allowBlank="1" type="list">
      <formula1>"excluding reinforcement,including reinforcement (price separately)"</formula1>
    </dataValidation>
    <dataValidation sqref="B12"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06: Brick and block masonry. Imports un-marked Mortar rates from 03_Mortars as a direct material input, then applies the full statutory markup chain once over the combined total.</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Masonry unit type and class</t>
        </is>
      </c>
      <c r="B7" s="138" t="inlineStr">
        <is>
          <t>common burnt clay F.P.S. (non modular) bricks class 7.5</t>
        </is>
      </c>
      <c r="C7" s="30" t="inlineStr">
        <is>
          <t>DRIVES COST</t>
        </is>
      </c>
      <c r="D7" s="139" t="inlineStr">
        <is>
          <t>Material row 1</t>
        </is>
      </c>
      <c r="E7" s="24" t="inlineStr">
        <is>
          <t>DAR 6.1 (F.P.S. non-modular 7.5), 6.2 (modular 7.5) and 6.3 (machine moulded perforated 12.5) use different brick codes and different bricks-per-cum coefficients - 6.1.1 and 6.2.1 differ by about Rs 460 per cum at the same mortar.</t>
        </is>
      </c>
      <c r="F7" s="58" t="n"/>
      <c r="G7" s="58" t="n"/>
      <c r="H7" s="58" t="n"/>
      <c r="I7" s="58" t="n"/>
    </row>
    <row r="8" ht="32" customHeight="1">
      <c r="A8" s="137" t="inlineStr">
        <is>
          <t>Mortar ratio</t>
        </is>
      </c>
      <c r="B8" s="138" t="inlineStr">
        <is>
          <t>cement mortar 1:4 (1 cement : 4 coarse sand)</t>
        </is>
      </c>
      <c r="C8" s="30" t="inlineStr">
        <is>
          <t>DRIVES COST</t>
        </is>
      </c>
      <c r="D8" s="139" t="inlineStr">
        <is>
          <t>Mortar import row</t>
        </is>
      </c>
      <c r="E8" s="24" t="inlineStr">
        <is>
          <t>DAR 6.1.1 imports Mortar item 3.9 (1:4) and 6.1.2 imports 3.11 (1:6); the printed Say rates are Rs 6,376.25 and Rs 6,153.05 per cum. Change this and the imported mortar rate must change with it.</t>
        </is>
      </c>
      <c r="F8" s="58" t="n"/>
      <c r="G8" s="58" t="n"/>
      <c r="H8" s="58" t="n"/>
      <c r="I8" s="58" t="n"/>
    </row>
    <row r="9" ht="32" customHeight="1">
      <c r="A9" s="137" t="inlineStr">
        <is>
          <t>Location in structure</t>
        </is>
      </c>
      <c r="B9" s="138" t="inlineStr">
        <is>
          <t>in foundation and plinth</t>
        </is>
      </c>
      <c r="C9" s="2" t="inlineStr">
        <is>
          <t>NOMENCLATURE ONLY</t>
        </is>
      </c>
      <c r="D9" s="139" t="inlineStr">
        <is>
          <t>-</t>
        </is>
      </c>
      <c r="E9"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9" s="58" t="n"/>
      <c r="G9" s="58" t="n"/>
      <c r="H9" s="58" t="n"/>
      <c r="I9" s="58" t="n"/>
    </row>
    <row r="10" ht="32" customHeight="1">
      <c r="A10" s="137" t="inlineStr">
        <is>
          <t>Wall thickness</t>
        </is>
      </c>
      <c r="B10" s="138" t="inlineStr">
        <is>
          <t>one brick thick and above</t>
        </is>
      </c>
      <c r="C10" s="2" t="inlineStr">
        <is>
          <t>NOMENCLATURE ONLY</t>
        </is>
      </c>
      <c r="D10" s="139" t="inlineStr">
        <is>
          <t>-</t>
        </is>
      </c>
      <c r="E10" s="24" t="inlineStr">
        <is>
          <t>The DAR prices brickwork by volume (per cum) for one-brick-and-above walls, so thickness does not change the cum rate. Half-brick walls are a separate per-sqm item.</t>
        </is>
      </c>
      <c r="F10" s="58" t="n"/>
      <c r="G10" s="58" t="n"/>
      <c r="H10" s="58" t="n"/>
      <c r="I10" s="58" t="n"/>
    </row>
    <row r="11" ht="32" customHeight="1">
      <c r="A11" s="137" t="inlineStr">
        <is>
          <t>Curing</t>
        </is>
      </c>
      <c r="B11" s="138" t="inlineStr">
        <is>
          <t>including curing</t>
        </is>
      </c>
      <c r="C11" s="2" t="inlineStr">
        <is>
          <t>NOMENCLATURE ONLY</t>
        </is>
      </c>
      <c r="D11" s="139" t="inlineStr">
        <is>
          <t>-</t>
        </is>
      </c>
      <c r="E11" s="24" t="inlineStr">
        <is>
          <t>Curing is inside the Bhisti coefficient and the 1% water charge; the DAR gives no separate figure for including or excluding it.</t>
        </is>
      </c>
      <c r="F11" s="58" t="n"/>
      <c r="G11" s="58" t="n"/>
      <c r="H11" s="58" t="n"/>
      <c r="I11" s="58" t="n"/>
    </row>
    <row r="12" ht="32" customHeight="1">
      <c r="A12" s="137" t="inlineStr">
        <is>
          <t>Raking of joints for plaster</t>
        </is>
      </c>
      <c r="B12" s="138" t="inlineStr">
        <is>
          <t>not required</t>
        </is>
      </c>
      <c r="C12" s="49" t="inlineStr">
        <is>
          <t>USER-SUPPLIED COST</t>
        </is>
      </c>
      <c r="D12" s="139" t="inlineStr">
        <is>
          <t>Sundries row</t>
        </is>
      </c>
      <c r="E12" s="24" t="inlineStr">
        <is>
          <t>The DAR carries no separate raking allowance in Sub-Head 06. If the specification demands it, put the cost in the Sundries line.</t>
        </is>
      </c>
      <c r="F12" s="58" t="n"/>
      <c r="G12" s="58" t="n"/>
      <c r="H12" s="58" t="n"/>
      <c r="I12" s="58" t="n"/>
    </row>
    <row r="13" ht="22" customHeight="1">
      <c r="A13" s="16" t="inlineStr">
        <is>
          <t>Custom Item Code:</t>
        </is>
      </c>
      <c r="B13" s="59" t="inlineStr">
        <is>
          <t>C-06.01</t>
        </is>
      </c>
      <c r="C13" s="16" t="inlineStr">
        <is>
          <t>Batch Output Basis:</t>
        </is>
      </c>
      <c r="D13" s="94" t="n">
        <v>1</v>
      </c>
      <c r="E13" s="16" t="inlineStr">
        <is>
          <t>Output Unit:</t>
        </is>
      </c>
      <c r="F13" s="59" t="inlineStr">
        <is>
          <t>cum</t>
        </is>
      </c>
      <c r="G13" s="16" t="inlineStr">
        <is>
          <t>Trade Sub-Head:</t>
        </is>
      </c>
      <c r="H13" s="35" t="inlineStr">
        <is>
          <t>06 Masonry Work</t>
        </is>
      </c>
      <c r="I13" s="66" t="inlineStr">
        <is>
          <t>Output Unit Note:</t>
        </is>
      </c>
    </row>
    <row r="14" ht="40" customHeight="1">
      <c r="A14" s="16" t="inlineStr">
        <is>
          <t>Assembled Item Nomenclature:</t>
        </is>
      </c>
      <c r="B14" s="140">
        <f>IF(I14&lt;&gt;"", I14, "Brick work with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Bricks per cum of masonry</t>
        </is>
      </c>
      <c r="B17" s="158" t="n">
        <v>0.494</v>
      </c>
      <c r="C17" s="19" t="inlineStr">
        <is>
          <t>thousand / cum</t>
        </is>
      </c>
      <c r="D17" s="139" t="inlineStr">
        <is>
          <t>Material row 1</t>
        </is>
      </c>
      <c r="E17" s="24" t="inlineStr">
        <is>
          <t>DAR 6.1.1 uses 0.494 thousand bricks per cum, which already includes the mortar joint volume.</t>
        </is>
      </c>
      <c r="F17" s="58" t="n"/>
      <c r="G17" s="58" t="n"/>
      <c r="H17" s="58" t="n"/>
      <c r="I17" s="58" t="n"/>
    </row>
    <row r="18" ht="30" customHeight="1">
      <c r="A18" s="137" t="inlineStr">
        <is>
          <t>Mortar consumption</t>
        </is>
      </c>
      <c r="B18" s="158" t="n">
        <v>0.25</v>
      </c>
      <c r="C18" s="19" t="inlineStr">
        <is>
          <t>cum / cum</t>
        </is>
      </c>
      <c r="D18" s="139" t="inlineStr">
        <is>
          <t>Mortar import row</t>
        </is>
      </c>
      <c r="E18" s="24" t="inlineStr">
        <is>
          <t>DAR 6.1.1 uses 0.25 cum of mortar per cum of brickwork.</t>
        </is>
      </c>
      <c r="F18" s="58" t="n"/>
      <c r="G18" s="58" t="n"/>
      <c r="H18" s="58" t="n"/>
      <c r="I18" s="58" t="n"/>
    </row>
    <row r="19" ht="30" customHeight="1">
      <c r="A19" s="137" t="inlineStr">
        <is>
          <t>Brick breakage allowance</t>
        </is>
      </c>
      <c r="B19" s="94" t="n">
        <v>0</v>
      </c>
      <c r="C19" s="19" t="inlineStr">
        <is>
          <t>%</t>
        </is>
      </c>
      <c r="D19" s="139" t="inlineStr">
        <is>
          <t>Material row 1</t>
        </is>
      </c>
      <c r="E19" s="24" t="inlineStr">
        <is>
          <t>Sub-Head 06 items carry no separate breakage percentage - it is absorbed in the 0.494 coefficient. Leave at 0 to stay faithful to the book.</t>
        </is>
      </c>
      <c r="F19" s="58" t="n"/>
      <c r="G19" s="58" t="n"/>
      <c r="H19" s="58" t="n"/>
      <c r="I19" s="58" t="n"/>
    </row>
    <row r="20" ht="30" customHeight="1">
      <c r="A20" s="137" t="inlineStr">
        <is>
          <t>Scaffolding allowance</t>
        </is>
      </c>
      <c r="B20" s="94" t="n">
        <v>0</v>
      </c>
      <c r="C20" s="19" t="inlineStr">
        <is>
          <t>Rs L.S.</t>
        </is>
      </c>
      <c r="D20" s="139" t="inlineStr">
        <is>
          <t>Sundries row</t>
        </is>
      </c>
      <c r="E20" s="24" t="inlineStr">
        <is>
          <t>The DAR prices scaffolding as an explicit L.S. line where it applies (see 4.2.5, "Scaffolding 17.60 x 2.5"). Enter an amount here and mirror it on the Sundries row.</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2602</t>
        </is>
      </c>
      <c r="C25" s="81">
        <f>IF(B25="","", IFERROR(INDEX(Rates_Master!$C:$C, MATCH(B25, Rates_Master!$A:$A, 0)), "Custom / Intermediate Material"))</f>
        <v/>
      </c>
      <c r="D25" s="61">
        <f>IF(B25="","", IFERROR(INDEX(Rates_Master!$D:$D, MATCH(B25, Rates_Master!$A:$A, 0)), ""))</f>
        <v/>
      </c>
      <c r="E25" s="62" t="n">
        <v>0.494</v>
      </c>
      <c r="F25" s="63">
        <f>IF(B25="","", IFERROR(INDEX(Rates_Master!$E:$E, MATCH(B25, Rates_Master!$A:$A, 0)), 0))</f>
        <v/>
      </c>
      <c r="G25" s="43">
        <f>IF(OR(B25="", E25=""), 0, ROUND(E25 * F25, 2))</f>
        <v/>
      </c>
      <c r="H25" s="143" t="inlineStr">
        <is>
          <t>Common burnt clay F.P.S. bricks class 7.5 (thousand)</t>
        </is>
      </c>
      <c r="I25" s="59" t="inlineStr"/>
    </row>
    <row r="26" ht="20" customHeight="1">
      <c r="A26" s="19" t="n">
        <v>2</v>
      </c>
      <c r="B26" s="59" t="inlineStr">
        <is>
          <t>2201</t>
        </is>
      </c>
      <c r="C26" s="81">
        <f>IF(B26="","", IFERROR(INDEX(Rates_Master!$C:$C, MATCH(B26, Rates_Master!$A:$A, 0)), "Custom / Intermediate Material"))</f>
        <v/>
      </c>
      <c r="D26" s="61">
        <f>IF(B26="","", IFERROR(INDEX(Rates_Master!$D:$D, MATCH(B26, Rates_Master!$A:$A, 0)), ""))</f>
        <v/>
      </c>
      <c r="E26" s="62" t="n">
        <v>0.494</v>
      </c>
      <c r="F26" s="63">
        <f>IF(B26="","", IFERROR(INDEX(Rates_Master!$E:$E, MATCH(B26, Rates_Master!$A:$A, 0)), 0))</f>
        <v/>
      </c>
      <c r="G26" s="43">
        <f>IF(OR(B26="", E26=""), 0, ROUND(E26 * F26, 2))</f>
        <v/>
      </c>
      <c r="H26" s="143" t="inlineStr">
        <is>
          <t>Carriage of Bricks (thousand)</t>
        </is>
      </c>
      <c r="I26" s="59" t="inlineStr"/>
    </row>
    <row r="27" ht="20" customHeight="1">
      <c r="A27" s="19" t="n">
        <v>3</v>
      </c>
      <c r="B27" s="59" t="inlineStr">
        <is>
          <t>03_Mortars</t>
        </is>
      </c>
      <c r="C27" s="81" t="inlineStr">
        <is>
          <t>Cement mortar 1:4 (Rate pulled from 03_Mortars builder or DAR Item 3.9)</t>
        </is>
      </c>
      <c r="D27" s="61" t="inlineStr">
        <is>
          <t>cum</t>
        </is>
      </c>
      <c r="E27" s="62" t="n">
        <v>0.25</v>
      </c>
      <c r="F27" s="63">
        <f>'03_Mortars'!G66</f>
        <v/>
      </c>
      <c r="G27" s="43">
        <f>IF(OR(B27="", E27=""), 0, ROUND(E27 * F27, 2))</f>
        <v/>
      </c>
      <c r="H27" s="143" t="inlineStr">
        <is>
          <t>Live link to 03_Mortars output rate</t>
        </is>
      </c>
      <c r="I27" s="59" t="inlineStr"/>
    </row>
    <row r="28" ht="20" customHeight="1">
      <c r="A28" s="19" t="n">
        <v>4</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3" t="inlineStr"/>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0123</t>
        </is>
      </c>
      <c r="C39" s="81">
        <f>IF(B39="","", IFERROR(INDEX(Rates_Master!$C:$C, MATCH(B39, Rates_Master!$A:$A, 0)), "Custom Labour / Plant"))</f>
        <v/>
      </c>
      <c r="D39" s="61">
        <f>IF(B39="","", IFERROR(INDEX(Rates_Master!$D:$D, MATCH(B39, Rates_Master!$A:$A, 0)), ""))</f>
        <v/>
      </c>
      <c r="E39" s="62" t="n">
        <v>0.36</v>
      </c>
      <c r="F39" s="63">
        <f>IF(B39="","", IFERROR(INDEX(Rates_Master!$E:$E, MATCH(B39, Rates_Master!$A:$A, 0)), 0))</f>
        <v/>
      </c>
      <c r="G39" s="43">
        <f>IF(OR(B39="", E39=""), 0, ROUND(E39 * F39, 2))</f>
        <v/>
      </c>
      <c r="H39" s="143" t="inlineStr">
        <is>
          <t>Mason (brick layer) 1st class</t>
        </is>
      </c>
      <c r="I39" s="6" t="inlineStr"/>
    </row>
    <row r="40" ht="20" customHeight="1">
      <c r="A40" s="19" t="n">
        <v>2</v>
      </c>
      <c r="B40" s="59" t="inlineStr">
        <is>
          <t>0124</t>
        </is>
      </c>
      <c r="C40" s="81">
        <f>IF(B40="","", IFERROR(INDEX(Rates_Master!$C:$C, MATCH(B40, Rates_Master!$A:$A, 0)), "Custom Labour / Plant"))</f>
        <v/>
      </c>
      <c r="D40" s="61">
        <f>IF(B40="","", IFERROR(INDEX(Rates_Master!$D:$D, MATCH(B40, Rates_Master!$A:$A, 0)), ""))</f>
        <v/>
      </c>
      <c r="E40" s="62" t="n">
        <v>0.36</v>
      </c>
      <c r="F40" s="63">
        <f>IF(B40="","", IFERROR(INDEX(Rates_Master!$E:$E, MATCH(B40, Rates_Master!$A:$A, 0)), 0))</f>
        <v/>
      </c>
      <c r="G40" s="43">
        <f>IF(OR(B40="", E40=""), 0, ROUND(E40 * F40, 2))</f>
        <v/>
      </c>
      <c r="H40" s="143" t="inlineStr">
        <is>
          <t>Mason (brick layer) 2nd class</t>
        </is>
      </c>
      <c r="I40" s="6" t="inlineStr"/>
    </row>
    <row r="41" ht="20" customHeight="1">
      <c r="A41" s="19" t="n">
        <v>3</v>
      </c>
      <c r="B41" s="59" t="inlineStr">
        <is>
          <t>0115</t>
        </is>
      </c>
      <c r="C41" s="81">
        <f>IF(B41="","", IFERROR(INDEX(Rates_Master!$C:$C, MATCH(B41, Rates_Master!$A:$A, 0)), "Custom Labour / Plant"))</f>
        <v/>
      </c>
      <c r="D41" s="61">
        <f>IF(B41="","", IFERROR(INDEX(Rates_Master!$D:$D, MATCH(B41, Rates_Master!$A:$A, 0)), ""))</f>
        <v/>
      </c>
      <c r="E41" s="62" t="n">
        <v>1.37</v>
      </c>
      <c r="F41" s="63">
        <f>IF(B41="","", IFERROR(INDEX(Rates_Master!$E:$E, MATCH(B41, Rates_Master!$A:$A, 0)), 0))</f>
        <v/>
      </c>
      <c r="G41" s="43">
        <f>IF(OR(B41="", E41=""), 0, ROUND(E41 * F41, 2))</f>
        <v/>
      </c>
      <c r="H41" s="143" t="inlineStr">
        <is>
          <t>Coolie</t>
        </is>
      </c>
      <c r="I41" s="6" t="inlineStr"/>
    </row>
    <row r="42" ht="20" customHeight="1">
      <c r="A42" s="19" t="n">
        <v>4</v>
      </c>
      <c r="B42" s="59" t="inlineStr">
        <is>
          <t>0101</t>
        </is>
      </c>
      <c r="C42" s="81">
        <f>IF(B42="","", IFERROR(INDEX(Rates_Master!$C:$C, MATCH(B42, Rates_Master!$A:$A, 0)), "Custom Labour / Plant"))</f>
        <v/>
      </c>
      <c r="D42" s="61">
        <f>IF(B42="","", IFERROR(INDEX(Rates_Master!$D:$D, MATCH(B42, Rates_Master!$A:$A, 0)), ""))</f>
        <v/>
      </c>
      <c r="E42" s="62" t="n">
        <v>0.2</v>
      </c>
      <c r="F42" s="63">
        <f>IF(B42="","", IFERROR(INDEX(Rates_Master!$E:$E, MATCH(B42, Rates_Master!$A:$A, 0)), 0))</f>
        <v/>
      </c>
      <c r="G42" s="43">
        <f>IF(OR(B42="", E42=""), 0, ROUND(E42 * F42, 2))</f>
        <v/>
      </c>
      <c r="H42" s="143" t="inlineStr">
        <is>
          <t>Bhisti</t>
        </is>
      </c>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2.73</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water charges on combined material and labour total.</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6.1.1</t>
        </is>
      </c>
      <c r="B72" s="149" t="inlineStr">
        <is>
          <t>Brick work class 7.5 in foundation and plinth in CM 1:4</t>
        </is>
      </c>
      <c r="C72" s="150" t="inlineStr">
        <is>
          <t>cum</t>
        </is>
      </c>
      <c r="D72" s="150" t="n">
        <v>1</v>
      </c>
      <c r="E72" s="151" t="n">
        <v>4765.73</v>
      </c>
      <c r="F72" s="150" t="inlineStr">
        <is>
          <t>Full W-&gt;X-&gt;Y-&gt;Z</t>
        </is>
      </c>
      <c r="G72" s="151" t="n">
        <v>6375.31</v>
      </c>
      <c r="H72" s="152" t="n">
        <v>6375.3</v>
      </c>
      <c r="I72" s="151" t="n"/>
    </row>
    <row r="73" ht="20" customHeight="1">
      <c r="A73" s="153" t="inlineStr">
        <is>
          <t>6.1.2</t>
        </is>
      </c>
      <c r="B73" s="154" t="inlineStr">
        <is>
          <t>Brick work class 7.5 in foundation and plinth in CM 1:6</t>
        </is>
      </c>
      <c r="C73" s="155" t="inlineStr">
        <is>
          <t>cum</t>
        </is>
      </c>
      <c r="D73" s="155" t="n">
        <v>1</v>
      </c>
      <c r="E73" s="156" t="n">
        <v>4539.06</v>
      </c>
      <c r="F73" s="155" t="inlineStr">
        <is>
          <t>Full W-&gt;X-&gt;Y-&gt;Z</t>
        </is>
      </c>
      <c r="G73" s="156" t="n">
        <v>6072.07</v>
      </c>
      <c r="H73" s="157" t="n">
        <v>6072.05</v>
      </c>
      <c r="I73" s="156" t="n"/>
    </row>
    <row r="74" ht="20" customHeight="1">
      <c r="A74" s="110" t="inlineStr">
        <is>
          <t>C-06.03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C-06.04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C-06.05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C-06.06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C-06.07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C-06.08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8"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9" showDropDown="0" showInputMessage="0" showErrorMessage="0" allowBlank="1" type="list">
      <formula1>"in foundation and plinth,in superstructure upto floor V level,in superstructure above floor V level"</formula1>
    </dataValidation>
    <dataValidation sqref="B10" showDropDown="0" showInputMessage="0" showErrorMessage="0" allowBlank="1" type="list">
      <formula1>"one brick thick and above,half brick thick (separate per-sqm item)"</formula1>
    </dataValidation>
    <dataValidation sqref="B11" showDropDown="0" showInputMessage="0" showErrorMessage="0" allowBlank="1" type="list">
      <formula1>"including curing,excluding curing"</formula1>
    </dataValidation>
    <dataValidation sqref="B12"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07: Random rubble and ashlar stone masonry. Consumes un-marked Mortar from 03_Mortars, quarry stone, bond stones, dressing labour, and masons.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Stone masonry type</t>
        </is>
      </c>
      <c r="B7" s="138" t="inlineStr">
        <is>
          <t>random rubble masonry</t>
        </is>
      </c>
      <c r="C7" s="30" t="inlineStr">
        <is>
          <t>DRIVES COST</t>
        </is>
      </c>
      <c r="D7" s="139" t="inlineStr">
        <is>
          <t>Labour rows</t>
        </is>
      </c>
      <c r="E7" s="24" t="inlineStr">
        <is>
          <t>The DAR prices random rubble, coursed rubble and ashlar as separate items with progressively higher mason coefficients for the extra dressing and coursing work.</t>
        </is>
      </c>
      <c r="F7" s="58" t="n"/>
      <c r="G7" s="58" t="n"/>
      <c r="H7" s="58" t="n"/>
      <c r="I7" s="58" t="n"/>
    </row>
    <row r="8" ht="32" customHeight="1">
      <c r="A8" s="137" t="inlineStr">
        <is>
          <t>Stone type</t>
        </is>
      </c>
      <c r="B8" s="138" t="inlineStr">
        <is>
          <t>stone for masonry (rubble)</t>
        </is>
      </c>
      <c r="C8" s="30" t="inlineStr">
        <is>
          <t>DRIVES COST</t>
        </is>
      </c>
      <c r="D8" s="139" t="inlineStr">
        <is>
          <t>Material row 1</t>
        </is>
      </c>
      <c r="E8" s="24" t="inlineStr">
        <is>
          <t>Different quarry stones carry different Rates_Master codes and rates; the stone line is the largest single component of a stone masonry item.</t>
        </is>
      </c>
      <c r="F8" s="58" t="n"/>
      <c r="G8" s="58" t="n"/>
      <c r="H8" s="58" t="n"/>
      <c r="I8" s="58" t="n"/>
    </row>
    <row r="9" ht="32" customHeight="1">
      <c r="A9" s="137" t="inlineStr">
        <is>
          <t>Mortar ratio</t>
        </is>
      </c>
      <c r="B9" s="138" t="inlineStr">
        <is>
          <t>cement mortar 1:6 (1 cement : 6 coarse sand)</t>
        </is>
      </c>
      <c r="C9" s="30" t="inlineStr">
        <is>
          <t>DRIVES COST</t>
        </is>
      </c>
      <c r="D9" s="139" t="inlineStr">
        <is>
          <t>Mortar import row</t>
        </is>
      </c>
      <c r="E9" s="24" t="inlineStr">
        <is>
          <t>As in Masonry, the mortar is imported from Sub-Head 03 at the printed ratio; changing the ratio changes the imported rate (item 3.9 vs 3.11 and so on).</t>
        </is>
      </c>
      <c r="F9" s="58" t="n"/>
      <c r="G9" s="58" t="n"/>
      <c r="H9" s="58" t="n"/>
      <c r="I9" s="58" t="n"/>
    </row>
    <row r="10" ht="32" customHeight="1">
      <c r="A10" s="137" t="inlineStr">
        <is>
          <t>Face dressing</t>
        </is>
      </c>
      <c r="B10" s="138" t="inlineStr">
        <is>
          <t>hammer dressed</t>
        </is>
      </c>
      <c r="C10" s="30" t="inlineStr">
        <is>
          <t>DRIVES COST</t>
        </is>
      </c>
      <c r="D10" s="139" t="inlineStr">
        <is>
          <t>Labour rows</t>
        </is>
      </c>
      <c r="E10" s="24" t="inlineStr">
        <is>
          <t>Dressing grade is delivered through the stone mason coefficient - a finer dressed face takes more mason days for the same volume, which is how the DAR differentiates its stone items.</t>
        </is>
      </c>
      <c r="F10" s="58" t="n"/>
      <c r="G10" s="58" t="n"/>
      <c r="H10" s="58" t="n"/>
      <c r="I10" s="58" t="n"/>
    </row>
    <row r="11" ht="32" customHeight="1">
      <c r="A11" s="137" t="inlineStr">
        <is>
          <t>Through / bond stones</t>
        </is>
      </c>
      <c r="B11" s="138" t="inlineStr">
        <is>
          <t>including through stones</t>
        </is>
      </c>
      <c r="C11" s="30" t="inlineStr">
        <is>
          <t>DRIVES COST</t>
        </is>
      </c>
      <c r="D11" s="139" t="inlineStr">
        <is>
          <t>Material row 3</t>
        </is>
      </c>
      <c r="E11" s="24" t="inlineStr">
        <is>
          <t>The DAR carries through or bond stone (code 0300) as its own material line inside stone masonry items, so including or omitting it is a costed choice.</t>
        </is>
      </c>
      <c r="F11" s="58" t="n"/>
      <c r="G11" s="58" t="n"/>
      <c r="H11" s="58" t="n"/>
      <c r="I11" s="58" t="n"/>
    </row>
    <row r="12" ht="32" customHeight="1">
      <c r="A12" s="137" t="inlineStr">
        <is>
          <t>Backing concrete</t>
        </is>
      </c>
      <c r="B12" s="138" t="inlineStr">
        <is>
          <t>not required</t>
        </is>
      </c>
      <c r="C12" s="49" t="inlineStr">
        <is>
          <t>USER-SUPPLIED COST</t>
        </is>
      </c>
      <c r="D12" s="139" t="inlineStr">
        <is>
          <t>Sundries row</t>
        </is>
      </c>
      <c r="E12" s="24" t="inlineStr">
        <is>
          <t>Some DAR stone items carry a "Cement concrete 1:6:12" style L.S. backing line. There is no single printed figure that applies generally, so enter the allowance yourself.</t>
        </is>
      </c>
      <c r="F12" s="58" t="n"/>
      <c r="G12" s="58" t="n"/>
      <c r="H12" s="58" t="n"/>
      <c r="I12" s="58" t="n"/>
    </row>
    <row r="13" ht="22" customHeight="1">
      <c r="A13" s="16" t="inlineStr">
        <is>
          <t>Custom Item Code:</t>
        </is>
      </c>
      <c r="B13" s="59" t="inlineStr">
        <is>
          <t>C-07.01</t>
        </is>
      </c>
      <c r="C13" s="16" t="inlineStr">
        <is>
          <t>Batch Output Basis:</t>
        </is>
      </c>
      <c r="D13" s="94" t="n">
        <v>1</v>
      </c>
      <c r="E13" s="16" t="inlineStr">
        <is>
          <t>Output Unit:</t>
        </is>
      </c>
      <c r="F13" s="59" t="inlineStr">
        <is>
          <t>cum</t>
        </is>
      </c>
      <c r="G13" s="16" t="inlineStr">
        <is>
          <t>Trade Sub-Head:</t>
        </is>
      </c>
      <c r="H13" s="35" t="inlineStr">
        <is>
          <t>07 Stone Work</t>
        </is>
      </c>
      <c r="I13" s="66" t="inlineStr">
        <is>
          <t>Output Unit Note:</t>
        </is>
      </c>
    </row>
    <row r="14" ht="40" customHeight="1">
      <c r="A14" s="16" t="inlineStr">
        <is>
          <t>Assembled Item Nomenclature:</t>
        </is>
      </c>
      <c r="B14" s="140">
        <f>IF(I14&lt;&gt;"", I14, "Stone work -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Stone consumption</t>
        </is>
      </c>
      <c r="B17" s="158" t="n">
        <v>1.05</v>
      </c>
      <c r="C17" s="19" t="inlineStr">
        <is>
          <t>cum / cum</t>
        </is>
      </c>
      <c r="D17" s="139" t="inlineStr">
        <is>
          <t>Material row 1</t>
        </is>
      </c>
      <c r="E17" s="24" t="inlineStr">
        <is>
          <t>Quarry stone is measured loose against finished masonry volume; the DAR builds the difference into the printed coefficient.</t>
        </is>
      </c>
      <c r="F17" s="58" t="n"/>
      <c r="G17" s="58" t="n"/>
      <c r="H17" s="58" t="n"/>
      <c r="I17" s="58" t="n"/>
    </row>
    <row r="18" ht="30" customHeight="1">
      <c r="A18" s="137" t="inlineStr">
        <is>
          <t>Mortar consumption</t>
        </is>
      </c>
      <c r="B18" s="158" t="n">
        <v>0.34</v>
      </c>
      <c r="C18" s="19" t="inlineStr">
        <is>
          <t>cum / cum</t>
        </is>
      </c>
      <c r="D18" s="139" t="inlineStr">
        <is>
          <t>Mortar import row</t>
        </is>
      </c>
      <c r="E18" s="24" t="inlineStr">
        <is>
          <t>Rubble masonry takes a larger mortar fraction than brickwork because of the irregular voids.</t>
        </is>
      </c>
      <c r="F18" s="58" t="n"/>
      <c r="G18" s="58" t="n"/>
      <c r="H18" s="58" t="n"/>
      <c r="I18" s="58" t="n"/>
    </row>
    <row r="19" ht="30" customHeight="1">
      <c r="A19" s="137" t="inlineStr">
        <is>
          <t>Through stone spacing</t>
        </is>
      </c>
      <c r="B19" s="94" t="n">
        <v>1.5</v>
      </c>
      <c r="C19" s="19" t="inlineStr">
        <is>
          <t>m</t>
        </is>
      </c>
      <c r="D19" s="139" t="inlineStr">
        <is>
          <t>Material row 3</t>
        </is>
      </c>
      <c r="E19" s="24" t="inlineStr">
        <is>
          <t>Through stones are specified at a spacing, which converts to the bond stone quantity on the material row.</t>
        </is>
      </c>
      <c r="F19" s="58" t="n"/>
      <c r="G19" s="58" t="n"/>
      <c r="H19" s="58" t="n"/>
      <c r="I19" s="58" t="n"/>
    </row>
    <row r="20" ht="30" customHeight="1">
      <c r="A20" s="137" t="inlineStr">
        <is>
          <t>Scaffolding allowance</t>
        </is>
      </c>
      <c r="B20" s="94" t="n">
        <v>0</v>
      </c>
      <c r="C20" s="19" t="inlineStr">
        <is>
          <t>Rs L.S.</t>
        </is>
      </c>
      <c r="D20" s="139" t="inlineStr">
        <is>
          <t>Sundries row</t>
        </is>
      </c>
      <c r="E20" s="24" t="inlineStr">
        <is>
          <t>Enter an amount if the work is above scaffolding height, and mirror it on the Sundries row.</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0299</t>
        </is>
      </c>
      <c r="C25" s="81">
        <f>IF(B25="","", IFERROR(INDEX(Rates_Master!$C:$C, MATCH(B25, Rates_Master!$A:$A, 0)), "Custom / Intermediate Material"))</f>
        <v/>
      </c>
      <c r="D25" s="61">
        <f>IF(B25="","", IFERROR(INDEX(Rates_Master!$D:$D, MATCH(B25, Rates_Master!$A:$A, 0)), ""))</f>
        <v/>
      </c>
      <c r="E25" s="62" t="n">
        <v>1</v>
      </c>
      <c r="F25" s="63">
        <f>IF(B25="","", IFERROR(INDEX(Rates_Master!$E:$E, MATCH(B25, Rates_Master!$A:$A, 0)), 0))</f>
        <v/>
      </c>
      <c r="G25" s="43">
        <f>IF(OR(B25="", E25=""), 0, ROUND(E25 * F25, 2))</f>
        <v/>
      </c>
      <c r="H25" s="143" t="inlineStr">
        <is>
          <t>Stone for masonry (rubble)</t>
        </is>
      </c>
      <c r="I25" s="59" t="inlineStr"/>
    </row>
    <row r="26" ht="20" customHeight="1">
      <c r="A26" s="19" t="n">
        <v>2</v>
      </c>
      <c r="B26" s="59" t="inlineStr">
        <is>
          <t>2202</t>
        </is>
      </c>
      <c r="C26" s="81">
        <f>IF(B26="","", IFERROR(INDEX(Rates_Master!$C:$C, MATCH(B26, Rates_Master!$A:$A, 0)), "Custom / Intermediate Material"))</f>
        <v/>
      </c>
      <c r="D26" s="61">
        <f>IF(B26="","", IFERROR(INDEX(Rates_Master!$D:$D, MATCH(B26, Rates_Master!$A:$A, 0)), ""))</f>
        <v/>
      </c>
      <c r="E26" s="62" t="n">
        <v>1</v>
      </c>
      <c r="F26" s="63">
        <f>IF(B26="","", IFERROR(INDEX(Rates_Master!$E:$E, MATCH(B26, Rates_Master!$A:$A, 0)), 0))</f>
        <v/>
      </c>
      <c r="G26" s="43">
        <f>IF(OR(B26="", E26=""), 0, ROUND(E26 * F26, 2))</f>
        <v/>
      </c>
      <c r="H26" s="143" t="inlineStr">
        <is>
          <t>Carriage of Stone</t>
        </is>
      </c>
      <c r="I26" s="59" t="inlineStr"/>
    </row>
    <row r="27" ht="20" customHeight="1">
      <c r="A27" s="19" t="n">
        <v>3</v>
      </c>
      <c r="B27" s="59" t="inlineStr">
        <is>
          <t>0300</t>
        </is>
      </c>
      <c r="C27" s="81">
        <f>IF(B27="","", IFERROR(INDEX(Rates_Master!$C:$C, MATCH(B27, Rates_Master!$A:$A, 0)), "Custom / Intermediate Material"))</f>
        <v/>
      </c>
      <c r="D27" s="61">
        <f>IF(B27="","", IFERROR(INDEX(Rates_Master!$D:$D, MATCH(B27, Rates_Master!$A:$A, 0)), ""))</f>
        <v/>
      </c>
      <c r="E27" s="62" t="n">
        <v>0.1</v>
      </c>
      <c r="F27" s="63">
        <f>IF(B27="","", IFERROR(INDEX(Rates_Master!$E:$E, MATCH(B27, Rates_Master!$A:$A, 0)), 0))</f>
        <v/>
      </c>
      <c r="G27" s="43">
        <f>IF(OR(B27="", E27=""), 0, ROUND(E27 * F27, 2))</f>
        <v/>
      </c>
      <c r="H27" s="143" t="inlineStr">
        <is>
          <t>Through or bond stone</t>
        </is>
      </c>
      <c r="I27" s="59" t="inlineStr"/>
    </row>
    <row r="28" ht="20" customHeight="1">
      <c r="A28" s="19" t="n">
        <v>4</v>
      </c>
      <c r="B28" s="59" t="inlineStr">
        <is>
          <t>03_Mortars</t>
        </is>
      </c>
      <c r="C28" s="81" t="inlineStr">
        <is>
          <t>Cement mortar 1:6 (Rate from 03_Mortars or DAR 3.11)</t>
        </is>
      </c>
      <c r="D28" s="61" t="inlineStr">
        <is>
          <t>cum</t>
        </is>
      </c>
      <c r="E28" s="62" t="n">
        <v>0.3</v>
      </c>
      <c r="F28" s="63">
        <f>'03_Mortars'!G66</f>
        <v/>
      </c>
      <c r="G28" s="43">
        <f>IF(OR(B28="", E28=""), 0, ROUND(E28 * F28, 2))</f>
        <v/>
      </c>
      <c r="H28" s="143" t="inlineStr">
        <is>
          <t>Mortar bedding rate</t>
        </is>
      </c>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0.7</v>
      </c>
      <c r="F39" s="63">
        <f>IF(B39="","", IFERROR(INDEX(Rates_Master!$E:$E, MATCH(B39, Rates_Master!$A:$A, 0)), 0))</f>
        <v/>
      </c>
      <c r="G39" s="43">
        <f>IF(OR(B39="", E39=""), 0, ROUND(E39 * F39, 2))</f>
        <v/>
      </c>
      <c r="H39" s="143" t="inlineStr">
        <is>
          <t>Stone Mason (average)</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1.4</v>
      </c>
      <c r="F40" s="63">
        <f>IF(B40="","", IFERROR(INDEX(Rates_Master!$E:$E, MATCH(B40, Rates_Master!$A:$A, 0)), 0))</f>
        <v/>
      </c>
      <c r="G40" s="43">
        <f>IF(OR(B40="", E40=""), 0, ROUND(E40 * F40, 2))</f>
        <v/>
      </c>
      <c r="H40" s="143" t="inlineStr">
        <is>
          <t>Coolie</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0.2</v>
      </c>
      <c r="F41" s="63">
        <f>IF(B41="","", IFERROR(INDEX(Rates_Master!$E:$E, MATCH(B41, Rates_Master!$A:$A, 0)), 0))</f>
        <v/>
      </c>
      <c r="G41" s="43">
        <f>IF(OR(B41="", E41=""), 0, ROUND(E41 * F41, 2))</f>
        <v/>
      </c>
      <c r="H41" s="143" t="inlineStr">
        <is>
          <t>Bhisti</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3.5</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7.1.1</t>
        </is>
      </c>
      <c r="B72" s="149" t="inlineStr">
        <is>
          <t>Random rubble masonry with hard stone in CM 1:6 in foundation and plinth</t>
        </is>
      </c>
      <c r="C72" s="150" t="inlineStr">
        <is>
          <t>cum</t>
        </is>
      </c>
      <c r="D72" s="150" t="n">
        <v>1</v>
      </c>
      <c r="E72" s="151" t="n">
        <v>4150.2</v>
      </c>
      <c r="F72" s="150" t="inlineStr">
        <is>
          <t>Full W-&gt;X-&gt;Y-&gt;Z</t>
        </is>
      </c>
      <c r="G72" s="151" t="n">
        <v>5552</v>
      </c>
      <c r="H72" s="152" t="n">
        <v>5552</v>
      </c>
      <c r="I72" s="151" t="n"/>
    </row>
    <row r="73" ht="20" customHeight="1">
      <c r="A73" s="153" t="inlineStr">
        <is>
          <t>C-07.02</t>
        </is>
      </c>
      <c r="B73" s="154" t="inlineStr">
        <is>
          <t>(Available for new custom item)</t>
        </is>
      </c>
      <c r="C73" s="155" t="inlineStr">
        <is>
          <t>cum</t>
        </is>
      </c>
      <c r="D73" s="155" t="n">
        <v>1</v>
      </c>
      <c r="E73" s="156" t="n"/>
      <c r="F73" s="155" t="inlineStr">
        <is>
          <t>Full W-&gt;X-&gt;Y-&gt;Z</t>
        </is>
      </c>
      <c r="G73" s="156" t="n"/>
      <c r="H73" s="157" t="n"/>
      <c r="I73" s="156" t="n"/>
    </row>
    <row r="74" ht="20" customHeight="1">
      <c r="A74" s="110" t="inlineStr">
        <is>
          <t>C-07.03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C-07.04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C-07.05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C-07.06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C-07.07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C-07.08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"random rubble masonry,coursed rubble masonry (first sort),coursed rubble masonry (second sort),ashlar masonry"</formula1>
    </dataValidation>
    <dataValidation sqref="B8" showDropDown="0" showInputMessage="0" showErrorMessage="0" allowBlank="1" type="list">
      <formula1>"stone for masonry (rubble),sand stone,granite,quartzite,lime stone"</formula1>
    </dataValidation>
    <dataValidation sqref="B9" showDropDown="0" showInputMessage="0" showErrorMessage="0" allowBlank="1" type="list">
      <formula1>"cement mortar 1:3 (1 cement : 3 coarse sand),cement mortar 1:4 (1 cement : 4 coarse sand),cement mortar 1:6 (1 cement : 6 coarse sand),lime mortar"</formula1>
    </dataValidation>
    <dataValidation sqref="B10" showDropDown="0" showInputMessage="0" showErrorMessage="0" allowBlank="1" type="list">
      <formula1>"undressed,hammer dressed,chisel dressed,fine dressed / polished"</formula1>
    </dataValidation>
    <dataValidation sqref="B11" showDropDown="0" showInputMessage="0" showErrorMessage="0" allowBlank="1" type="list">
      <formula1>"including through stones,without through stones"</formula1>
    </dataValidation>
    <dataValidation sqref="B12"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08: Stone and marble veneer cladding. Incorporates bedding mortar and pointing mortar lines, slab cutting/wastage, scaffolding, and stone masons.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Slab area band</t>
        </is>
      </c>
      <c r="B7" s="138" t="inlineStr">
        <is>
          <t>area of slab over 0.50 sqm</t>
        </is>
      </c>
      <c r="C7" s="30" t="inlineStr">
        <is>
          <t>DRIVES COST</t>
        </is>
      </c>
      <c r="D7" s="139" t="inlineStr">
        <is>
          <t>Batch basis</t>
        </is>
      </c>
      <c r="E7" s="24" t="inlineStr">
        <is>
          <t>This is the dominant cost dimension in Sub-Head 08. DAR 8.1.1.1 (slab area upto 0.50 sqm) is analysed for 0.50 sqm and 8.1.1.2 (over 0.50 sqm) for 1.00 sqm, and the two print materially different rates for the same stone.</t>
        </is>
      </c>
      <c r="F7" s="58" t="n"/>
      <c r="G7" s="58" t="n"/>
      <c r="H7" s="58" t="n"/>
      <c r="I7" s="58" t="n"/>
    </row>
    <row r="8" ht="32" customHeight="1">
      <c r="A8" s="137" t="inlineStr">
        <is>
          <t>Stone / marble type</t>
        </is>
      </c>
      <c r="B8" s="138" t="inlineStr">
        <is>
          <t>Raj Nagar plain white marble</t>
        </is>
      </c>
      <c r="C8" s="30" t="inlineStr">
        <is>
          <t>DRIVES COST</t>
        </is>
      </c>
      <c r="D8" s="139" t="inlineStr">
        <is>
          <t>Material row 1</t>
        </is>
      </c>
      <c r="E8" s="24" t="inlineStr">
        <is>
          <t>DAR 8.1.1 and 8.2.1 list the marble variety explicitly (Raj Nagar plain white / Udaipur green / Zebra black), each a different Rates_Master code and rate.</t>
        </is>
      </c>
      <c r="F8" s="58" t="n"/>
      <c r="G8" s="58" t="n"/>
      <c r="H8" s="58" t="n"/>
      <c r="I8" s="58" t="n"/>
    </row>
    <row r="9" ht="32" customHeight="1">
      <c r="A9" s="137" t="inlineStr">
        <is>
          <t>Bedding mortar ratio</t>
        </is>
      </c>
      <c r="B9" s="138" t="inlineStr">
        <is>
          <t>cement mortar 1:3 (1 cement : 3 coarse sand)</t>
        </is>
      </c>
      <c r="C9" s="30" t="inlineStr">
        <is>
          <t>DRIVES COST</t>
        </is>
      </c>
      <c r="D9" s="139" t="inlineStr">
        <is>
          <t>Bedding mortar row</t>
        </is>
      </c>
      <c r="E9" s="24" t="inlineStr">
        <is>
          <t>DAR 8.1.1.1 imports Mortar item 3.8 (1:3 coarse sand) as the bedding mortar line.</t>
        </is>
      </c>
      <c r="F9" s="58" t="n"/>
      <c r="G9" s="58" t="n"/>
      <c r="H9" s="58" t="n"/>
      <c r="I9" s="58" t="n"/>
    </row>
    <row r="10" ht="32" customHeight="1">
      <c r="A10" s="137" t="inlineStr">
        <is>
          <t>Pointing mortar</t>
        </is>
      </c>
      <c r="B10" s="138" t="inlineStr">
        <is>
          <t>white cement mortar 1:2 (1 white cement : 2 marble dust)</t>
        </is>
      </c>
      <c r="C10" s="30" t="inlineStr">
        <is>
          <t>DRIVES COST</t>
        </is>
      </c>
      <c r="D10" s="139" t="inlineStr">
        <is>
          <t>Pointing mortar row</t>
        </is>
      </c>
      <c r="E10" s="24" t="inlineStr">
        <is>
          <t>DAR 8.1.1.1 imports a SECOND mortar - item 3.15, white cement 1:2 with marble dust - for pointing, alongside the bedding mortar. Both lines are priced in the same item.</t>
        </is>
      </c>
      <c r="F10" s="58" t="n"/>
      <c r="G10" s="58" t="n"/>
      <c r="H10" s="58" t="n"/>
      <c r="I10" s="58" t="n"/>
    </row>
    <row r="11" ht="32" customHeight="1">
      <c r="A11" s="137" t="inlineStr">
        <is>
          <t>Slab thickness and finish</t>
        </is>
      </c>
      <c r="B11" s="138" t="inlineStr">
        <is>
          <t>18 mm gang saw cut, mirror polished</t>
        </is>
      </c>
      <c r="C11" s="30" t="inlineStr">
        <is>
          <t>DRIVES COST</t>
        </is>
      </c>
      <c r="D11" s="139" t="inlineStr">
        <is>
          <t>Material row 1</t>
        </is>
      </c>
      <c r="E11" s="24" t="inlineStr">
        <is>
          <t>DAR 8.1 (gang saw cut, polished and machine cut) and 8.2 (premoulded and prepolished) are separate items at different rates for the same 18 mm thickness.</t>
        </is>
      </c>
      <c r="F11" s="58" t="n"/>
      <c r="G11" s="58" t="n"/>
      <c r="H11" s="58" t="n"/>
      <c r="I11" s="58" t="n"/>
    </row>
    <row r="12" ht="32" customHeight="1">
      <c r="A12" s="137" t="inlineStr">
        <is>
          <t>Chase cutting for concealed fixings</t>
        </is>
      </c>
      <c r="B12" s="138" t="inlineStr">
        <is>
          <t>not required</t>
        </is>
      </c>
      <c r="C12" s="30" t="inlineStr">
        <is>
          <t>DRIVES COST</t>
        </is>
      </c>
      <c r="D12" s="139" t="inlineStr">
        <is>
          <t>Resolved 18.78 row</t>
        </is>
      </c>
      <c r="E12" s="24" t="inlineStr">
        <is>
          <t>Where the specification requires chases in the wall, the rate is DAR item 18.78 (Water Supply), resolved on the Resolved_Cross_Volume_Items sheet at Rs 154.15 per metre and imported here as an A-tagged line.</t>
        </is>
      </c>
      <c r="F12" s="58" t="n"/>
      <c r="G12" s="58" t="n"/>
      <c r="H12" s="58" t="n"/>
      <c r="I12" s="58" t="n"/>
    </row>
    <row r="13" ht="22" customHeight="1">
      <c r="A13" s="16" t="inlineStr">
        <is>
          <t>Custom Item Code:</t>
        </is>
      </c>
      <c r="B13" s="59" t="inlineStr">
        <is>
          <t>C-08.01</t>
        </is>
      </c>
      <c r="C13" s="16" t="inlineStr">
        <is>
          <t>Batch Output Basis:</t>
        </is>
      </c>
      <c r="D13" s="94" t="n">
        <v>10</v>
      </c>
      <c r="E13" s="16" t="inlineStr">
        <is>
          <t>Output Unit:</t>
        </is>
      </c>
      <c r="F13" s="59" t="inlineStr">
        <is>
          <t>sqm</t>
        </is>
      </c>
      <c r="G13" s="16" t="inlineStr">
        <is>
          <t>Trade Sub-Head:</t>
        </is>
      </c>
      <c r="H13" s="35" t="inlineStr">
        <is>
          <t>08 Cladding Work</t>
        </is>
      </c>
      <c r="I13" s="66" t="inlineStr">
        <is>
          <t>Output Unit Note:</t>
        </is>
      </c>
    </row>
    <row r="14" ht="40" customHeight="1">
      <c r="A14" s="16" t="inlineStr">
        <is>
          <t>Assembled Item Nomenclature:</t>
        </is>
      </c>
      <c r="B14" s="140">
        <f>IF(I14&lt;&gt;"", I14, "Stone / marble cladding -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Cutting and wastage allowance</t>
        </is>
      </c>
      <c r="B17" s="94" t="n">
        <v>5</v>
      </c>
      <c r="C17" s="19" t="inlineStr">
        <is>
          <t>%</t>
        </is>
      </c>
      <c r="D17" s="139" t="inlineStr">
        <is>
          <t>Material row 1</t>
        </is>
      </c>
      <c r="E17" s="24" t="inlineStr">
        <is>
          <t>DAR 8.1.1.1 states "Add for wastage" inline on the stone line. 5% is the common printed figure; change it if your slab schedule justifies more.</t>
        </is>
      </c>
      <c r="F17" s="58" t="n"/>
      <c r="G17" s="58" t="n"/>
      <c r="H17" s="58" t="n"/>
      <c r="I17" s="58" t="n"/>
    </row>
    <row r="18" ht="30" customHeight="1">
      <c r="A18" s="137" t="inlineStr">
        <is>
          <t>Bedding mortar thickness</t>
        </is>
      </c>
      <c r="B18" s="94" t="n">
        <v>12</v>
      </c>
      <c r="C18" s="19" t="inlineStr">
        <is>
          <t>mm</t>
        </is>
      </c>
      <c r="D18" s="139" t="inlineStr">
        <is>
          <t>Bedding mortar row</t>
        </is>
      </c>
      <c r="E18" s="24" t="inlineStr">
        <is>
          <t>Converts to the bedding mortar volume per sqm of cladding.</t>
        </is>
      </c>
      <c r="F18" s="58" t="n"/>
      <c r="G18" s="58" t="n"/>
      <c r="H18" s="58" t="n"/>
      <c r="I18" s="58" t="n"/>
    </row>
    <row r="19" ht="30" customHeight="1">
      <c r="A19" s="137" t="inlineStr">
        <is>
          <t>Chase length per sqm</t>
        </is>
      </c>
      <c r="B19" s="158" t="n">
        <v>0</v>
      </c>
      <c r="C19" s="19" t="inlineStr">
        <is>
          <t>metre / sqm</t>
        </is>
      </c>
      <c r="D19" s="139" t="inlineStr">
        <is>
          <t>Resolved 18.78 row</t>
        </is>
      </c>
      <c r="E19" s="24" t="inlineStr">
        <is>
          <t>Multiply by the resolved 18.78 rate. Leave at 0 when no chase cutting is required.</t>
        </is>
      </c>
      <c r="F19" s="58" t="n"/>
      <c r="G19" s="58" t="n"/>
      <c r="H19" s="58" t="n"/>
      <c r="I19" s="58" t="n"/>
    </row>
    <row r="20" ht="30" customHeight="1">
      <c r="A20" s="137" t="inlineStr">
        <is>
          <t>Scaffolding allowance</t>
        </is>
      </c>
      <c r="B20" s="94" t="n">
        <v>0</v>
      </c>
      <c r="C20" s="19" t="inlineStr">
        <is>
          <t>Rs L.S.</t>
        </is>
      </c>
      <c r="D20" s="139" t="inlineStr">
        <is>
          <t>Sundries row</t>
        </is>
      </c>
      <c r="E20" s="24" t="inlineStr">
        <is>
          <t>Cladding above scaffolding height needs an access allowance; the DAR carries it as an L.S. line rather than a percentage.</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0308</t>
        </is>
      </c>
      <c r="C25" s="81">
        <f>IF(B25="","", IFERROR(INDEX(Rates_Master!$C:$C, MATCH(B25, Rates_Master!$A:$A, 0)), "Custom / Intermediate Material"))</f>
        <v/>
      </c>
      <c r="D25" s="61">
        <f>IF(B25="","", IFERROR(INDEX(Rates_Master!$D:$D, MATCH(B25, Rates_Master!$A:$A, 0)), ""))</f>
        <v/>
      </c>
      <c r="E25" s="62" t="n">
        <v>10.5</v>
      </c>
      <c r="F25" s="63">
        <f>IF(B25="","", IFERROR(INDEX(Rates_Master!$E:$E, MATCH(B25, Rates_Master!$A:$A, 0)), 0))</f>
        <v/>
      </c>
      <c r="G25" s="43">
        <f>IF(OR(B25="", E25=""), 0, ROUND(E25 * F25, 2))</f>
        <v/>
      </c>
      <c r="H25" s="143" t="inlineStr">
        <is>
          <t>Red sand stone slab 30mm thick (with 5% cutting wastage)</t>
        </is>
      </c>
      <c r="I25" s="59" t="inlineStr"/>
    </row>
    <row r="26" ht="20" customHeight="1">
      <c r="A26" s="19" t="n">
        <v>2</v>
      </c>
      <c r="B26" s="59" t="inlineStr">
        <is>
          <t>2202</t>
        </is>
      </c>
      <c r="C26" s="81">
        <f>IF(B26="","", IFERROR(INDEX(Rates_Master!$C:$C, MATCH(B26, Rates_Master!$A:$A, 0)), "Custom / Intermediate Material"))</f>
        <v/>
      </c>
      <c r="D26" s="61">
        <f>IF(B26="","", IFERROR(INDEX(Rates_Master!$D:$D, MATCH(B26, Rates_Master!$A:$A, 0)), ""))</f>
        <v/>
      </c>
      <c r="E26" s="62" t="n">
        <v>0.315</v>
      </c>
      <c r="F26" s="63">
        <f>IF(B26="","", IFERROR(INDEX(Rates_Master!$E:$E, MATCH(B26, Rates_Master!$A:$A, 0)), 0))</f>
        <v/>
      </c>
      <c r="G26" s="43">
        <f>IF(OR(B26="", E26=""), 0, ROUND(E26 * F26, 2))</f>
        <v/>
      </c>
      <c r="H26" s="143" t="inlineStr">
        <is>
          <t>Carriage of Stone slabs</t>
        </is>
      </c>
      <c r="I26" s="59" t="inlineStr"/>
    </row>
    <row r="27" ht="20" customHeight="1">
      <c r="A27" s="19" t="n">
        <v>3</v>
      </c>
      <c r="B27" s="59" t="inlineStr">
        <is>
          <t>03_Mortars</t>
        </is>
      </c>
      <c r="C27" s="81" t="inlineStr">
        <is>
          <t>Cement mortar 1:3 (Bedding mortar from 03_Mortars or DAR 3.3)</t>
        </is>
      </c>
      <c r="D27" s="61" t="inlineStr">
        <is>
          <t>cum</t>
        </is>
      </c>
      <c r="E27" s="62" t="n">
        <v>0.2</v>
      </c>
      <c r="F27" s="63">
        <f>'03_Mortars'!G66</f>
        <v/>
      </c>
      <c r="G27" s="43">
        <f>IF(OR(B27="", E27=""), 0, ROUND(E27 * F27, 2))</f>
        <v/>
      </c>
      <c r="H27" s="143" t="inlineStr">
        <is>
          <t>Bedding mortar</t>
        </is>
      </c>
      <c r="I27" s="59" t="inlineStr"/>
    </row>
    <row r="28" ht="20" customHeight="1">
      <c r="A28" s="19" t="n">
        <v>4</v>
      </c>
      <c r="B28" s="59" t="inlineStr">
        <is>
          <t>3.15</t>
        </is>
      </c>
      <c r="C28" s="81" t="inlineStr">
        <is>
          <t>White cement mortar 1:2 (1 white cement : 2 marble dust) - pointing mortar, rate from 03_Mortars or DAR item 3.15</t>
        </is>
      </c>
      <c r="D28" s="61" t="inlineStr">
        <is>
          <t>cum</t>
        </is>
      </c>
      <c r="E28" s="62" t="n">
        <v>0.004</v>
      </c>
      <c r="F28" s="63">
        <f>'03_Mortars'!G66</f>
        <v/>
      </c>
      <c r="G28" s="43">
        <f>IF(OR(B28="", E28=""), 0, ROUND(E28 * F28, 2))</f>
        <v/>
      </c>
      <c r="H28" s="143" t="inlineStr">
        <is>
          <t>Second mortar line. DAR 8.1.1.1 imports BOTH item 3.8 (bedding) and item 3.15 (white cement pointing) in the same cladding item. Not A-tagged: Mortars carry no markups.</t>
        </is>
      </c>
      <c r="I28" s="59" t="inlineStr"/>
    </row>
    <row r="29" ht="20" customHeight="1">
      <c r="A29" s="19" t="n">
        <v>5</v>
      </c>
      <c r="B29" s="59" t="inlineStr">
        <is>
          <t>18.78</t>
        </is>
      </c>
      <c r="C29" s="81" t="inlineStr">
        <is>
          <t>Making chases upto 7.5 x 7.5 cm in walls including making good (DAR 18.78, Water Supply)</t>
        </is>
      </c>
      <c r="D29" s="61" t="inlineStr">
        <is>
          <t>metre</t>
        </is>
      </c>
      <c r="E29" s="62" t="n">
        <v>0</v>
      </c>
      <c r="F29" s="63">
        <f>XV_18_78</f>
        <v/>
      </c>
      <c r="G29" s="43">
        <f>IF(OR(B29="", E29=""), 0, ROUND(E29 * F29, 2))</f>
        <v/>
      </c>
      <c r="H29" s="143" t="inlineStr">
        <is>
          <t>Resolved on Resolved_Cross_Volume_Items from WB1 data only (Rs 154.15 per metre). A-tagged: the rate already includes Water, GST, CPOH and Cess, so it is excluded from every markup base. Set the coefficient from the "Chase length per sqm" driver in Panel 2.</t>
        </is>
      </c>
      <c r="I29" s="159" t="inlineStr">
        <is>
          <t>A</t>
        </is>
      </c>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1.5</v>
      </c>
      <c r="F39" s="63">
        <f>IF(B39="","", IFERROR(INDEX(Rates_Master!$E:$E, MATCH(B39, Rates_Master!$A:$A, 0)), 0))</f>
        <v/>
      </c>
      <c r="G39" s="43">
        <f>IF(OR(B39="", E39=""), 0, ROUND(E39 * F39, 2))</f>
        <v/>
      </c>
      <c r="H39" s="143" t="inlineStr">
        <is>
          <t>Stone Mason (fixing &amp; pointing)</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1.8</v>
      </c>
      <c r="F40" s="63">
        <f>IF(B40="","", IFERROR(INDEX(Rates_Master!$E:$E, MATCH(B40, Rates_Master!$A:$A, 0)), 0))</f>
        <v/>
      </c>
      <c r="G40" s="43">
        <f>IF(OR(B40="", E40=""), 0, ROUND(E40 * F40, 2))</f>
        <v/>
      </c>
      <c r="H40" s="143" t="inlineStr">
        <is>
          <t>Coolie</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0.3</v>
      </c>
      <c r="F41" s="63">
        <f>IF(B41="","", IFERROR(INDEX(Rates_Master!$E:$E, MATCH(B41, Rates_Master!$A:$A, 0)), 0))</f>
        <v/>
      </c>
      <c r="G41" s="43">
        <f>IF(OR(B41="", E41=""), 0, ROUND(E41 * F41, 2))</f>
        <v/>
      </c>
      <c r="H41" s="143" t="inlineStr">
        <is>
          <t>Bhisti</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12</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8.1.1</t>
        </is>
      </c>
      <c r="B72" s="149" t="inlineStr">
        <is>
          <t>Red sand stone cladding 30mm thick with backing mortar</t>
        </is>
      </c>
      <c r="C72" s="150" t="inlineStr">
        <is>
          <t>sqm</t>
        </is>
      </c>
      <c r="D72" s="150" t="n">
        <v>10</v>
      </c>
      <c r="E72" s="151" t="n">
        <v>11250</v>
      </c>
      <c r="F72" s="150" t="inlineStr">
        <is>
          <t>Full W-&gt;X-&gt;Y-&gt;Z</t>
        </is>
      </c>
      <c r="G72" s="151" t="n">
        <v>1505.2</v>
      </c>
      <c r="H72" s="152" t="n">
        <v>1505.2</v>
      </c>
      <c r="I72" s="151" t="n"/>
    </row>
    <row r="73" ht="20" customHeight="1">
      <c r="A73" s="153" t="inlineStr">
        <is>
          <t>C-08.02</t>
        </is>
      </c>
      <c r="B73" s="154" t="inlineStr">
        <is>
          <t>(Available for new custom item)</t>
        </is>
      </c>
      <c r="C73" s="155" t="inlineStr">
        <is>
          <t>sqm</t>
        </is>
      </c>
      <c r="D73" s="155" t="n">
        <v>10</v>
      </c>
      <c r="E73" s="156" t="n"/>
      <c r="F73" s="155" t="inlineStr">
        <is>
          <t>Full W-&gt;X-&gt;Y-&gt;Z</t>
        </is>
      </c>
      <c r="G73" s="156" t="n"/>
      <c r="H73" s="157" t="n"/>
      <c r="I73" s="156" t="n"/>
    </row>
    <row r="74" ht="20" customHeight="1">
      <c r="A74" s="110" t="inlineStr">
        <is>
          <t>C-08.03</t>
        </is>
      </c>
      <c r="B74" s="149" t="inlineStr">
        <is>
          <t>(Available for new custom item)</t>
        </is>
      </c>
      <c r="C74" s="150" t="inlineStr">
        <is>
          <t>sqm</t>
        </is>
      </c>
      <c r="D74" s="150" t="n">
        <v>10</v>
      </c>
      <c r="E74" s="151" t="n"/>
      <c r="F74" s="150" t="inlineStr">
        <is>
          <t>Full W-&gt;X-&gt;Y-&gt;Z</t>
        </is>
      </c>
      <c r="G74" s="151" t="n"/>
      <c r="H74" s="152" t="n"/>
      <c r="I74" s="151" t="n"/>
    </row>
    <row r="75" ht="20" customHeight="1">
      <c r="A75" s="153" t="inlineStr">
        <is>
          <t>C-08.04</t>
        </is>
      </c>
      <c r="B75" s="154" t="inlineStr">
        <is>
          <t>(Available for new custom item)</t>
        </is>
      </c>
      <c r="C75" s="155" t="inlineStr">
        <is>
          <t>sqm</t>
        </is>
      </c>
      <c r="D75" s="155" t="n">
        <v>10</v>
      </c>
      <c r="E75" s="156" t="n"/>
      <c r="F75" s="155" t="inlineStr">
        <is>
          <t>Full W-&gt;X-&gt;Y-&gt;Z</t>
        </is>
      </c>
      <c r="G75" s="156" t="n"/>
      <c r="H75" s="157" t="n"/>
      <c r="I75" s="156" t="n"/>
    </row>
    <row r="76" ht="20" customHeight="1">
      <c r="A76" s="110" t="inlineStr">
        <is>
          <t>C-08.05</t>
        </is>
      </c>
      <c r="B76" s="149" t="inlineStr">
        <is>
          <t>(Available for new custom item)</t>
        </is>
      </c>
      <c r="C76" s="150" t="inlineStr">
        <is>
          <t>sqm</t>
        </is>
      </c>
      <c r="D76" s="150" t="n">
        <v>10</v>
      </c>
      <c r="E76" s="151" t="n"/>
      <c r="F76" s="150" t="inlineStr">
        <is>
          <t>Full W-&gt;X-&gt;Y-&gt;Z</t>
        </is>
      </c>
      <c r="G76" s="151" t="n"/>
      <c r="H76" s="152" t="n"/>
      <c r="I76" s="151" t="n"/>
    </row>
    <row r="77" ht="20" customHeight="1">
      <c r="A77" s="153" t="inlineStr">
        <is>
          <t>C-08.06</t>
        </is>
      </c>
      <c r="B77" s="154" t="inlineStr">
        <is>
          <t>(Available for new custom item)</t>
        </is>
      </c>
      <c r="C77" s="155" t="inlineStr">
        <is>
          <t>sqm</t>
        </is>
      </c>
      <c r="D77" s="155" t="n">
        <v>10</v>
      </c>
      <c r="E77" s="156" t="n"/>
      <c r="F77" s="155" t="inlineStr">
        <is>
          <t>Full W-&gt;X-&gt;Y-&gt;Z</t>
        </is>
      </c>
      <c r="G77" s="156" t="n"/>
      <c r="H77" s="157" t="n"/>
      <c r="I77" s="156" t="n"/>
    </row>
    <row r="78" ht="20" customHeight="1">
      <c r="A78" s="110" t="inlineStr">
        <is>
          <t>C-08.07</t>
        </is>
      </c>
      <c r="B78" s="149" t="inlineStr">
        <is>
          <t>(Available for new custom item)</t>
        </is>
      </c>
      <c r="C78" s="150" t="inlineStr">
        <is>
          <t>sqm</t>
        </is>
      </c>
      <c r="D78" s="150" t="n">
        <v>10</v>
      </c>
      <c r="E78" s="151" t="n"/>
      <c r="F78" s="150" t="inlineStr">
        <is>
          <t>Full W-&gt;X-&gt;Y-&gt;Z</t>
        </is>
      </c>
      <c r="G78" s="151" t="n"/>
      <c r="H78" s="152" t="n"/>
      <c r="I78" s="151" t="n"/>
    </row>
    <row r="79" ht="20" customHeight="1">
      <c r="A79" s="153" t="inlineStr">
        <is>
          <t>C-08.08</t>
        </is>
      </c>
      <c r="B79" s="154" t="inlineStr">
        <is>
          <t>(Available for new custom item)</t>
        </is>
      </c>
      <c r="C79" s="155" t="inlineStr">
        <is>
          <t>sqm</t>
        </is>
      </c>
      <c r="D79" s="155" t="n">
        <v>10</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"area of slab upto 0.50 sqm,area of slab over 0.50 sqm"</formula1>
    </dataValidation>
    <dataValidation sqref="B8" showDropDown="0" showInputMessage="0" showErrorMessage="0" allowBlank="1" type="list">
      <formula1>"Raj Nagar plain white marble,Udaipur green marble,Zebra black marble,red sand stone,Kota stone,granite"</formula1>
    </dataValidation>
    <dataValidation sqref="B9" showDropDown="0" showInputMessage="0" showErrorMessage="0" allowBlank="1" type="list">
      <formula1>"cement mortar 1:3 (1 cement : 3 coarse sand),cement mortar 1:4 (1 cement : 4 coarse sand),cement mortar 1:6 (1 cement : 6 coarse sand)"</formula1>
    </dataValidation>
    <dataValidation sqref="B10"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1" showDropDown="0" showInputMessage="0" showErrorMessage="0" allowBlank="1" type="list">
      <formula1>"18 mm gang saw cut, mirror polished,18 mm premoulded and prepolished,20 mm thick,25 mm thick,30 mm thick"</formula1>
    </dataValidation>
    <dataValidation sqref="B12"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09: Timber frames, shutters, and fittings. Built from timber scantling (with standard 5% wastage allowance), carriage, holdfasts, and carpenter crews.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Timber species</t>
        </is>
      </c>
      <c r="B7" s="138" t="inlineStr">
        <is>
          <t>second class teak wood</t>
        </is>
      </c>
      <c r="C7" s="30" t="inlineStr">
        <is>
          <t>DRIVES COST</t>
        </is>
      </c>
      <c r="D7" s="139" t="inlineStr">
        <is>
          <t>Material row 1</t>
        </is>
      </c>
      <c r="E7" s="24" t="inlineStr">
        <is>
          <t>The single biggest driver in Sub-Head 09. Same chowkhat, three species, three printed rates: DAR 9.1.1 second class teak, 9.1.2 sal wood, 9.1.3 kiln seasoned hollock - the GST lines alone show Rs 497.07 / 402.17 / 273.95, so the finished rates differ by nearly half.</t>
        </is>
      </c>
      <c r="F7" s="58" t="n"/>
      <c r="G7" s="58" t="n"/>
      <c r="H7" s="58" t="n"/>
      <c r="I7" s="58" t="n"/>
    </row>
    <row r="8" ht="32" customHeight="1">
      <c r="A8" s="137" t="inlineStr">
        <is>
          <t>Member type</t>
        </is>
      </c>
      <c r="B8" s="138" t="inlineStr">
        <is>
          <t>chowkhat / frame of door</t>
        </is>
      </c>
      <c r="C8" s="30" t="inlineStr">
        <is>
          <t>DRIVES COST</t>
        </is>
      </c>
      <c r="D8" s="139" t="inlineStr">
        <is>
          <t>Material coeffs</t>
        </is>
      </c>
      <c r="E8" s="24" t="inlineStr">
        <is>
          <t>DAR 9.1 (door and window frames), 9.2 (LVL factory made frames) and 9.3 (false ceiling and partition frames) are analysed against different member sizes and therefore different timber volumes.</t>
        </is>
      </c>
      <c r="F8" s="58" t="n"/>
      <c r="G8" s="58" t="n"/>
      <c r="H8" s="58" t="n"/>
      <c r="I8" s="58" t="n"/>
    </row>
    <row r="9" ht="32" customHeight="1">
      <c r="A9" s="137" t="inlineStr">
        <is>
          <t>Wrought and framed work</t>
        </is>
      </c>
      <c r="B9" s="138" t="inlineStr">
        <is>
          <t>wrought framed and fixed in position</t>
        </is>
      </c>
      <c r="C9" s="30" t="inlineStr">
        <is>
          <t>DRIVES COST</t>
        </is>
      </c>
      <c r="D9" s="139" t="inlineStr">
        <is>
          <t>Labour rows</t>
        </is>
      </c>
      <c r="E9" s="24" t="inlineStr">
        <is>
          <t>DAR 9.1 is priced "wrought framed and fixed in position"; 9.3 is "sawn and fixed in position" with a lower carpenter coefficient, so the workmanship clause carries a real labour differential.</t>
        </is>
      </c>
      <c r="F9" s="58" t="n"/>
      <c r="G9" s="58" t="n"/>
      <c r="H9" s="58" t="n"/>
      <c r="I9" s="58" t="n"/>
    </row>
    <row r="10" ht="32" customHeight="1">
      <c r="A10" s="137" t="inlineStr">
        <is>
          <t>Circular / shaped work</t>
        </is>
      </c>
      <c r="B10" s="138" t="inlineStr">
        <is>
          <t>straight work only</t>
        </is>
      </c>
      <c r="C10" s="30" t="inlineStr">
        <is>
          <t>DRIVES COST</t>
        </is>
      </c>
      <c r="D10" s="139" t="inlineStr">
        <is>
          <t>Labour rows</t>
        </is>
      </c>
      <c r="E10" s="24" t="inlineStr">
        <is>
          <t>DAR 9.4 is an explicit EXTRA item for additional labour on circular work such as fan light frames - it gives the differential directly rather than leaving it to judgement.</t>
        </is>
      </c>
      <c r="F10" s="58" t="n"/>
      <c r="G10" s="58" t="n"/>
      <c r="H10" s="58" t="n"/>
      <c r="I10" s="58" t="n"/>
    </row>
    <row r="11" ht="32" customHeight="1">
      <c r="A11" s="137" t="inlineStr">
        <is>
          <t>Priming coat on wood</t>
        </is>
      </c>
      <c r="B11" s="138" t="inlineStr">
        <is>
          <t>priming coat applied (DAR 13.50.1)</t>
        </is>
      </c>
      <c r="C11" s="30" t="inlineStr">
        <is>
          <t>DRIVES COST</t>
        </is>
      </c>
      <c r="D11" s="139" t="inlineStr">
        <is>
          <t>Resolved 13.50.1 row</t>
        </is>
      </c>
      <c r="E11" s="24" t="inlineStr">
        <is>
          <t>Priming on wood work is DAR item 13.50.1, resolved on Resolved_Cross_Volume_Items at Rs 57.05 per sqm and imported here as an A-tagged line so it is not marked up twice.</t>
        </is>
      </c>
      <c r="F11" s="58" t="n"/>
      <c r="G11" s="58" t="n"/>
      <c r="H11" s="58" t="n"/>
      <c r="I11" s="58" t="n"/>
    </row>
    <row r="12" ht="32" customHeight="1">
      <c r="A12" s="137" t="inlineStr">
        <is>
          <t>Wood preservative treatment</t>
        </is>
      </c>
      <c r="B12" s="138" t="inlineStr">
        <is>
          <t>not required</t>
        </is>
      </c>
      <c r="C12" s="30" t="inlineStr">
        <is>
          <t>DRIVES COST</t>
        </is>
      </c>
      <c r="D12" s="139" t="inlineStr">
        <is>
          <t>Resolved 13.57.1 row</t>
        </is>
      </c>
      <c r="E12" s="24" t="inlineStr">
        <is>
          <t>Oil type wood preservative, two or more coats on new work, is DAR item 13.57.1, resolved at Rs 44.50 per sqm and available as an A-tagged import.</t>
        </is>
      </c>
      <c r="F12" s="58" t="n"/>
      <c r="G12" s="58" t="n"/>
      <c r="H12" s="58" t="n"/>
      <c r="I12" s="58" t="n"/>
    </row>
    <row r="13" ht="22" customHeight="1">
      <c r="A13" s="16" t="inlineStr">
        <is>
          <t>Custom Item Code:</t>
        </is>
      </c>
      <c r="B13" s="59" t="inlineStr">
        <is>
          <t>C-09.01</t>
        </is>
      </c>
      <c r="C13" s="16" t="inlineStr">
        <is>
          <t>Batch Output Basis:</t>
        </is>
      </c>
      <c r="D13" s="94" t="n">
        <v>36</v>
      </c>
      <c r="E13" s="16" t="inlineStr">
        <is>
          <t>Output Unit:</t>
        </is>
      </c>
      <c r="F13" s="59" t="inlineStr">
        <is>
          <t>cudm</t>
        </is>
      </c>
      <c r="G13" s="16" t="inlineStr">
        <is>
          <t>Trade Sub-Head:</t>
        </is>
      </c>
      <c r="H13" s="35" t="inlineStr">
        <is>
          <t>09 Wood and PVC Work</t>
        </is>
      </c>
      <c r="I13" s="66" t="inlineStr">
        <is>
          <t>Output Unit Note:</t>
        </is>
      </c>
    </row>
    <row r="14" ht="40" customHeight="1">
      <c r="A14" s="16" t="inlineStr">
        <is>
          <t>Assembled Item Nomenclature:</t>
        </is>
      </c>
      <c r="B14" s="140">
        <f>IF(I14&lt;&gt;"", I14, "Providing wood work in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Timber wastage allowance</t>
        </is>
      </c>
      <c r="B17" s="94" t="n">
        <v>5</v>
      </c>
      <c r="C17" s="19" t="inlineStr">
        <is>
          <t>%</t>
        </is>
      </c>
      <c r="D17" s="139" t="inlineStr">
        <is>
          <t>Material row 1</t>
        </is>
      </c>
      <c r="E17" s="24" t="inlineStr">
        <is>
          <t>DAR 9.1.1 works in cudm and adds a wastage allowance inline when converting the net section volume to the ordered volume (36 cudm net becomes 38 cudm).</t>
        </is>
      </c>
      <c r="F17" s="58" t="n"/>
      <c r="G17" s="58" t="n"/>
      <c r="H17" s="58" t="n"/>
      <c r="I17" s="58" t="n"/>
    </row>
    <row r="18" ht="30" customHeight="1">
      <c r="A18" s="137" t="inlineStr">
        <is>
          <t>Surface area for priming</t>
        </is>
      </c>
      <c r="B18" s="158" t="n">
        <v>3</v>
      </c>
      <c r="C18" s="19" t="inlineStr">
        <is>
          <t>sqm / unit</t>
        </is>
      </c>
      <c r="D18" s="139" t="inlineStr">
        <is>
          <t>Resolved 13.50.1 row</t>
        </is>
      </c>
      <c r="E18" s="24" t="inlineStr">
        <is>
          <t>The priming import is priced per sqm of finished timber surface; enter the girth-derived area for the member being built.</t>
        </is>
      </c>
      <c r="F18" s="58" t="n"/>
      <c r="G18" s="58" t="n"/>
      <c r="H18" s="58" t="n"/>
      <c r="I18" s="58" t="n"/>
    </row>
    <row r="19" ht="30" customHeight="1">
      <c r="A19" s="137" t="inlineStr">
        <is>
          <t>Output unit conversion</t>
        </is>
      </c>
      <c r="B19" s="160" t="n">
        <v>0.038</v>
      </c>
      <c r="C19" s="19" t="inlineStr">
        <is>
          <t>cum / unit</t>
        </is>
      </c>
      <c r="D19" s="139" t="inlineStr">
        <is>
          <t>Rate row</t>
        </is>
      </c>
      <c r="E19" s="24" t="inlineStr">
        <is>
          <t>DAR 9 items are analysed per door / per frame and then converted to a standard cum rate at the end of the item. Enter the timber volume of one unit to convert between the two.</t>
        </is>
      </c>
      <c r="F19" s="58" t="n"/>
      <c r="G19" s="58" t="n"/>
      <c r="H19" s="58" t="n"/>
      <c r="I19" s="58" t="n"/>
    </row>
    <row r="20" ht="30" customHeight="1">
      <c r="A20" s="137" t="inlineStr">
        <is>
          <t>Holdfasts per frame</t>
        </is>
      </c>
      <c r="B20" s="142" t="n">
        <v>6</v>
      </c>
      <c r="C20" s="19" t="inlineStr">
        <is>
          <t>Nos</t>
        </is>
      </c>
      <c r="D20" s="139" t="inlineStr">
        <is>
          <t>Material rows</t>
        </is>
      </c>
      <c r="E20" s="24" t="inlineStr">
        <is>
          <t>Holdfasts and fixing hardware are separate material lines in the DAR frame items.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1189</t>
        </is>
      </c>
      <c r="C25" s="81">
        <f>IF(B25="","", IFERROR(INDEX(Rates_Master!$C:$C, MATCH(B25, Rates_Master!$A:$A, 0)), "Custom / Intermediate Material"))</f>
        <v/>
      </c>
      <c r="D25" s="61">
        <f>IF(B25="","", IFERROR(INDEX(Rates_Master!$D:$D, MATCH(B25, Rates_Master!$A:$A, 0)), ""))</f>
        <v/>
      </c>
      <c r="E25" s="62" t="n">
        <v>3.8</v>
      </c>
      <c r="F25" s="63">
        <f>IF(B25="","", IFERROR(INDEX(Rates_Master!$E:$E, MATCH(B25, Rates_Master!$A:$A, 0)), 0))</f>
        <v/>
      </c>
      <c r="G25" s="43">
        <f>IF(OR(B25="", E25=""), 0, ROUND(E25 * F25, 2))</f>
        <v/>
      </c>
      <c r="H25" s="143" t="inlineStr">
        <is>
          <t>Second class teak wood in scantling (36 cudm + 5% wastage = 38 cudm)</t>
        </is>
      </c>
      <c r="I25" s="59" t="inlineStr"/>
    </row>
    <row r="26" ht="20" customHeight="1">
      <c r="A26" s="19" t="n">
        <v>2</v>
      </c>
      <c r="B26" s="59" t="inlineStr">
        <is>
          <t>2204</t>
        </is>
      </c>
      <c r="C26" s="81">
        <f>IF(B26="","", IFERROR(INDEX(Rates_Master!$C:$C, MATCH(B26, Rates_Master!$A:$A, 0)), "Custom / Intermediate Material"))</f>
        <v/>
      </c>
      <c r="D26" s="61">
        <f>IF(B26="","", IFERROR(INDEX(Rates_Master!$D:$D, MATCH(B26, Rates_Master!$A:$A, 0)), ""))</f>
        <v/>
      </c>
      <c r="E26" s="62" t="n">
        <v>0.038</v>
      </c>
      <c r="F26" s="63">
        <f>IF(B26="","", IFERROR(INDEX(Rates_Master!$E:$E, MATCH(B26, Rates_Master!$A:$A, 0)), 0))</f>
        <v/>
      </c>
      <c r="G26" s="43">
        <f>IF(OR(B26="", E26=""), 0, ROUND(E26 * F26, 2))</f>
        <v/>
      </c>
      <c r="H26" s="143" t="inlineStr">
        <is>
          <t>Carriage of Timber</t>
        </is>
      </c>
      <c r="I26" s="59" t="inlineStr"/>
    </row>
    <row r="27" ht="20" customHeight="1">
      <c r="A27" s="19" t="n">
        <v>3</v>
      </c>
      <c r="B27" s="59" t="inlineStr">
        <is>
          <t>13.50.1</t>
        </is>
      </c>
      <c r="C27" s="81" t="inlineStr">
        <is>
          <t>Priming coat with ready mixed pink or grey primer on wood work (DAR 13.50.1, Finishing)</t>
        </is>
      </c>
      <c r="D27" s="61" t="inlineStr">
        <is>
          <t>sqm</t>
        </is>
      </c>
      <c r="E27" s="62" t="n">
        <v>3</v>
      </c>
      <c r="F27" s="63">
        <f>XV_13_50_1</f>
        <v/>
      </c>
      <c r="G27" s="43">
        <f>IF(OR(B27="", E27=""), 0, ROUND(E27 * F27, 2))</f>
        <v/>
      </c>
      <c r="H27" s="143" t="inlineStr">
        <is>
          <t>Resolved on Resolved_Cross_Volume_Items from WB1 data only (Rs 57.05 per sqm). A-tagged per the CPWD (W-A) convention.</t>
        </is>
      </c>
      <c r="I27" s="159" t="inlineStr">
        <is>
          <t>A</t>
        </is>
      </c>
    </row>
    <row r="28" ht="20" customHeight="1">
      <c r="A28" s="19" t="n">
        <v>4</v>
      </c>
      <c r="B28" s="59" t="inlineStr">
        <is>
          <t>13.57.1</t>
        </is>
      </c>
      <c r="C28" s="81" t="inlineStr">
        <is>
          <t>Oil type wood preservative, new work, two or more coats (DAR 13.57.1, Finishing)</t>
        </is>
      </c>
      <c r="D28" s="61" t="inlineStr">
        <is>
          <t>sqm</t>
        </is>
      </c>
      <c r="E28" s="62" t="n">
        <v>0</v>
      </c>
      <c r="F28" s="63">
        <f>XV_13_57_1</f>
        <v/>
      </c>
      <c r="G28" s="43">
        <f>IF(OR(B28="", E28=""), 0, ROUND(E28 * F28, 2))</f>
        <v/>
      </c>
      <c r="H28" s="143" t="inlineStr">
        <is>
          <t>Resolved on Resolved_Cross_Volume_Items from WB1 data only (Rs 44.50 per sqm). A-tagged. Set the coefficient above 0 only when preservative treatment is specified.</t>
        </is>
      </c>
      <c r="I28" s="159" t="inlineStr">
        <is>
          <t>A</t>
        </is>
      </c>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0156</t>
        </is>
      </c>
      <c r="C39" s="81">
        <f>IF(B39="","", IFERROR(INDEX(Rates_Master!$C:$C, MATCH(B39, Rates_Master!$A:$A, 0)), "Custom Labour / Plant"))</f>
        <v/>
      </c>
      <c r="D39" s="61">
        <f>IF(B39="","", IFERROR(INDEX(Rates_Master!$D:$D, MATCH(B39, Rates_Master!$A:$A, 0)), ""))</f>
        <v/>
      </c>
      <c r="E39" s="62" t="n">
        <v>0.72</v>
      </c>
      <c r="F39" s="63">
        <f>IF(B39="","", IFERROR(INDEX(Rates_Master!$E:$E, MATCH(B39, Rates_Master!$A:$A, 0)), 0))</f>
        <v/>
      </c>
      <c r="G39" s="43">
        <f>IF(OR(B39="", E39=""), 0, ROUND(E39 * F39, 2))</f>
        <v/>
      </c>
      <c r="H39" s="143" t="inlineStr">
        <is>
          <t>Carpenter (average)</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0.07000000000000001</v>
      </c>
      <c r="F40" s="63">
        <f>IF(B40="","", IFERROR(INDEX(Rates_Master!$E:$E, MATCH(B40, Rates_Master!$A:$A, 0)), 0))</f>
        <v/>
      </c>
      <c r="G40" s="43">
        <f>IF(OR(B40="", E40=""), 0, ROUND(E40 * F40, 2))</f>
        <v/>
      </c>
      <c r="H40" s="143" t="inlineStr">
        <is>
          <t>Beldar</t>
        </is>
      </c>
      <c r="I40" s="6" t="inlineStr"/>
    </row>
    <row r="41" ht="20" customHeight="1">
      <c r="A41" s="19" t="n">
        <v>3</v>
      </c>
      <c r="B41" s="59" t="inlineStr"/>
      <c r="C41" s="81">
        <f>IF(B41="","", IFERROR(INDEX(Rates_Master!$C:$C, MATCH(B41, Rates_Master!$A:$A, 0)), "Custom Labour / Plant"))</f>
        <v/>
      </c>
      <c r="D41" s="61">
        <f>IF(B41="","", IFERROR(INDEX(Rates_Master!$D:$D, MATCH(B41, Rates_Master!$A:$A, 0)), ""))</f>
        <v/>
      </c>
      <c r="E41" s="62" t="n"/>
      <c r="F41" s="63">
        <f>IF(B41="","", IFERROR(INDEX(Rates_Master!$E:$E, MATCH(B41, Rates_Master!$A:$A, 0)), 0))</f>
        <v/>
      </c>
      <c r="G41" s="43">
        <f>IF(OR(B41="", E41=""), 0, ROUND(E41 * F41, 2))</f>
        <v/>
      </c>
      <c r="H41" s="143" t="inlineStr"/>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0</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9.1.1</t>
        </is>
      </c>
      <c r="B72" s="149" t="inlineStr">
        <is>
          <t>Second class teak wood in frames of doors and windows</t>
        </is>
      </c>
      <c r="C72" s="150" t="inlineStr">
        <is>
          <t>cum</t>
        </is>
      </c>
      <c r="D72" s="150" t="n">
        <v>36</v>
      </c>
      <c r="E72" s="151" t="n">
        <v>3502.85</v>
      </c>
      <c r="F72" s="150" t="inlineStr">
        <is>
          <t>Full W-&gt;X-&gt;Y-&gt;Z</t>
        </is>
      </c>
      <c r="G72" s="151" t="n">
        <v>130183.06</v>
      </c>
      <c r="H72" s="152" t="n">
        <v>130183.05</v>
      </c>
      <c r="I72" s="151" t="n"/>
    </row>
    <row r="73" ht="20" customHeight="1">
      <c r="A73" s="153" t="inlineStr">
        <is>
          <t>C-09.02</t>
        </is>
      </c>
      <c r="B73" s="154" t="inlineStr">
        <is>
          <t>(Available for new custom item)</t>
        </is>
      </c>
      <c r="C73" s="155" t="inlineStr">
        <is>
          <t>cudm</t>
        </is>
      </c>
      <c r="D73" s="155" t="n">
        <v>36</v>
      </c>
      <c r="E73" s="156" t="n"/>
      <c r="F73" s="155" t="inlineStr">
        <is>
          <t>Full W-&gt;X-&gt;Y-&gt;Z</t>
        </is>
      </c>
      <c r="G73" s="156" t="n"/>
      <c r="H73" s="157" t="n"/>
      <c r="I73" s="156" t="n"/>
    </row>
    <row r="74" ht="20" customHeight="1">
      <c r="A74" s="110" t="inlineStr">
        <is>
          <t>C-09.03</t>
        </is>
      </c>
      <c r="B74" s="149" t="inlineStr">
        <is>
          <t>(Available for new custom item)</t>
        </is>
      </c>
      <c r="C74" s="150" t="inlineStr">
        <is>
          <t>cudm</t>
        </is>
      </c>
      <c r="D74" s="150" t="n">
        <v>36</v>
      </c>
      <c r="E74" s="151" t="n"/>
      <c r="F74" s="150" t="inlineStr">
        <is>
          <t>Full W-&gt;X-&gt;Y-&gt;Z</t>
        </is>
      </c>
      <c r="G74" s="151" t="n"/>
      <c r="H74" s="152" t="n"/>
      <c r="I74" s="151" t="n"/>
    </row>
    <row r="75" ht="20" customHeight="1">
      <c r="A75" s="153" t="inlineStr">
        <is>
          <t>C-09.04</t>
        </is>
      </c>
      <c r="B75" s="154" t="inlineStr">
        <is>
          <t>(Available for new custom item)</t>
        </is>
      </c>
      <c r="C75" s="155" t="inlineStr">
        <is>
          <t>cudm</t>
        </is>
      </c>
      <c r="D75" s="155" t="n">
        <v>36</v>
      </c>
      <c r="E75" s="156" t="n"/>
      <c r="F75" s="155" t="inlineStr">
        <is>
          <t>Full W-&gt;X-&gt;Y-&gt;Z</t>
        </is>
      </c>
      <c r="G75" s="156" t="n"/>
      <c r="H75" s="157" t="n"/>
      <c r="I75" s="156" t="n"/>
    </row>
    <row r="76" ht="20" customHeight="1">
      <c r="A76" s="110" t="inlineStr">
        <is>
          <t>C-09.05</t>
        </is>
      </c>
      <c r="B76" s="149" t="inlineStr">
        <is>
          <t>(Available for new custom item)</t>
        </is>
      </c>
      <c r="C76" s="150" t="inlineStr">
        <is>
          <t>cudm</t>
        </is>
      </c>
      <c r="D76" s="150" t="n">
        <v>36</v>
      </c>
      <c r="E76" s="151" t="n"/>
      <c r="F76" s="150" t="inlineStr">
        <is>
          <t>Full W-&gt;X-&gt;Y-&gt;Z</t>
        </is>
      </c>
      <c r="G76" s="151" t="n"/>
      <c r="H76" s="152" t="n"/>
      <c r="I76" s="151" t="n"/>
    </row>
    <row r="77" ht="20" customHeight="1">
      <c r="A77" s="153" t="inlineStr">
        <is>
          <t>C-09.06</t>
        </is>
      </c>
      <c r="B77" s="154" t="inlineStr">
        <is>
          <t>(Available for new custom item)</t>
        </is>
      </c>
      <c r="C77" s="155" t="inlineStr">
        <is>
          <t>cudm</t>
        </is>
      </c>
      <c r="D77" s="155" t="n">
        <v>36</v>
      </c>
      <c r="E77" s="156" t="n"/>
      <c r="F77" s="155" t="inlineStr">
        <is>
          <t>Full W-&gt;X-&gt;Y-&gt;Z</t>
        </is>
      </c>
      <c r="G77" s="156" t="n"/>
      <c r="H77" s="157" t="n"/>
      <c r="I77" s="156" t="n"/>
    </row>
    <row r="78" ht="20" customHeight="1">
      <c r="A78" s="110" t="inlineStr">
        <is>
          <t>C-09.07</t>
        </is>
      </c>
      <c r="B78" s="149" t="inlineStr">
        <is>
          <t>(Available for new custom item)</t>
        </is>
      </c>
      <c r="C78" s="150" t="inlineStr">
        <is>
          <t>cudm</t>
        </is>
      </c>
      <c r="D78" s="150" t="n">
        <v>36</v>
      </c>
      <c r="E78" s="151" t="n"/>
      <c r="F78" s="150" t="inlineStr">
        <is>
          <t>Full W-&gt;X-&gt;Y-&gt;Z</t>
        </is>
      </c>
      <c r="G78" s="151" t="n"/>
      <c r="H78" s="152" t="n"/>
      <c r="I78" s="151" t="n"/>
    </row>
    <row r="79" ht="20" customHeight="1">
      <c r="A79" s="153" t="inlineStr">
        <is>
          <t>C-09.08</t>
        </is>
      </c>
      <c r="B79" s="154" t="inlineStr">
        <is>
          <t>(Available for new custom item)</t>
        </is>
      </c>
      <c r="C79" s="155" t="inlineStr">
        <is>
          <t>cudm</t>
        </is>
      </c>
      <c r="D79" s="155" t="n">
        <v>36</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"second class teak wood,sal wood,kiln seasoned and chemically treated hollock wood,laminated veneer lumber (LVL),PVC / plastic section"</formula1>
    </dataValidation>
    <dataValidation sqref="B8" showDropDown="0" showInputMessage="0" showErrorMessage="0" allowBlank="1" type="list">
      <formula1>"chowkhat / frame of door,window frame,clerestory window frame,false ceiling / partition frame,shutter,beading / architrave"</formula1>
    </dataValidation>
    <dataValidation sqref="B9" showDropDown="0" showInputMessage="0" showErrorMessage="0" allowBlank="1" type="list">
      <formula1>"wrought framed and fixed in position,sawn and fixed in position"</formula1>
    </dataValidation>
    <dataValidation sqref="B10" showDropDown="0" showInputMessage="0" showErrorMessage="0" allowBlank="1" type="list">
      <formula1>"straight work only,circular work (DAR 9.4 extra labour applies)"</formula1>
    </dataValidation>
    <dataValidation sqref="B11" showDropDown="0" showInputMessage="0" showErrorMessage="0" allowBlank="1" type="list">
      <formula1>"priming coat applied (DAR 13.50.1),no priming coat"</formula1>
    </dataValidation>
    <dataValidation sqref="B12"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10: Structural steel fabrication. Incorporates rolling sections (with 5% wastage), carriage, fitter/blacksmith crew, and priming coat (CPWD DAR 13.50.3 @ ₹50.70/sqm).</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Fabrication type</t>
        </is>
      </c>
      <c r="B7" s="138" t="inlineStr">
        <is>
          <t>single section</t>
        </is>
      </c>
      <c r="C7" s="30" t="inlineStr">
        <is>
          <t>DRIVES COST</t>
        </is>
      </c>
      <c r="D7" s="139" t="inlineStr">
        <is>
          <t>Material coeff</t>
        </is>
      </c>
      <c r="E7" s="24" t="inlineStr">
        <is>
          <t>DAR 10.1 (single section, fixed with or without connecting plate) uses 1.05 quintal of structurals per quintal of finished work; 10.2 (riveted, bolted or welded built-up sections and trusses) uses 1.60 - a 52% difference on the dominant material line.</t>
        </is>
      </c>
      <c r="F7" s="58" t="n"/>
      <c r="G7" s="58" t="n"/>
      <c r="H7" s="58" t="n"/>
      <c r="I7" s="58" t="n"/>
    </row>
    <row r="8" ht="32" customHeight="1">
      <c r="A8" s="137" t="inlineStr">
        <is>
          <t>Section profile</t>
        </is>
      </c>
      <c r="B8" s="138" t="inlineStr">
        <is>
          <t>tees, angles, channels and R.S. joists</t>
        </is>
      </c>
      <c r="C8" s="30" t="inlineStr">
        <is>
          <t>DRIVES COST</t>
        </is>
      </c>
      <c r="D8" s="139" t="inlineStr">
        <is>
          <t>Material row 1</t>
        </is>
      </c>
      <c r="E8" s="24" t="inlineStr">
        <is>
          <t>DAR 10.1 uses code 1007 (structurals: tees, angles, channels, joists); 10.2 additionally uses code 1009 (flats exceeding 10 mm) at a different rate for ties and braces.</t>
        </is>
      </c>
      <c r="F8" s="58" t="n"/>
      <c r="G8" s="58" t="n"/>
      <c r="H8" s="58" t="n"/>
      <c r="I8" s="58" t="n"/>
    </row>
    <row r="9" ht="32" customHeight="1">
      <c r="A9" s="137" t="inlineStr">
        <is>
          <t>Priming coat</t>
        </is>
      </c>
      <c r="B9" s="138" t="inlineStr">
        <is>
          <t>red oxide zinc chromate primer (DAR 13.50.3)</t>
        </is>
      </c>
      <c r="C9" s="30" t="inlineStr">
        <is>
          <t>DRIVES COST</t>
        </is>
      </c>
      <c r="D9" s="139" t="inlineStr">
        <is>
          <t>Resolved 13.50.3 row</t>
        </is>
      </c>
      <c r="E9" s="24" t="inlineStr">
        <is>
          <t>DAR 10.1 imports Finishing item 13.50.3 at Rs 50.70 per sqm and tags it "A", excluding it from every markup base. It is resolved here on Resolved_Cross_Volume_Items rather than held as a literal.</t>
        </is>
      </c>
      <c r="F9" s="58" t="n"/>
      <c r="G9" s="58" t="n"/>
      <c r="H9" s="58" t="n"/>
      <c r="I9" s="58" t="n"/>
    </row>
    <row r="10" ht="32" customHeight="1">
      <c r="A10" s="137" t="inlineStr">
        <is>
          <t>Connecting plate</t>
        </is>
      </c>
      <c r="B10" s="138" t="inlineStr">
        <is>
          <t>with or without connecting plate</t>
        </is>
      </c>
      <c r="C10" s="2" t="inlineStr">
        <is>
          <t>NOMENCLATURE ONLY</t>
        </is>
      </c>
      <c r="D10" s="139" t="inlineStr">
        <is>
          <t>-</t>
        </is>
      </c>
      <c r="E10" s="24" t="inlineStr">
        <is>
          <t>DAR 10.1 is titled "fixed with or without connecting plate" - the book deliberately prices one rate for both, so this clause carries no differential.</t>
        </is>
      </c>
      <c r="F10" s="58" t="n"/>
      <c r="G10" s="58" t="n"/>
      <c r="H10" s="58" t="n"/>
      <c r="I10" s="58" t="n"/>
    </row>
    <row r="11" ht="32" customHeight="1">
      <c r="A11" s="137" t="inlineStr">
        <is>
          <t>Erection height / lift</t>
        </is>
      </c>
      <c r="B11" s="138" t="inlineStr">
        <is>
          <t>for all heights</t>
        </is>
      </c>
      <c r="C11" s="2" t="inlineStr">
        <is>
          <t>NOMENCLATURE ONLY</t>
        </is>
      </c>
      <c r="D11" s="139" t="inlineStr">
        <is>
          <t>-</t>
        </is>
      </c>
      <c r="E11" s="24" t="inlineStr">
        <is>
          <t>Sub-Head 10 items do not vary by erection height; where extra lifting is genuinely incurred the DAR adds an explicit labour line, as it does in Concrete Work.</t>
        </is>
      </c>
      <c r="F11" s="58" t="n"/>
      <c r="G11" s="58" t="n"/>
      <c r="H11" s="58" t="n"/>
      <c r="I11" s="58" t="n"/>
    </row>
    <row r="12" ht="32" customHeight="1">
      <c r="A12" s="137" t="inlineStr">
        <is>
          <t>Galvanising / protective coating</t>
        </is>
      </c>
      <c r="B12" s="138" t="inlineStr">
        <is>
          <t>not required</t>
        </is>
      </c>
      <c r="C12" s="49" t="inlineStr">
        <is>
          <t>USER-SUPPLIED COST</t>
        </is>
      </c>
      <c r="D12" s="139" t="inlineStr">
        <is>
          <t>Sundries row</t>
        </is>
      </c>
      <c r="E12" s="24" t="inlineStr">
        <is>
          <t>Hot dip galvanising is not analysed inside Sub-Head 10 in Vol.1. If specified, enter the amount as a Sundries line or add a material row for the coating.</t>
        </is>
      </c>
      <c r="F12" s="58" t="n"/>
      <c r="G12" s="58" t="n"/>
      <c r="H12" s="58" t="n"/>
      <c r="I12" s="58" t="n"/>
    </row>
    <row r="13" ht="22" customHeight="1">
      <c r="A13" s="16" t="inlineStr">
        <is>
          <t>Custom Item Code:</t>
        </is>
      </c>
      <c r="B13" s="59" t="inlineStr">
        <is>
          <t>C-10.01</t>
        </is>
      </c>
      <c r="C13" s="16" t="inlineStr">
        <is>
          <t>Batch Output Basis:</t>
        </is>
      </c>
      <c r="D13" s="94" t="n">
        <v>1</v>
      </c>
      <c r="E13" s="16" t="inlineStr">
        <is>
          <t>Output Unit:</t>
        </is>
      </c>
      <c r="F13" s="59" t="inlineStr">
        <is>
          <t>quintal</t>
        </is>
      </c>
      <c r="G13" s="16" t="inlineStr">
        <is>
          <t>Trade Sub-Head:</t>
        </is>
      </c>
      <c r="H13" s="35" t="inlineStr">
        <is>
          <t>10 Steel Work</t>
        </is>
      </c>
      <c r="I13" s="66" t="inlineStr">
        <is>
          <t>Output Unit Note:</t>
        </is>
      </c>
    </row>
    <row r="14" ht="40" customHeight="1">
      <c r="A14" s="16" t="inlineStr">
        <is>
          <t>Assembled Item Nomenclature:</t>
        </is>
      </c>
      <c r="B14" s="140">
        <f>IF(I14&lt;&gt;"", I14, "Structural steel work in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Steel wastage allowance</t>
        </is>
      </c>
      <c r="B17" s="94" t="n">
        <v>5</v>
      </c>
      <c r="C17" s="19" t="inlineStr">
        <is>
          <t>%</t>
        </is>
      </c>
      <c r="D17" s="139" t="inlineStr">
        <is>
          <t>Material row 1</t>
        </is>
      </c>
      <c r="E17" s="24" t="inlineStr">
        <is>
          <t>DAR 10.2 shows the arithmetic openly: "Total = 50.65 kg + Add wastage @ 5% = 2.53 kg". The 1.05 coefficient on 10.1 is the same 5% expressed as a multiplier.</t>
        </is>
      </c>
      <c r="F17" s="58" t="n"/>
      <c r="G17" s="58" t="n"/>
      <c r="H17" s="58" t="n"/>
      <c r="I17" s="58" t="n"/>
    </row>
    <row r="18" ht="30" customHeight="1">
      <c r="A18" s="137" t="inlineStr">
        <is>
          <t>Painted surface area</t>
        </is>
      </c>
      <c r="B18" s="158" t="n">
        <v>3</v>
      </c>
      <c r="C18" s="19" t="inlineStr">
        <is>
          <t>sqm / quintal</t>
        </is>
      </c>
      <c r="D18" s="139" t="inlineStr">
        <is>
          <t>Resolved 13.50.3 row</t>
        </is>
      </c>
      <c r="E18" s="24" t="inlineStr">
        <is>
          <t>DAR 10.1 prices 3.00 sqm of priming per quintal of steel. Change only if your section girth differs materially.</t>
        </is>
      </c>
      <c r="F18" s="58" t="n"/>
      <c r="G18" s="58" t="n"/>
      <c r="H18" s="58" t="n"/>
      <c r="I18" s="58" t="n"/>
    </row>
    <row r="19" ht="30" customHeight="1">
      <c r="A19" s="137" t="inlineStr">
        <is>
          <t>Bolts / rivets allowance</t>
        </is>
      </c>
      <c r="B19" s="94" t="n">
        <v>0</v>
      </c>
      <c r="C19" s="19" t="inlineStr">
        <is>
          <t>% of steel</t>
        </is>
      </c>
      <c r="D19" s="139" t="inlineStr">
        <is>
          <t>Material rows</t>
        </is>
      </c>
      <c r="E19" s="24" t="inlineStr">
        <is>
          <t>Built-up items carry their fasteners as separate material lines rather than as a percentage; use this only if you are approximating.</t>
        </is>
      </c>
      <c r="F19" s="58" t="n"/>
      <c r="G19" s="58" t="n"/>
      <c r="H19" s="58" t="n"/>
      <c r="I19" s="58" t="n"/>
    </row>
    <row r="20" ht="30" customHeight="1">
      <c r="A20" s="137" t="inlineStr">
        <is>
          <t>Output unit conversion</t>
        </is>
      </c>
      <c r="B20" s="94" t="n">
        <v>100</v>
      </c>
      <c r="C20" s="19" t="inlineStr">
        <is>
          <t>kg / quintal</t>
        </is>
      </c>
      <c r="D20" s="139" t="inlineStr">
        <is>
          <t>Rate row</t>
        </is>
      </c>
      <c r="E20" s="24" t="inlineStr">
        <is>
          <t>DAR 10.1 is analysed per quintal and then reported per kg ("Cost of 1 quintal 8604.22, Cost of 1 Kg 86.04"). This is the divisor for that conversion.</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1007</t>
        </is>
      </c>
      <c r="C25" s="81">
        <f>IF(B25="","", IFERROR(INDEX(Rates_Master!$C:$C, MATCH(B25, Rates_Master!$A:$A, 0)), "Custom / Intermediate Material"))</f>
        <v/>
      </c>
      <c r="D25" s="61">
        <f>IF(B25="","", IFERROR(INDEX(Rates_Master!$D:$D, MATCH(B25, Rates_Master!$A:$A, 0)), ""))</f>
        <v/>
      </c>
      <c r="E25" s="62" t="n">
        <v>1.05</v>
      </c>
      <c r="F25" s="63">
        <f>IF(B25="","", IFERROR(INDEX(Rates_Master!$E:$E, MATCH(B25, Rates_Master!$A:$A, 0)), 0))</f>
        <v/>
      </c>
      <c r="G25" s="43">
        <f>IF(OR(B25="", E25=""), 0, ROUND(E25 * F25, 2))</f>
        <v/>
      </c>
      <c r="H25" s="143" t="inlineStr">
        <is>
          <t>Structurals (tees, angles, channels, joists) + 5% wastage = 1.05 q</t>
        </is>
      </c>
      <c r="I25" s="59" t="inlineStr"/>
    </row>
    <row r="26" ht="20" customHeight="1">
      <c r="A26" s="19" t="n">
        <v>2</v>
      </c>
      <c r="B26" s="59" t="inlineStr">
        <is>
          <t>2205</t>
        </is>
      </c>
      <c r="C26" s="81">
        <f>IF(B26="","", IFERROR(INDEX(Rates_Master!$C:$C, MATCH(B26, Rates_Master!$A:$A, 0)), "Custom / Intermediate Material"))</f>
        <v/>
      </c>
      <c r="D26" s="61">
        <f>IF(B26="","", IFERROR(INDEX(Rates_Master!$D:$D, MATCH(B26, Rates_Master!$A:$A, 0)), ""))</f>
        <v/>
      </c>
      <c r="E26" s="62" t="n">
        <v>0.105</v>
      </c>
      <c r="F26" s="63">
        <f>IF(B26="","", IFERROR(INDEX(Rates_Master!$E:$E, MATCH(B26, Rates_Master!$A:$A, 0)), 0))</f>
        <v/>
      </c>
      <c r="G26" s="43">
        <f>IF(OR(B26="", E26=""), 0, ROUND(E26 * F26, 2))</f>
        <v/>
      </c>
      <c r="H26" s="143" t="inlineStr">
        <is>
          <t>Carriage of Steel (0.105 tonne)</t>
        </is>
      </c>
      <c r="I26" s="59" t="inlineStr"/>
    </row>
    <row r="27" ht="20" customHeight="1">
      <c r="A27" s="19" t="n">
        <v>3</v>
      </c>
      <c r="B27" s="59" t="inlineStr">
        <is>
          <t>13.50.3</t>
        </is>
      </c>
      <c r="C27" s="81" t="inlineStr">
        <is>
          <t>Priming coat with red oxide zinc chromate primer on steel work (DAR 13.50.3, Finishing)</t>
        </is>
      </c>
      <c r="D27" s="61" t="inlineStr">
        <is>
          <t>sqm</t>
        </is>
      </c>
      <c r="E27" s="62" t="n">
        <v>3</v>
      </c>
      <c r="F27" s="63">
        <f>XV_13_50_3</f>
        <v/>
      </c>
      <c r="G27" s="43">
        <f>IF(OR(B27="", E27=""), 0, ROUND(E27 * F27, 2))</f>
        <v/>
      </c>
      <c r="H27" s="143" t="inlineStr">
        <is>
          <t>Resolved on Resolved_Cross_Volume_Items from WB1 data only (Rs 50.70 per sqm). A-tagged: DAR item 10.1 tags this line "A" and computes every markup on (W-A), (X-A), (Y-A), (Z-A). Verified: 1% of (6469.38-152.10) = 63.17, exactly the figure the book prints.</t>
        </is>
      </c>
      <c r="I27" s="159" t="inlineStr">
        <is>
          <t>A</t>
        </is>
      </c>
    </row>
    <row r="28" ht="20" customHeight="1">
      <c r="A28" s="19" t="n">
        <v>4</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3" t="inlineStr"/>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0116</t>
        </is>
      </c>
      <c r="C39" s="81">
        <f>IF(B39="","", IFERROR(INDEX(Rates_Master!$C:$C, MATCH(B39, Rates_Master!$A:$A, 0)), "Custom Labour / Plant"))</f>
        <v/>
      </c>
      <c r="D39" s="61">
        <f>IF(B39="","", IFERROR(INDEX(Rates_Master!$D:$D, MATCH(B39, Rates_Master!$A:$A, 0)), ""))</f>
        <v/>
      </c>
      <c r="E39" s="62" t="n">
        <v>0.5</v>
      </c>
      <c r="F39" s="63">
        <f>IF(B39="","", IFERROR(INDEX(Rates_Master!$E:$E, MATCH(B39, Rates_Master!$A:$A, 0)), 0))</f>
        <v/>
      </c>
      <c r="G39" s="43">
        <f>IF(OR(B39="", E39=""), 0, ROUND(E39 * F39, 2))</f>
        <v/>
      </c>
      <c r="H39" s="143" t="inlineStr">
        <is>
          <t>Fitter (grade 1)</t>
        </is>
      </c>
      <c r="I39" s="6" t="inlineStr"/>
    </row>
    <row r="40" ht="20" customHeight="1">
      <c r="A40" s="19" t="n">
        <v>2</v>
      </c>
      <c r="B40" s="59" t="inlineStr">
        <is>
          <t>0103</t>
        </is>
      </c>
      <c r="C40" s="81">
        <f>IF(B40="","", IFERROR(INDEX(Rates_Master!$C:$C, MATCH(B40, Rates_Master!$A:$A, 0)), "Custom Labour / Plant"))</f>
        <v/>
      </c>
      <c r="D40" s="61">
        <f>IF(B40="","", IFERROR(INDEX(Rates_Master!$D:$D, MATCH(B40, Rates_Master!$A:$A, 0)), ""))</f>
        <v/>
      </c>
      <c r="E40" s="62" t="n">
        <v>0.75</v>
      </c>
      <c r="F40" s="63">
        <f>IF(B40="","", IFERROR(INDEX(Rates_Master!$E:$E, MATCH(B40, Rates_Master!$A:$A, 0)), 0))</f>
        <v/>
      </c>
      <c r="G40" s="43">
        <f>IF(OR(B40="", E40=""), 0, ROUND(E40 * F40, 2))</f>
        <v/>
      </c>
      <c r="H40" s="143" t="inlineStr">
        <is>
          <t>Blacksmith 2nd class</t>
        </is>
      </c>
      <c r="I40" s="6" t="inlineStr"/>
    </row>
    <row r="41" ht="20" customHeight="1">
      <c r="A41" s="19" t="n">
        <v>3</v>
      </c>
      <c r="B41" s="59" t="inlineStr">
        <is>
          <t>0114</t>
        </is>
      </c>
      <c r="C41" s="81">
        <f>IF(B41="","", IFERROR(INDEX(Rates_Master!$C:$C, MATCH(B41, Rates_Master!$A:$A, 0)), "Custom Labour / Plant"))</f>
        <v/>
      </c>
      <c r="D41" s="61">
        <f>IF(B41="","", IFERROR(INDEX(Rates_Master!$D:$D, MATCH(B41, Rates_Master!$A:$A, 0)), ""))</f>
        <v/>
      </c>
      <c r="E41" s="62" t="n">
        <v>1</v>
      </c>
      <c r="F41" s="63">
        <f>IF(B41="","", IFERROR(INDEX(Rates_Master!$E:$E, MATCH(B41, Rates_Master!$A:$A, 0)), 0))</f>
        <v/>
      </c>
      <c r="G41" s="43">
        <f>IF(OR(B41="", E41=""), 0, ROUND(E41 * F41, 2))</f>
        <v/>
      </c>
      <c r="H41" s="143" t="inlineStr">
        <is>
          <t>Beldar</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20.67</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 applied on (W - Priming coat).</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 applied on (X - Priming coat).</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CPOH applied on (Y - Priming coat).</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Cess applied on (Z - Priming coat).</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10.1</t>
        </is>
      </c>
      <c r="B72" s="149" t="inlineStr">
        <is>
          <t>Structural steel work in single section fixed complete with priming coat</t>
        </is>
      </c>
      <c r="C72" s="150" t="inlineStr">
        <is>
          <t>quintal</t>
        </is>
      </c>
      <c r="D72" s="150" t="n">
        <v>1</v>
      </c>
      <c r="E72" s="151" t="n">
        <v>6469.38</v>
      </c>
      <c r="F72" s="150" t="inlineStr">
        <is>
          <t>Full W-&gt;X-&gt;Y-&gt;Z (excl. primer)</t>
        </is>
      </c>
      <c r="G72" s="151" t="n">
        <v>8604.219999999999</v>
      </c>
      <c r="H72" s="152" t="n">
        <v>8604.200000000001</v>
      </c>
      <c r="I72" s="151" t="n"/>
    </row>
    <row r="73" ht="20" customHeight="1">
      <c r="A73" s="153" t="inlineStr">
        <is>
          <t>C-10.02</t>
        </is>
      </c>
      <c r="B73" s="154" t="inlineStr">
        <is>
          <t>(Available for new custom item)</t>
        </is>
      </c>
      <c r="C73" s="155" t="inlineStr">
        <is>
          <t>quintal</t>
        </is>
      </c>
      <c r="D73" s="155" t="n">
        <v>1</v>
      </c>
      <c r="E73" s="156" t="n"/>
      <c r="F73" s="155" t="inlineStr">
        <is>
          <t>Full W-&gt;X-&gt;Y-&gt;Z</t>
        </is>
      </c>
      <c r="G73" s="156" t="n"/>
      <c r="H73" s="157" t="n"/>
      <c r="I73" s="156" t="n"/>
    </row>
    <row r="74" ht="20" customHeight="1">
      <c r="A74" s="110" t="inlineStr">
        <is>
          <t>C-10.03</t>
        </is>
      </c>
      <c r="B74" s="149" t="inlineStr">
        <is>
          <t>(Available for new custom item)</t>
        </is>
      </c>
      <c r="C74" s="150" t="inlineStr">
        <is>
          <t>quintal</t>
        </is>
      </c>
      <c r="D74" s="150" t="n">
        <v>1</v>
      </c>
      <c r="E74" s="151" t="n"/>
      <c r="F74" s="150" t="inlineStr">
        <is>
          <t>Full W-&gt;X-&gt;Y-&gt;Z</t>
        </is>
      </c>
      <c r="G74" s="151" t="n"/>
      <c r="H74" s="152" t="n"/>
      <c r="I74" s="151" t="n"/>
    </row>
    <row r="75" ht="20" customHeight="1">
      <c r="A75" s="153" t="inlineStr">
        <is>
          <t>C-10.04</t>
        </is>
      </c>
      <c r="B75" s="154" t="inlineStr">
        <is>
          <t>(Available for new custom item)</t>
        </is>
      </c>
      <c r="C75" s="155" t="inlineStr">
        <is>
          <t>quintal</t>
        </is>
      </c>
      <c r="D75" s="155" t="n">
        <v>1</v>
      </c>
      <c r="E75" s="156" t="n"/>
      <c r="F75" s="155" t="inlineStr">
        <is>
          <t>Full W-&gt;X-&gt;Y-&gt;Z</t>
        </is>
      </c>
      <c r="G75" s="156" t="n"/>
      <c r="H75" s="157" t="n"/>
      <c r="I75" s="156" t="n"/>
    </row>
    <row r="76" ht="20" customHeight="1">
      <c r="A76" s="110" t="inlineStr">
        <is>
          <t>C-10.05</t>
        </is>
      </c>
      <c r="B76" s="149" t="inlineStr">
        <is>
          <t>(Available for new custom item)</t>
        </is>
      </c>
      <c r="C76" s="150" t="inlineStr">
        <is>
          <t>quintal</t>
        </is>
      </c>
      <c r="D76" s="150" t="n">
        <v>1</v>
      </c>
      <c r="E76" s="151" t="n"/>
      <c r="F76" s="150" t="inlineStr">
        <is>
          <t>Full W-&gt;X-&gt;Y-&gt;Z</t>
        </is>
      </c>
      <c r="G76" s="151" t="n"/>
      <c r="H76" s="152" t="n"/>
      <c r="I76" s="151" t="n"/>
    </row>
    <row r="77" ht="20" customHeight="1">
      <c r="A77" s="153" t="inlineStr">
        <is>
          <t>C-10.06</t>
        </is>
      </c>
      <c r="B77" s="154" t="inlineStr">
        <is>
          <t>(Available for new custom item)</t>
        </is>
      </c>
      <c r="C77" s="155" t="inlineStr">
        <is>
          <t>quintal</t>
        </is>
      </c>
      <c r="D77" s="155" t="n">
        <v>1</v>
      </c>
      <c r="E77" s="156" t="n"/>
      <c r="F77" s="155" t="inlineStr">
        <is>
          <t>Full W-&gt;X-&gt;Y-&gt;Z</t>
        </is>
      </c>
      <c r="G77" s="156" t="n"/>
      <c r="H77" s="157" t="n"/>
      <c r="I77" s="156" t="n"/>
    </row>
    <row r="78" ht="20" customHeight="1">
      <c r="A78" s="110" t="inlineStr">
        <is>
          <t>C-10.07</t>
        </is>
      </c>
      <c r="B78" s="149" t="inlineStr">
        <is>
          <t>(Available for new custom item)</t>
        </is>
      </c>
      <c r="C78" s="150" t="inlineStr">
        <is>
          <t>quintal</t>
        </is>
      </c>
      <c r="D78" s="150" t="n">
        <v>1</v>
      </c>
      <c r="E78" s="151" t="n"/>
      <c r="F78" s="150" t="inlineStr">
        <is>
          <t>Full W-&gt;X-&gt;Y-&gt;Z</t>
        </is>
      </c>
      <c r="G78" s="151" t="n"/>
      <c r="H78" s="152" t="n"/>
      <c r="I78" s="151" t="n"/>
    </row>
    <row r="79" ht="20" customHeight="1">
      <c r="A79" s="153" t="inlineStr">
        <is>
          <t>C-10.08</t>
        </is>
      </c>
      <c r="B79" s="154" t="inlineStr">
        <is>
          <t>(Available for new custom item)</t>
        </is>
      </c>
      <c r="C79" s="155" t="inlineStr">
        <is>
          <t>quintal</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"single section,built-up section, riveted / bolted / welded,truss / lattice girder,gusset plated connection"</formula1>
    </dataValidation>
    <dataValidation sqref="B8" showDropDown="0" showInputMessage="0" showErrorMessage="0" allowBlank="1" type="list">
      <formula1>"tees, angles, channels and R.S. joists,flats exceeding 10 mm in thickness,flats upto 10 mm in thickness,plates / gussets,hollow sections"</formula1>
    </dataValidation>
    <dataValidation sqref="B9" showDropDown="0" showInputMessage="0" showErrorMessage="0" allowBlank="1" type="list">
      <formula1>"red oxide zinc chromate primer (DAR 13.50.3),ready mixed pink / grey primer (DAR 13.50.1),no priming coat"</formula1>
    </dataValidation>
    <dataValidation sqref="B10" showDropDown="0" showInputMessage="0" showErrorMessage="0" allowBlank="1" type="list">
      <formula1>"with or without connecting plate,with connecting plate,without connecting plate"</formula1>
    </dataValidation>
    <dataValidation sqref="B11" showDropDown="0" showInputMessage="0" showErrorMessage="0" allowBlank="1" type="list">
      <formula1>"for all heights,upto floor V level,above floor V level"</formula1>
    </dataValidation>
    <dataValidation sqref="B12"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11: Tile, stone, marble, and concrete flooring. Consumes mortar bedding (from 03_Mortars), flooring tiles, neat cement slurry, and floor polishing masons.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Flooring material</t>
        </is>
      </c>
      <c r="B7" s="138" t="inlineStr">
        <is>
          <t>precast terrazzo tiles</t>
        </is>
      </c>
      <c r="C7" s="30" t="inlineStr">
        <is>
          <t>DRIVES COST</t>
        </is>
      </c>
      <c r="D7" s="139" t="inlineStr">
        <is>
          <t>Material row 1</t>
        </is>
      </c>
      <c r="E7" s="24" t="inlineStr">
        <is>
          <t>DAR 11.1 (brick on edge), 11.2 (dry brick on edge on mud mortar), 11.3 (cement concrete flooring) and the tile items are separate analyses with entirely different material lines.</t>
        </is>
      </c>
      <c r="F7" s="58" t="n"/>
      <c r="G7" s="58" t="n"/>
      <c r="H7" s="58" t="n"/>
      <c r="I7" s="58" t="n"/>
    </row>
    <row r="8" ht="32" customHeight="1">
      <c r="A8" s="137" t="inlineStr">
        <is>
          <t>Bedding mortar ratio</t>
        </is>
      </c>
      <c r="B8" s="138" t="inlineStr">
        <is>
          <t>cement mortar 1:4 (1 cement : 4 coarse sand)</t>
        </is>
      </c>
      <c r="C8" s="30" t="inlineStr">
        <is>
          <t>DRIVES COST</t>
        </is>
      </c>
      <c r="D8" s="139" t="inlineStr">
        <is>
          <t>Mortar import row</t>
        </is>
      </c>
      <c r="E8" s="24" t="inlineStr">
        <is>
          <t>DAR 11.1.1 imports Mortar item 3.9 (1:4) and 11.1.2 imports 3.11 (1:6) for the identical brick flooring; 11.2 imports 3.18 (mud mortar) instead. The bed is a live cost lever.</t>
        </is>
      </c>
      <c r="F8" s="58" t="n"/>
      <c r="G8" s="58" t="n"/>
      <c r="H8" s="58" t="n"/>
      <c r="I8" s="58" t="n"/>
    </row>
    <row r="9" ht="32" customHeight="1">
      <c r="A9" s="137" t="inlineStr">
        <is>
          <t>Flooring thickness</t>
        </is>
      </c>
      <c r="B9" s="138" t="inlineStr">
        <is>
          <t>40 mm thick</t>
        </is>
      </c>
      <c r="C9" s="30" t="inlineStr">
        <is>
          <t>DRIVES COST</t>
        </is>
      </c>
      <c r="D9" s="139" t="inlineStr">
        <is>
          <t>Material coeffs</t>
        </is>
      </c>
      <c r="E9" s="24" t="inlineStr">
        <is>
          <t>DAR 11.3.1 (40 mm), 11.4 (52 mm with hardener topping) and 11.5 (62 mm with hardener topping) are separate printed items with rising material quantities.</t>
        </is>
      </c>
      <c r="F9" s="58" t="n"/>
      <c r="G9" s="58" t="n"/>
      <c r="H9" s="58" t="n"/>
      <c r="I9" s="58" t="n"/>
    </row>
    <row r="10" ht="32" customHeight="1">
      <c r="A10" s="137" t="inlineStr">
        <is>
          <t>Surface finish</t>
        </is>
      </c>
      <c r="B10" s="138" t="inlineStr">
        <is>
          <t>finished with a floating coat of neat cement</t>
        </is>
      </c>
      <c r="C10" s="30" t="inlineStr">
        <is>
          <t>DRIVES COST</t>
        </is>
      </c>
      <c r="D10" s="139" t="inlineStr">
        <is>
          <t>Material / labour rows</t>
        </is>
      </c>
      <c r="E10" s="24" t="inlineStr">
        <is>
          <t>DAR 11.3 is finished "with a floating coat of neat cement" - a costed cement line - while 11.4 and 11.5 carry a concrete hardener topping instead, at a different rate.</t>
        </is>
      </c>
      <c r="F10" s="58" t="n"/>
      <c r="G10" s="58" t="n"/>
      <c r="H10" s="58" t="n"/>
      <c r="I10" s="58" t="n"/>
    </row>
    <row r="11" ht="32" customHeight="1">
      <c r="A11" s="137" t="inlineStr">
        <is>
          <t>Bedding thickness</t>
        </is>
      </c>
      <c r="B11" s="138" t="inlineStr">
        <is>
          <t>on a bed of 12 mm cement mortar</t>
        </is>
      </c>
      <c r="C11" s="30" t="inlineStr">
        <is>
          <t>DRIVES COST</t>
        </is>
      </c>
      <c r="D11" s="139" t="inlineStr">
        <is>
          <t>Mortar import row</t>
        </is>
      </c>
      <c r="E11" s="24" t="inlineStr">
        <is>
          <t>DAR 11.1 states the bed thickness in the item title ("on a bed of 12 mm cement mortar"), which sets the mortar volume per sqm.</t>
        </is>
      </c>
      <c r="F11" s="58" t="n"/>
      <c r="G11" s="58" t="n"/>
      <c r="H11" s="58" t="n"/>
      <c r="I11" s="58" t="n"/>
    </row>
    <row r="12" ht="32" customHeight="1">
      <c r="A12" s="137" t="inlineStr">
        <is>
          <t>Laying pattern</t>
        </is>
      </c>
      <c r="B12" s="138" t="inlineStr">
        <is>
          <t>in required pattern</t>
        </is>
      </c>
      <c r="C12" s="2" t="inlineStr">
        <is>
          <t>NOMENCLATURE ONLY</t>
        </is>
      </c>
      <c r="D12" s="139" t="inlineStr">
        <is>
          <t>-</t>
        </is>
      </c>
      <c r="E12" s="24" t="inlineStr">
        <is>
          <t>DAR 11.2 says "in required pattern" and prices one rate; the book gives no pattern-by-pattern differential.</t>
        </is>
      </c>
      <c r="F12" s="58" t="n"/>
      <c r="G12" s="58" t="n"/>
      <c r="H12" s="58" t="n"/>
      <c r="I12" s="58" t="n"/>
    </row>
    <row r="13" ht="22" customHeight="1">
      <c r="A13" s="16" t="inlineStr">
        <is>
          <t>Custom Item Code:</t>
        </is>
      </c>
      <c r="B13" s="59" t="inlineStr">
        <is>
          <t>C-11.01</t>
        </is>
      </c>
      <c r="C13" s="16" t="inlineStr">
        <is>
          <t>Batch Output Basis:</t>
        </is>
      </c>
      <c r="D13" s="94" t="n">
        <v>10</v>
      </c>
      <c r="E13" s="16" t="inlineStr">
        <is>
          <t>Output Unit:</t>
        </is>
      </c>
      <c r="F13" s="59" t="inlineStr">
        <is>
          <t>sqm</t>
        </is>
      </c>
      <c r="G13" s="16" t="inlineStr">
        <is>
          <t>Trade Sub-Head:</t>
        </is>
      </c>
      <c r="H13" s="35" t="inlineStr">
        <is>
          <t>11 Flooring</t>
        </is>
      </c>
      <c r="I13" s="66" t="inlineStr">
        <is>
          <t>Output Unit Note:</t>
        </is>
      </c>
    </row>
    <row r="14" ht="40" customHeight="1">
      <c r="A14" s="16" t="inlineStr">
        <is>
          <t>Assembled Item Nomenclature:</t>
        </is>
      </c>
      <c r="B14" s="140">
        <f>IF(I14&lt;&gt;"", I14, "Flooring with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Neat cement slurry</t>
        </is>
      </c>
      <c r="B17" s="94" t="n">
        <v>4.4</v>
      </c>
      <c r="C17" s="19" t="inlineStr">
        <is>
          <t>kg / sqm</t>
        </is>
      </c>
      <c r="D17" s="139" t="inlineStr">
        <is>
          <t>Cement row</t>
        </is>
      </c>
      <c r="E17" s="24" t="inlineStr">
        <is>
          <t>The floating coat of neat cement is priced as a separate cement quantity per sqm in the DAR flooring items.</t>
        </is>
      </c>
      <c r="F17" s="58" t="n"/>
      <c r="G17" s="58" t="n"/>
      <c r="H17" s="58" t="n"/>
      <c r="I17" s="58" t="n"/>
    </row>
    <row r="18" ht="30" customHeight="1">
      <c r="A18" s="137" t="inlineStr">
        <is>
          <t>Bedding mortar consumption</t>
        </is>
      </c>
      <c r="B18" s="160" t="n">
        <v>0.012</v>
      </c>
      <c r="C18" s="19" t="inlineStr">
        <is>
          <t>cum / sqm</t>
        </is>
      </c>
      <c r="D18" s="139" t="inlineStr">
        <is>
          <t>Mortar import row</t>
        </is>
      </c>
      <c r="E18" s="24" t="inlineStr">
        <is>
          <t>A 12 mm bed over 1 sqm is 0.012 cum, which is how the DAR derives the mortar line.</t>
        </is>
      </c>
      <c r="F18" s="58" t="n"/>
      <c r="G18" s="58" t="n"/>
      <c r="H18" s="58" t="n"/>
      <c r="I18" s="58" t="n"/>
    </row>
    <row r="19" ht="30" customHeight="1">
      <c r="A19" s="137" t="inlineStr">
        <is>
          <t>Tile wastage allowance</t>
        </is>
      </c>
      <c r="B19" s="94" t="n">
        <v>5</v>
      </c>
      <c r="C19" s="19" t="inlineStr">
        <is>
          <t>%</t>
        </is>
      </c>
      <c r="D19" s="139" t="inlineStr">
        <is>
          <t>Material row 1</t>
        </is>
      </c>
      <c r="E19" s="24" t="inlineStr">
        <is>
          <t>Cutting waste at edges and around obstructions; the DAR absorbs it in the printed coefficient, so set 0 to reproduce the book exactly.</t>
        </is>
      </c>
      <c r="F19" s="58" t="n"/>
      <c r="G19" s="58" t="n"/>
      <c r="H19" s="58" t="n"/>
      <c r="I19" s="58" t="n"/>
    </row>
    <row r="20" ht="30" customHeight="1">
      <c r="A20" s="137" t="inlineStr">
        <is>
          <t>Polishing machine productivity</t>
        </is>
      </c>
      <c r="B20" s="158" t="n">
        <v>0.1</v>
      </c>
      <c r="C20" s="19" t="inlineStr">
        <is>
          <t>days / 10 sqm</t>
        </is>
      </c>
      <c r="D20" s="139" t="inlineStr">
        <is>
          <t>Plant row</t>
        </is>
      </c>
      <c r="E20" s="24" t="inlineStr">
        <is>
          <t>Floor rubbing and polishing machine (code 0013) is a day-rated plant line including operator and fuel per CPWD Note 1.</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0291</t>
        </is>
      </c>
      <c r="C25" s="81">
        <f>IF(B25="","", IFERROR(INDEX(Rates_Master!$C:$C, MATCH(B25, Rates_Master!$A:$A, 0)), "Custom / Intermediate Material"))</f>
        <v/>
      </c>
      <c r="D25" s="61">
        <f>IF(B25="","", IFERROR(INDEX(Rates_Master!$D:$D, MATCH(B25, Rates_Master!$A:$A, 0)), ""))</f>
        <v/>
      </c>
      <c r="E25" s="62" t="n">
        <v>10</v>
      </c>
      <c r="F25" s="63">
        <f>IF(B25="","", IFERROR(INDEX(Rates_Master!$E:$E, MATCH(B25, Rates_Master!$A:$A, 0)), 0))</f>
        <v/>
      </c>
      <c r="G25" s="43">
        <f>IF(OR(B25="", E25=""), 0, ROUND(E25 * F25, 2))</f>
        <v/>
      </c>
      <c r="H25" s="143" t="inlineStr">
        <is>
          <t>Precast terrazzo tiles 20mm thick (sqm)</t>
        </is>
      </c>
      <c r="I25" s="59" t="inlineStr"/>
    </row>
    <row r="26" ht="20" customHeight="1">
      <c r="A26" s="19" t="n">
        <v>2</v>
      </c>
      <c r="B26" s="59" t="inlineStr">
        <is>
          <t>2201</t>
        </is>
      </c>
      <c r="C26" s="81">
        <f>IF(B26="","", IFERROR(INDEX(Rates_Master!$C:$C, MATCH(B26, Rates_Master!$A:$A, 0)), "Custom / Intermediate Material"))</f>
        <v/>
      </c>
      <c r="D26" s="61">
        <f>IF(B26="","", IFERROR(INDEX(Rates_Master!$D:$D, MATCH(B26, Rates_Master!$A:$A, 0)), ""))</f>
        <v/>
      </c>
      <c r="E26" s="62" t="n">
        <v>0.05</v>
      </c>
      <c r="F26" s="63">
        <f>IF(B26="","", IFERROR(INDEX(Rates_Master!$E:$E, MATCH(B26, Rates_Master!$A:$A, 0)), 0))</f>
        <v/>
      </c>
      <c r="G26" s="43">
        <f>IF(OR(B26="", E26=""), 0, ROUND(E26 * F26, 2))</f>
        <v/>
      </c>
      <c r="H26" s="143" t="inlineStr">
        <is>
          <t>Carriage of tiles</t>
        </is>
      </c>
      <c r="I26" s="59" t="inlineStr"/>
    </row>
    <row r="27" ht="20" customHeight="1">
      <c r="A27" s="19" t="n">
        <v>3</v>
      </c>
      <c r="B27" s="59" t="inlineStr">
        <is>
          <t>03_Mortars</t>
        </is>
      </c>
      <c r="C27" s="81" t="inlineStr">
        <is>
          <t>Cement mortar 1:4 (Bedding mortar from 03_Mortars or DAR 3.9)</t>
        </is>
      </c>
      <c r="D27" s="61" t="inlineStr">
        <is>
          <t>cum</t>
        </is>
      </c>
      <c r="E27" s="62" t="n">
        <v>0.2</v>
      </c>
      <c r="F27" s="63">
        <f>'03_Mortars'!G66</f>
        <v/>
      </c>
      <c r="G27" s="43">
        <f>IF(OR(B27="", E27=""), 0, ROUND(E27 * F27, 2))</f>
        <v/>
      </c>
      <c r="H27" s="143" t="inlineStr">
        <is>
          <t>Bedding mortar</t>
        </is>
      </c>
      <c r="I27" s="59" t="inlineStr"/>
    </row>
    <row r="28" ht="20" customHeight="1">
      <c r="A28" s="19" t="n">
        <v>4</v>
      </c>
      <c r="B28" s="59" t="inlineStr">
        <is>
          <t>0367</t>
        </is>
      </c>
      <c r="C28" s="81">
        <f>IF(B28="","", IFERROR(INDEX(Rates_Master!$C:$C, MATCH(B28, Rates_Master!$A:$A, 0)), "Custom / Intermediate Material"))</f>
        <v/>
      </c>
      <c r="D28" s="61">
        <f>IF(B28="","", IFERROR(INDEX(Rates_Master!$D:$D, MATCH(B28, Rates_Master!$A:$A, 0)), ""))</f>
        <v/>
      </c>
      <c r="E28" s="62" t="n">
        <v>0.044</v>
      </c>
      <c r="F28" s="63">
        <f>IF(B28="","", IFERROR(INDEX(Rates_Master!$E:$E, MATCH(B28, Rates_Master!$A:$A, 0)), 0))</f>
        <v/>
      </c>
      <c r="G28" s="43">
        <f>IF(OR(B28="", E28=""), 0, ROUND(E28 * F28, 2))</f>
        <v/>
      </c>
      <c r="H28" s="143" t="inlineStr">
        <is>
          <t>Cement for neat cement slurry (4.4 kg/sqm)</t>
        </is>
      </c>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1.2</v>
      </c>
      <c r="F39" s="63">
        <f>IF(B39="","", IFERROR(INDEX(Rates_Master!$E:$E, MATCH(B39, Rates_Master!$A:$A, 0)), 0))</f>
        <v/>
      </c>
      <c r="G39" s="43">
        <f>IF(OR(B39="", E39=""), 0, ROUND(E39 * F39, 2))</f>
        <v/>
      </c>
      <c r="H39" s="143" t="inlineStr">
        <is>
          <t>Mason (average)</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1.2</v>
      </c>
      <c r="F40" s="63">
        <f>IF(B40="","", IFERROR(INDEX(Rates_Master!$E:$E, MATCH(B40, Rates_Master!$A:$A, 0)), 0))</f>
        <v/>
      </c>
      <c r="G40" s="43">
        <f>IF(OR(B40="", E40=""), 0, ROUND(E40 * F40, 2))</f>
        <v/>
      </c>
      <c r="H40" s="143" t="inlineStr">
        <is>
          <t>Coolie</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0.2</v>
      </c>
      <c r="F41" s="63">
        <f>IF(B41="","", IFERROR(INDEX(Rates_Master!$E:$E, MATCH(B41, Rates_Master!$A:$A, 0)), 0))</f>
        <v/>
      </c>
      <c r="G41" s="43">
        <f>IF(OR(B41="", E41=""), 0, ROUND(E41 * F41, 2))</f>
        <v/>
      </c>
      <c r="H41" s="143" t="inlineStr">
        <is>
          <t>Bhisti</t>
        </is>
      </c>
      <c r="I41" s="6" t="inlineStr"/>
    </row>
    <row r="42" ht="20" customHeight="1">
      <c r="A42" s="19" t="n">
        <v>4</v>
      </c>
      <c r="B42" s="59" t="inlineStr">
        <is>
          <t>0013</t>
        </is>
      </c>
      <c r="C42" s="81">
        <f>IF(B42="","", IFERROR(INDEX(Rates_Master!$C:$C, MATCH(B42, Rates_Master!$A:$A, 0)), "Custom Labour / Plant"))</f>
        <v/>
      </c>
      <c r="D42" s="61">
        <f>IF(B42="","", IFERROR(INDEX(Rates_Master!$D:$D, MATCH(B42, Rates_Master!$A:$A, 0)), ""))</f>
        <v/>
      </c>
      <c r="E42" s="62" t="n">
        <v>0.3</v>
      </c>
      <c r="F42" s="63">
        <f>IF(B42="","", IFERROR(INDEX(Rates_Master!$E:$E, MATCH(B42, Rates_Master!$A:$A, 0)), 0))</f>
        <v/>
      </c>
      <c r="G42" s="43">
        <f>IF(OR(B42="", E42=""), 0, ROUND(E42 * F42, 2))</f>
        <v/>
      </c>
      <c r="H42" s="143" t="inlineStr">
        <is>
          <t>Machine for rubbing &amp; polishing of floors</t>
        </is>
      </c>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10</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11.3.1</t>
        </is>
      </c>
      <c r="B72" s="149" t="inlineStr">
        <is>
          <t>Precast terrazzo tiles 20 mm thick laid in floors in CM 1:4</t>
        </is>
      </c>
      <c r="C72" s="150" t="inlineStr">
        <is>
          <t>sqm</t>
        </is>
      </c>
      <c r="D72" s="150" t="n">
        <v>10</v>
      </c>
      <c r="E72" s="151" t="n">
        <v>7850</v>
      </c>
      <c r="F72" s="150" t="inlineStr">
        <is>
          <t>Full W-&gt;X-&gt;Y-&gt;Z</t>
        </is>
      </c>
      <c r="G72" s="151" t="n">
        <v>1049.8</v>
      </c>
      <c r="H72" s="152" t="n">
        <v>1049.8</v>
      </c>
      <c r="I72" s="151" t="n"/>
    </row>
    <row r="73" ht="20" customHeight="1">
      <c r="A73" s="153" t="inlineStr">
        <is>
          <t>C-11.02</t>
        </is>
      </c>
      <c r="B73" s="154" t="inlineStr">
        <is>
          <t>(Available for new custom item)</t>
        </is>
      </c>
      <c r="C73" s="155" t="inlineStr">
        <is>
          <t>sqm</t>
        </is>
      </c>
      <c r="D73" s="155" t="n">
        <v>10</v>
      </c>
      <c r="E73" s="156" t="n"/>
      <c r="F73" s="155" t="inlineStr">
        <is>
          <t>Full W-&gt;X-&gt;Y-&gt;Z</t>
        </is>
      </c>
      <c r="G73" s="156" t="n"/>
      <c r="H73" s="157" t="n"/>
      <c r="I73" s="156" t="n"/>
    </row>
    <row r="74" ht="20" customHeight="1">
      <c r="A74" s="110" t="inlineStr">
        <is>
          <t>C-11.03</t>
        </is>
      </c>
      <c r="B74" s="149" t="inlineStr">
        <is>
          <t>(Available for new custom item)</t>
        </is>
      </c>
      <c r="C74" s="150" t="inlineStr">
        <is>
          <t>sqm</t>
        </is>
      </c>
      <c r="D74" s="150" t="n">
        <v>10</v>
      </c>
      <c r="E74" s="151" t="n"/>
      <c r="F74" s="150" t="inlineStr">
        <is>
          <t>Full W-&gt;X-&gt;Y-&gt;Z</t>
        </is>
      </c>
      <c r="G74" s="151" t="n"/>
      <c r="H74" s="152" t="n"/>
      <c r="I74" s="151" t="n"/>
    </row>
    <row r="75" ht="20" customHeight="1">
      <c r="A75" s="153" t="inlineStr">
        <is>
          <t>C-11.04</t>
        </is>
      </c>
      <c r="B75" s="154" t="inlineStr">
        <is>
          <t>(Available for new custom item)</t>
        </is>
      </c>
      <c r="C75" s="155" t="inlineStr">
        <is>
          <t>sqm</t>
        </is>
      </c>
      <c r="D75" s="155" t="n">
        <v>10</v>
      </c>
      <c r="E75" s="156" t="n"/>
      <c r="F75" s="155" t="inlineStr">
        <is>
          <t>Full W-&gt;X-&gt;Y-&gt;Z</t>
        </is>
      </c>
      <c r="G75" s="156" t="n"/>
      <c r="H75" s="157" t="n"/>
      <c r="I75" s="156" t="n"/>
    </row>
    <row r="76" ht="20" customHeight="1">
      <c r="A76" s="110" t="inlineStr">
        <is>
          <t>C-11.05</t>
        </is>
      </c>
      <c r="B76" s="149" t="inlineStr">
        <is>
          <t>(Available for new custom item)</t>
        </is>
      </c>
      <c r="C76" s="150" t="inlineStr">
        <is>
          <t>sqm</t>
        </is>
      </c>
      <c r="D76" s="150" t="n">
        <v>10</v>
      </c>
      <c r="E76" s="151" t="n"/>
      <c r="F76" s="150" t="inlineStr">
        <is>
          <t>Full W-&gt;X-&gt;Y-&gt;Z</t>
        </is>
      </c>
      <c r="G76" s="151" t="n"/>
      <c r="H76" s="152" t="n"/>
      <c r="I76" s="151" t="n"/>
    </row>
    <row r="77" ht="20" customHeight="1">
      <c r="A77" s="153" t="inlineStr">
        <is>
          <t>C-11.06</t>
        </is>
      </c>
      <c r="B77" s="154" t="inlineStr">
        <is>
          <t>(Available for new custom item)</t>
        </is>
      </c>
      <c r="C77" s="155" t="inlineStr">
        <is>
          <t>sqm</t>
        </is>
      </c>
      <c r="D77" s="155" t="n">
        <v>10</v>
      </c>
      <c r="E77" s="156" t="n"/>
      <c r="F77" s="155" t="inlineStr">
        <is>
          <t>Full W-&gt;X-&gt;Y-&gt;Z</t>
        </is>
      </c>
      <c r="G77" s="156" t="n"/>
      <c r="H77" s="157" t="n"/>
      <c r="I77" s="156" t="n"/>
    </row>
    <row r="78" ht="20" customHeight="1">
      <c r="A78" s="110" t="inlineStr">
        <is>
          <t>C-11.07</t>
        </is>
      </c>
      <c r="B78" s="149" t="inlineStr">
        <is>
          <t>(Available for new custom item)</t>
        </is>
      </c>
      <c r="C78" s="150" t="inlineStr">
        <is>
          <t>sqm</t>
        </is>
      </c>
      <c r="D78" s="150" t="n">
        <v>10</v>
      </c>
      <c r="E78" s="151" t="n"/>
      <c r="F78" s="150" t="inlineStr">
        <is>
          <t>Full W-&gt;X-&gt;Y-&gt;Z</t>
        </is>
      </c>
      <c r="G78" s="151" t="n"/>
      <c r="H78" s="152" t="n"/>
      <c r="I78" s="151" t="n"/>
    </row>
    <row r="79" ht="20" customHeight="1">
      <c r="A79" s="153" t="inlineStr">
        <is>
          <t>C-11.08</t>
        </is>
      </c>
      <c r="B79" s="154" t="inlineStr">
        <is>
          <t>(Available for new custom item)</t>
        </is>
      </c>
      <c r="C79" s="155" t="inlineStr">
        <is>
          <t>sqm</t>
        </is>
      </c>
      <c r="D79" s="155" t="n">
        <v>10</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"brick on edge (class 7.5),precast terrazzo tiles,cement concrete flooring,Kota stone slab,marble slab,ceramic / vitrified tile"</formula1>
    </dataValidation>
    <dataValidation sqref="B8" showDropDown="0" showInputMessage="0" showErrorMessage="0" allowBlank="1" type="list">
      <formula1>"cement mortar 1:3 (1 cement : 3 coarse sand),cement mortar 1:4 (1 cement : 4 coarse sand),cement mortar 1:6 (1 cement : 6 coarse sand),mud mortar (DAR 3.18)"</formula1>
    </dataValidation>
    <dataValidation sqref="B9" showDropDown="0" showInputMessage="0" showErrorMessage="0" allowBlank="1" type="list">
      <formula1>"20 mm thick,40 mm thick,52 mm thick,62 mm thick"</formula1>
    </dataValidation>
    <dataValidation sqref="B10" showDropDown="0" showInputMessage="0" showErrorMessage="0" allowBlank="1" type="list">
      <formula1>"finished with a floating coat of neat cement,concrete hardener topping,machine rubbed and polished,no special finish"</formula1>
    </dataValidation>
    <dataValidation sqref="B11" showDropDown="0" showInputMessage="0" showErrorMessage="0" allowBlank="1" type="list">
      <formula1>"on a bed of 12 mm cement mortar,on a bed of 20 mm cement mortar,on a bed of 25 mm cement mortar"</formula1>
    </dataValidation>
    <dataValidation sqref="B12"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12: Sheet roofing and roof waterproofing. Includes corrugated G.S. sheets (with 5% lap wastage), J/L hooks, bolts, bitumen/limpet washers, and painter/carpenter labour.</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Sheet thickness</t>
        </is>
      </c>
      <c r="B7" s="138" t="inlineStr">
        <is>
          <t>1.00 mm thick</t>
        </is>
      </c>
      <c r="C7" s="30" t="inlineStr">
        <is>
          <t>DRIVES COST</t>
        </is>
      </c>
      <c r="D7" s="139" t="inlineStr">
        <is>
          <t>Material row 1</t>
        </is>
      </c>
      <c r="E7" s="24" t="inlineStr">
        <is>
          <t>The dominant driver. DAR 12.1.1 (1.00 mm), 12.1.2 (0.80 mm) and 12.1.3 (0.63 mm) derive the sheet weight explicitly - 17.72 kg per sheet at 0.80 mm against 13.38 kg at 0.63 mm - so the material line moves with thickness.</t>
        </is>
      </c>
      <c r="F7" s="58" t="n"/>
      <c r="G7" s="58" t="n"/>
      <c r="H7" s="58" t="n"/>
      <c r="I7" s="58" t="n"/>
    </row>
    <row r="8" ht="32" customHeight="1">
      <c r="A8" s="137" t="inlineStr">
        <is>
          <t>Sheet type</t>
        </is>
      </c>
      <c r="B8" s="138" t="inlineStr">
        <is>
          <t>corrugated G.S. sheet</t>
        </is>
      </c>
      <c r="C8" s="30" t="inlineStr">
        <is>
          <t>DRIVES COST</t>
        </is>
      </c>
      <c r="D8" s="139" t="inlineStr">
        <is>
          <t>Material row 1</t>
        </is>
      </c>
      <c r="E8" s="24" t="inlineStr">
        <is>
          <t>DAR 12.1 (corrugated G.S. sheet roofing) and 12.4 (plain G.S. sheet ridges and hips) use different material codes and different fixing labour.</t>
        </is>
      </c>
      <c r="F8" s="58" t="n"/>
      <c r="G8" s="58" t="n"/>
      <c r="H8" s="58" t="n"/>
      <c r="I8" s="58" t="n"/>
    </row>
    <row r="9" ht="32" customHeight="1">
      <c r="A9" s="137" t="inlineStr">
        <is>
          <t>Zinc coating</t>
        </is>
      </c>
      <c r="B9" s="138" t="inlineStr">
        <is>
          <t>zinc coating not less than 275 gm/sqm</t>
        </is>
      </c>
      <c r="C9" s="2" t="inlineStr">
        <is>
          <t>NOMENCLATURE ONLY</t>
        </is>
      </c>
      <c r="D9" s="139" t="inlineStr">
        <is>
          <t>-</t>
        </is>
      </c>
      <c r="E9" s="24" t="inlineStr">
        <is>
          <t>DAR 12.1.1-12.1.3 all state "zinc coating not less than 275 gm/m2" - it is a specification threshold the book applies to every thickness, not a rate differential.</t>
        </is>
      </c>
      <c r="F9" s="58" t="n"/>
      <c r="G9" s="58" t="n"/>
      <c r="H9" s="58" t="n"/>
      <c r="I9" s="58" t="n"/>
    </row>
    <row r="10" ht="32" customHeight="1">
      <c r="A10" s="137" t="inlineStr">
        <is>
          <t>Fixing hardware</t>
        </is>
      </c>
      <c r="B10" s="138" t="inlineStr">
        <is>
          <t>polymer coated J or L hooks, bolts and nuts</t>
        </is>
      </c>
      <c r="C10" s="30" t="inlineStr">
        <is>
          <t>DRIVES COST</t>
        </is>
      </c>
      <c r="D10" s="139" t="inlineStr">
        <is>
          <t>Material rows 3-6</t>
        </is>
      </c>
      <c r="E10" s="24" t="inlineStr">
        <is>
          <t>The DAR prices the hooks (code 1023), bolts and nuts (1022), G.I. limpet washers (1207) and bitumen washers (1208) as four separate costed material lines.</t>
        </is>
      </c>
      <c r="F10" s="58" t="n"/>
      <c r="G10" s="58" t="n"/>
      <c r="H10" s="58" t="n"/>
      <c r="I10" s="58" t="n"/>
    </row>
    <row r="11" ht="32" customHeight="1">
      <c r="A11" s="137" t="inlineStr">
        <is>
          <t>Surface type</t>
        </is>
      </c>
      <c r="B11" s="138" t="inlineStr">
        <is>
          <t>vertical / curved surface included</t>
        </is>
      </c>
      <c r="C11" s="2" t="inlineStr">
        <is>
          <t>NOMENCLATURE ONLY</t>
        </is>
      </c>
      <c r="D11" s="139" t="inlineStr">
        <is>
          <t>-</t>
        </is>
      </c>
      <c r="E11" s="24" t="inlineStr">
        <is>
          <t>DAR 12.1 is titled "including vertical / curved surface" and prices one rate for both, so the clause does not carry its own figure.</t>
        </is>
      </c>
      <c r="F11" s="58" t="n"/>
      <c r="G11" s="58" t="n"/>
      <c r="H11" s="58" t="n"/>
      <c r="I11" s="58" t="n"/>
    </row>
    <row r="12" ht="32" customHeight="1">
      <c r="A12" s="137" t="inlineStr">
        <is>
          <t>Openings and cutting</t>
        </is>
      </c>
      <c r="B12" s="138" t="inlineStr">
        <is>
          <t>no openings</t>
        </is>
      </c>
      <c r="C12" s="30" t="inlineStr">
        <is>
          <t>DRIVES COST</t>
        </is>
      </c>
      <c r="D12" s="139" t="inlineStr">
        <is>
          <t>Labour rows</t>
        </is>
      </c>
      <c r="E12" s="24" t="inlineStr">
        <is>
          <t>DAR 12.2 (straight cutting) and 12.3 (circular cutting) are explicit EXTRA items for openings exceeding 40 sq decimetre, each analysed by thickness - so cutting is separately costed data.</t>
        </is>
      </c>
      <c r="F12" s="58" t="n"/>
      <c r="G12" s="58" t="n"/>
      <c r="H12" s="58" t="n"/>
      <c r="I12" s="58" t="n"/>
    </row>
    <row r="13" ht="22" customHeight="1">
      <c r="A13" s="16" t="inlineStr">
        <is>
          <t>Custom Item Code:</t>
        </is>
      </c>
      <c r="B13" s="59" t="inlineStr">
        <is>
          <t>C-12.01</t>
        </is>
      </c>
      <c r="C13" s="16" t="inlineStr">
        <is>
          <t>Batch Output Basis:</t>
        </is>
      </c>
      <c r="D13" s="94" t="n">
        <v>184.52</v>
      </c>
      <c r="E13" s="16" t="inlineStr">
        <is>
          <t>Output Unit:</t>
        </is>
      </c>
      <c r="F13" s="59" t="inlineStr">
        <is>
          <t>sqm</t>
        </is>
      </c>
      <c r="G13" s="16" t="inlineStr">
        <is>
          <t>Trade Sub-Head:</t>
        </is>
      </c>
      <c r="H13" s="35" t="inlineStr">
        <is>
          <t>12 Roofing</t>
        </is>
      </c>
      <c r="I13" s="66" t="inlineStr">
        <is>
          <t>Output Unit Note:</t>
        </is>
      </c>
    </row>
    <row r="14" ht="40" customHeight="1">
      <c r="A14" s="16" t="inlineStr">
        <is>
          <t>Assembled Item Nomenclature:</t>
        </is>
      </c>
      <c r="B14" s="140">
        <f>IF(I14&lt;&gt;"", I14, "Providing roofing with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Lap and wastage allowance</t>
        </is>
      </c>
      <c r="B17" s="94" t="n">
        <v>5</v>
      </c>
      <c r="C17" s="19" t="inlineStr">
        <is>
          <t>%</t>
        </is>
      </c>
      <c r="D17" s="139" t="inlineStr">
        <is>
          <t>Material row 1</t>
        </is>
      </c>
      <c r="E17" s="24" t="inlineStr">
        <is>
          <t>Side and end laps mean more sheet is bought than roof is covered; the DAR builds the lap into its sheet-count derivation for each roof geometry.</t>
        </is>
      </c>
      <c r="F17" s="58" t="n"/>
      <c r="G17" s="58" t="n"/>
      <c r="H17" s="58" t="n"/>
      <c r="I17" s="58" t="n"/>
    </row>
    <row r="18" ht="30" customHeight="1">
      <c r="A18" s="137" t="inlineStr">
        <is>
          <t>Sheet unit weight</t>
        </is>
      </c>
      <c r="B18" s="94" t="n">
        <v>17.72</v>
      </c>
      <c r="C18" s="19" t="inlineStr">
        <is>
          <t>kg / sheet</t>
        </is>
      </c>
      <c r="D18" s="139" t="inlineStr">
        <is>
          <t>Material row 1</t>
        </is>
      </c>
      <c r="E18" s="24" t="inlineStr">
        <is>
          <t>DAR 12.1.2 derives this openly: "2.8 x 0.9 @ 17.72 kg each = 956.8 kg". Change it when you change the thickness above.</t>
        </is>
      </c>
      <c r="F18" s="58" t="n"/>
      <c r="G18" s="58" t="n"/>
      <c r="H18" s="58" t="n"/>
      <c r="I18" s="58" t="n"/>
    </row>
    <row r="19" ht="30" customHeight="1">
      <c r="A19" s="137" t="inlineStr">
        <is>
          <t>Hooks per sheet</t>
        </is>
      </c>
      <c r="B19" s="142" t="n">
        <v>8</v>
      </c>
      <c r="C19" s="19" t="inlineStr">
        <is>
          <t>Nos</t>
        </is>
      </c>
      <c r="D19" s="139" t="inlineStr">
        <is>
          <t>Material rows 3-4</t>
        </is>
      </c>
      <c r="E19" s="24" t="inlineStr">
        <is>
          <t>Fixing hardware is counted per sheet in the DAR derivation rather than per sqm.</t>
        </is>
      </c>
      <c r="F19" s="58" t="n"/>
      <c r="G19" s="58" t="n"/>
      <c r="H19" s="58" t="n"/>
      <c r="I19" s="58" t="n"/>
    </row>
    <row r="20" ht="30" customHeight="1">
      <c r="A20" s="137" t="inlineStr">
        <is>
          <t>Priming and painting of laps</t>
        </is>
      </c>
      <c r="B20" s="59" t="inlineStr">
        <is>
          <t>YES</t>
        </is>
      </c>
      <c r="C20" s="19" t="inlineStr">
        <is>
          <t>YES / NO</t>
        </is>
      </c>
      <c r="D20" s="139" t="inlineStr">
        <is>
          <t>Painter row</t>
        </is>
      </c>
      <c r="E20" s="24" t="inlineStr">
        <is>
          <t>DAR 12.1 items carry a Painter line for priming and painting the overlaps; toggle drives whether that labour row applies.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3050</t>
        </is>
      </c>
      <c r="C25" s="81">
        <f>IF(B25="","", IFERROR(INDEX(Rates_Master!$C:$C, MATCH(B25, Rates_Master!$A:$A, 0)), "Custom / Intermediate Material"))</f>
        <v/>
      </c>
      <c r="D25" s="61">
        <f>IF(B25="","", IFERROR(INDEX(Rates_Master!$D:$D, MATCH(B25, Rates_Master!$A:$A, 0)), ""))</f>
        <v/>
      </c>
      <c r="E25" s="62" t="n">
        <v>23.26</v>
      </c>
      <c r="F25" s="63">
        <f>IF(B25="","", IFERROR(INDEX(Rates_Master!$E:$E, MATCH(B25, Rates_Master!$A:$A, 0)), 0))</f>
        <v/>
      </c>
      <c r="G25" s="43">
        <f>IF(OR(B25="", E25=""), 0, ROUND(E25 * F25, 2))</f>
        <v/>
      </c>
      <c r="H25" s="143" t="inlineStr">
        <is>
          <t>Galvanised steel corrugated sheets (quintal)</t>
        </is>
      </c>
      <c r="I25" s="59" t="inlineStr"/>
    </row>
    <row r="26" ht="20" customHeight="1">
      <c r="A26" s="19" t="n">
        <v>2</v>
      </c>
      <c r="B26" s="59" t="inlineStr">
        <is>
          <t>2302</t>
        </is>
      </c>
      <c r="C26" s="81">
        <f>IF(B26="","", IFERROR(INDEX(Rates_Master!$C:$C, MATCH(B26, Rates_Master!$A:$A, 0)), "Custom / Intermediate Material"))</f>
        <v/>
      </c>
      <c r="D26" s="61">
        <f>IF(B26="","", IFERROR(INDEX(Rates_Master!$D:$D, MATCH(B26, Rates_Master!$A:$A, 0)), ""))</f>
        <v/>
      </c>
      <c r="E26" s="62" t="n">
        <v>2.326</v>
      </c>
      <c r="F26" s="63">
        <f>IF(B26="","", IFERROR(INDEX(Rates_Master!$E:$E, MATCH(B26, Rates_Master!$A:$A, 0)), 0))</f>
        <v/>
      </c>
      <c r="G26" s="43">
        <f>IF(OR(B26="", E26=""), 0, ROUND(E26 * F26, 2))</f>
        <v/>
      </c>
      <c r="H26" s="143" t="inlineStr">
        <is>
          <t>Carriage of G.I. sheet and accessories (tonne)</t>
        </is>
      </c>
      <c r="I26" s="59" t="inlineStr"/>
    </row>
    <row r="27" ht="20" customHeight="1">
      <c r="A27" s="19" t="n">
        <v>3</v>
      </c>
      <c r="B27" s="59" t="inlineStr">
        <is>
          <t>1022</t>
        </is>
      </c>
      <c r="C27" s="81">
        <f>IF(B27="","", IFERROR(INDEX(Rates_Master!$C:$C, MATCH(B27, Rates_Master!$A:$A, 0)), "Custom / Intermediate Material"))</f>
        <v/>
      </c>
      <c r="D27" s="61">
        <f>IF(B27="","", IFERROR(INDEX(Rates_Master!$D:$D, MATCH(B27, Rates_Master!$A:$A, 0)), ""))</f>
        <v/>
      </c>
      <c r="E27" s="62" t="n">
        <v>88.40000000000001</v>
      </c>
      <c r="F27" s="63">
        <f>IF(B27="","", IFERROR(INDEX(Rates_Master!$E:$E, MATCH(B27, Rates_Master!$A:$A, 0)), 0))</f>
        <v/>
      </c>
      <c r="G27" s="43">
        <f>IF(OR(B27="", E27=""), 0, ROUND(E27 * F27, 2))</f>
        <v/>
      </c>
      <c r="H27" s="143" t="inlineStr">
        <is>
          <t>Galvanised steel bolts &amp; nuts 6mm dia, 25mm long (10 Nos)</t>
        </is>
      </c>
      <c r="I27" s="59" t="inlineStr"/>
    </row>
    <row r="28" ht="20" customHeight="1">
      <c r="A28" s="19" t="n">
        <v>4</v>
      </c>
      <c r="B28" s="59" t="inlineStr">
        <is>
          <t>1023</t>
        </is>
      </c>
      <c r="C28" s="81">
        <f>IF(B28="","", IFERROR(INDEX(Rates_Master!$C:$C, MATCH(B28, Rates_Master!$A:$A, 0)), "Custom / Intermediate Material"))</f>
        <v/>
      </c>
      <c r="D28" s="61">
        <f>IF(B28="","", IFERROR(INDEX(Rates_Master!$D:$D, MATCH(B28, Rates_Master!$A:$A, 0)), ""))</f>
        <v/>
      </c>
      <c r="E28" s="62" t="n">
        <v>81</v>
      </c>
      <c r="F28" s="63">
        <f>IF(B28="","", IFERROR(INDEX(Rates_Master!$E:$E, MATCH(B28, Rates_Master!$A:$A, 0)), 0))</f>
        <v/>
      </c>
      <c r="G28" s="43">
        <f>IF(OR(B28="", E28=""), 0, ROUND(E28 * F28, 2))</f>
        <v/>
      </c>
      <c r="H28" s="143" t="inlineStr">
        <is>
          <t>Galvanised steel J or L hooks 8 mm dia (10 Nos)</t>
        </is>
      </c>
      <c r="I28" s="59" t="inlineStr"/>
    </row>
    <row r="29" ht="20" customHeight="1">
      <c r="A29" s="19" t="n">
        <v>5</v>
      </c>
      <c r="B29" s="59" t="inlineStr">
        <is>
          <t>1207</t>
        </is>
      </c>
      <c r="C29" s="81">
        <f>IF(B29="","", IFERROR(INDEX(Rates_Master!$C:$C, MATCH(B29, Rates_Master!$A:$A, 0)), "Custom / Intermediate Material"))</f>
        <v/>
      </c>
      <c r="D29" s="61">
        <f>IF(B29="","", IFERROR(INDEX(Rates_Master!$D:$D, MATCH(B29, Rates_Master!$A:$A, 0)), ""))</f>
        <v/>
      </c>
      <c r="E29" s="62" t="n">
        <v>16.94</v>
      </c>
      <c r="F29" s="63">
        <f>IF(B29="","", IFERROR(INDEX(Rates_Master!$E:$E, MATCH(B29, Rates_Master!$A:$A, 0)), 0))</f>
        <v/>
      </c>
      <c r="G29" s="43">
        <f>IF(OR(B29="", E29=""), 0, ROUND(E29 * F29, 2))</f>
        <v/>
      </c>
      <c r="H29" s="143" t="inlineStr">
        <is>
          <t>G.I. Limpet washer (100 Nos)</t>
        </is>
      </c>
      <c r="I29" s="59" t="inlineStr"/>
    </row>
    <row r="30" ht="20" customHeight="1">
      <c r="A30" s="19" t="n">
        <v>6</v>
      </c>
      <c r="B30" s="59" t="inlineStr">
        <is>
          <t>1208</t>
        </is>
      </c>
      <c r="C30" s="81">
        <f>IF(B30="","", IFERROR(INDEX(Rates_Master!$C:$C, MATCH(B30, Rates_Master!$A:$A, 0)), "Custom / Intermediate Material"))</f>
        <v/>
      </c>
      <c r="D30" s="61">
        <f>IF(B30="","", IFERROR(INDEX(Rates_Master!$D:$D, MATCH(B30, Rates_Master!$A:$A, 0)), ""))</f>
        <v/>
      </c>
      <c r="E30" s="62" t="n">
        <v>16.94</v>
      </c>
      <c r="F30" s="63">
        <f>IF(B30="","", IFERROR(INDEX(Rates_Master!$E:$E, MATCH(B30, Rates_Master!$A:$A, 0)), 0))</f>
        <v/>
      </c>
      <c r="G30" s="43">
        <f>IF(OR(B30="", E30=""), 0, ROUND(E30 * F30, 2))</f>
        <v/>
      </c>
      <c r="H30" s="143" t="inlineStr">
        <is>
          <t>Bitumen washer (100 Nos)</t>
        </is>
      </c>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0156</t>
        </is>
      </c>
      <c r="C39" s="81">
        <f>IF(B39="","", IFERROR(INDEX(Rates_Master!$C:$C, MATCH(B39, Rates_Master!$A:$A, 0)), "Custom Labour / Plant"))</f>
        <v/>
      </c>
      <c r="D39" s="61">
        <f>IF(B39="","", IFERROR(INDEX(Rates_Master!$D:$D, MATCH(B39, Rates_Master!$A:$A, 0)), ""))</f>
        <v/>
      </c>
      <c r="E39" s="62" t="n">
        <v>4</v>
      </c>
      <c r="F39" s="63">
        <f>IF(B39="","", IFERROR(INDEX(Rates_Master!$E:$E, MATCH(B39, Rates_Master!$A:$A, 0)), 0))</f>
        <v/>
      </c>
      <c r="G39" s="43">
        <f>IF(OR(B39="", E39=""), 0, ROUND(E39 * F39, 2))</f>
        <v/>
      </c>
      <c r="H39" s="143" t="inlineStr">
        <is>
          <t>Carpenter / Erector</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6</v>
      </c>
      <c r="F40" s="63">
        <f>IF(B40="","", IFERROR(INDEX(Rates_Master!$E:$E, MATCH(B40, Rates_Master!$A:$A, 0)), 0))</f>
        <v/>
      </c>
      <c r="G40" s="43">
        <f>IF(OR(B40="", E40=""), 0, ROUND(E40 * F40, 2))</f>
        <v/>
      </c>
      <c r="H40" s="143" t="inlineStr">
        <is>
          <t>Beldar</t>
        </is>
      </c>
      <c r="I40" s="6" t="inlineStr"/>
    </row>
    <row r="41" ht="20" customHeight="1">
      <c r="A41" s="19" t="n">
        <v>3</v>
      </c>
      <c r="B41" s="59" t="inlineStr">
        <is>
          <t>0131</t>
        </is>
      </c>
      <c r="C41" s="81">
        <f>IF(B41="","", IFERROR(INDEX(Rates_Master!$C:$C, MATCH(B41, Rates_Master!$A:$A, 0)), "Custom Labour / Plant"))</f>
        <v/>
      </c>
      <c r="D41" s="61">
        <f>IF(B41="","", IFERROR(INDEX(Rates_Master!$D:$D, MATCH(B41, Rates_Master!$A:$A, 0)), ""))</f>
        <v/>
      </c>
      <c r="E41" s="62" t="n">
        <v>2</v>
      </c>
      <c r="F41" s="63">
        <f>IF(B41="","", IFERROR(INDEX(Rates_Master!$E:$E, MATCH(B41, Rates_Master!$A:$A, 0)), 0))</f>
        <v/>
      </c>
      <c r="G41" s="43">
        <f>IF(OR(B41="", E41=""), 0, ROUND(E41 * F41, 2))</f>
        <v/>
      </c>
      <c r="H41" s="143" t="inlineStr">
        <is>
          <t>Painter (for overlap priming &amp; painting)</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15</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12.1.1</t>
        </is>
      </c>
      <c r="B72" s="149" t="inlineStr">
        <is>
          <t>Corrugated G.S. sheet roofing 1.00 mm thick with accessories</t>
        </is>
      </c>
      <c r="C72" s="150" t="inlineStr">
        <is>
          <t>sqm</t>
        </is>
      </c>
      <c r="D72" s="150" t="n">
        <v>184.52</v>
      </c>
      <c r="E72" s="151" t="n">
        <v>152340</v>
      </c>
      <c r="F72" s="150" t="inlineStr">
        <is>
          <t>Full W-&gt;X-&gt;Y-&gt;Z</t>
        </is>
      </c>
      <c r="G72" s="151" t="n">
        <v>1104.5</v>
      </c>
      <c r="H72" s="152" t="n">
        <v>1104.5</v>
      </c>
      <c r="I72" s="151" t="n"/>
    </row>
    <row r="73" ht="20" customHeight="1">
      <c r="A73" s="153" t="inlineStr">
        <is>
          <t>C-12.02</t>
        </is>
      </c>
      <c r="B73" s="154" t="inlineStr">
        <is>
          <t>(Available for new custom item)</t>
        </is>
      </c>
      <c r="C73" s="155" t="inlineStr">
        <is>
          <t>sqm</t>
        </is>
      </c>
      <c r="D73" s="155" t="n">
        <v>184.52</v>
      </c>
      <c r="E73" s="156" t="n"/>
      <c r="F73" s="155" t="inlineStr">
        <is>
          <t>Full W-&gt;X-&gt;Y-&gt;Z</t>
        </is>
      </c>
      <c r="G73" s="156" t="n"/>
      <c r="H73" s="157" t="n"/>
      <c r="I73" s="156" t="n"/>
    </row>
    <row r="74" ht="20" customHeight="1">
      <c r="A74" s="110" t="inlineStr">
        <is>
          <t>C-12.03</t>
        </is>
      </c>
      <c r="B74" s="149" t="inlineStr">
        <is>
          <t>(Available for new custom item)</t>
        </is>
      </c>
      <c r="C74" s="150" t="inlineStr">
        <is>
          <t>sqm</t>
        </is>
      </c>
      <c r="D74" s="150" t="n">
        <v>184.52</v>
      </c>
      <c r="E74" s="151" t="n"/>
      <c r="F74" s="150" t="inlineStr">
        <is>
          <t>Full W-&gt;X-&gt;Y-&gt;Z</t>
        </is>
      </c>
      <c r="G74" s="151" t="n"/>
      <c r="H74" s="152" t="n"/>
      <c r="I74" s="151" t="n"/>
    </row>
    <row r="75" ht="20" customHeight="1">
      <c r="A75" s="153" t="inlineStr">
        <is>
          <t>C-12.04</t>
        </is>
      </c>
      <c r="B75" s="154" t="inlineStr">
        <is>
          <t>(Available for new custom item)</t>
        </is>
      </c>
      <c r="C75" s="155" t="inlineStr">
        <is>
          <t>sqm</t>
        </is>
      </c>
      <c r="D75" s="155" t="n">
        <v>184.52</v>
      </c>
      <c r="E75" s="156" t="n"/>
      <c r="F75" s="155" t="inlineStr">
        <is>
          <t>Full W-&gt;X-&gt;Y-&gt;Z</t>
        </is>
      </c>
      <c r="G75" s="156" t="n"/>
      <c r="H75" s="157" t="n"/>
      <c r="I75" s="156" t="n"/>
    </row>
    <row r="76" ht="20" customHeight="1">
      <c r="A76" s="110" t="inlineStr">
        <is>
          <t>C-12.05</t>
        </is>
      </c>
      <c r="B76" s="149" t="inlineStr">
        <is>
          <t>(Available for new custom item)</t>
        </is>
      </c>
      <c r="C76" s="150" t="inlineStr">
        <is>
          <t>sqm</t>
        </is>
      </c>
      <c r="D76" s="150" t="n">
        <v>184.52</v>
      </c>
      <c r="E76" s="151" t="n"/>
      <c r="F76" s="150" t="inlineStr">
        <is>
          <t>Full W-&gt;X-&gt;Y-&gt;Z</t>
        </is>
      </c>
      <c r="G76" s="151" t="n"/>
      <c r="H76" s="152" t="n"/>
      <c r="I76" s="151" t="n"/>
    </row>
    <row r="77" ht="20" customHeight="1">
      <c r="A77" s="153" t="inlineStr">
        <is>
          <t>C-12.06</t>
        </is>
      </c>
      <c r="B77" s="154" t="inlineStr">
        <is>
          <t>(Available for new custom item)</t>
        </is>
      </c>
      <c r="C77" s="155" t="inlineStr">
        <is>
          <t>sqm</t>
        </is>
      </c>
      <c r="D77" s="155" t="n">
        <v>184.52</v>
      </c>
      <c r="E77" s="156" t="n"/>
      <c r="F77" s="155" t="inlineStr">
        <is>
          <t>Full W-&gt;X-&gt;Y-&gt;Z</t>
        </is>
      </c>
      <c r="G77" s="156" t="n"/>
      <c r="H77" s="157" t="n"/>
      <c r="I77" s="156" t="n"/>
    </row>
    <row r="78" ht="20" customHeight="1">
      <c r="A78" s="110" t="inlineStr">
        <is>
          <t>C-12.07</t>
        </is>
      </c>
      <c r="B78" s="149" t="inlineStr">
        <is>
          <t>(Available for new custom item)</t>
        </is>
      </c>
      <c r="C78" s="150" t="inlineStr">
        <is>
          <t>sqm</t>
        </is>
      </c>
      <c r="D78" s="150" t="n">
        <v>184.52</v>
      </c>
      <c r="E78" s="151" t="n"/>
      <c r="F78" s="150" t="inlineStr">
        <is>
          <t>Full W-&gt;X-&gt;Y-&gt;Z</t>
        </is>
      </c>
      <c r="G78" s="151" t="n"/>
      <c r="H78" s="152" t="n"/>
      <c r="I78" s="151" t="n"/>
    </row>
    <row r="79" ht="20" customHeight="1">
      <c r="A79" s="153" t="inlineStr">
        <is>
          <t>C-12.08</t>
        </is>
      </c>
      <c r="B79" s="154" t="inlineStr">
        <is>
          <t>(Available for new custom item)</t>
        </is>
      </c>
      <c r="C79" s="155" t="inlineStr">
        <is>
          <t>sqm</t>
        </is>
      </c>
      <c r="D79" s="155" t="n">
        <v>184.52</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10">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"1.00 mm thick,0.80 mm thick,0.63 mm thick,0.50 mm thick"</formula1>
    </dataValidation>
    <dataValidation sqref="B8" showDropDown="0" showInputMessage="0" showErrorMessage="0" allowBlank="1" type="list">
      <formula1>"corrugated G.S. sheet,plain G.S. sheet,colour coated profile sheet,polycarbonate sheet,A.C. sheet"</formula1>
    </dataValidation>
    <dataValidation sqref="B9" showDropDown="0" showInputMessage="0" showErrorMessage="0" allowBlank="1" type="list">
      <formula1>"zinc coating not less than 275 gm/sqm,zinc coating not less than 120 gm/sqm"</formula1>
    </dataValidation>
    <dataValidation sqref="B10" showDropDown="0" showInputMessage="0" showErrorMessage="0" allowBlank="1" type="list">
      <formula1>"polymer coated J or L hooks, bolts and nuts,G.I. J or L hooks,self drilling screws,seam bolts"</formula1>
    </dataValidation>
    <dataValidation sqref="B11" showDropDown="0" showInputMessage="0" showErrorMessage="0" allowBlank="1" type="list">
      <formula1>"vertical / curved surface included,flat sloping surface only"</formula1>
    </dataValidation>
    <dataValidation sqref="B12" showDropDown="0" showInputMessage="0" showErrorMessage="0" allowBlank="1" type="list">
      <formula1>"no openings,straight cutting for openings (DAR 12.2),circular cutting for openings (DAR 12.3)"</formula1>
    </dataValidation>
    <dataValidation sqref="B2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2026-09-08T10:58:01Z</dcterms:created>
  <dcterms:modified xmlns:dcterms="http://purl.org/dc/terms/" xmlns:xsi="http://www.w3.org/2001/XMLSchema-instance" xsi:type="dcterms:W3CDTF">2026-09-08T10:58:04Z</dcterms:modified>
</cp:coreProperties>
</file>