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'01_Carriage_of_Materials'!$A$137:$A$173</definedName>
    <definedName name="CPWD_Carriage_Materials">'01_Carriage_of_Materials'!$B$137:$B$173</definedName>
    <definedName name="CPWD_Carriage_Scope">'01_Carriage_of_Materials'!$A$215:$A$220</definedName>
    <definedName name="CPWD_Carriage_Net_Payable">'01_Carriage_of_Materials'!$D$137:$D$173</definedName>
    <definedName name="CPWD_DataSheet1">'01_Carriage_of_Materials'!$A$103:$H$132</definedName>
  </definedNames>
  <calcPr calcId="124519" fullCalcOnLoad="1"/>
</workbook>
</file>

<file path=xl/styles.xml><?xml version="1.0" encoding="utf-8"?>
<styleSheet xmlns="http://schemas.openxmlformats.org/spreadsheetml/2006/main">
  <numFmts count="5">
    <numFmt numFmtId="164" formatCode="₹ #,##0.00"/>
    <numFmt numFmtId="165" formatCode="#,##0.000"/>
    <numFmt numFmtId="166" formatCode="0.0"/>
    <numFmt numFmtId="167" formatCode="0.000"/>
    <numFmt numFmtId="168"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2">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157">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applyProtection="1" pivotButton="0" quotePrefix="0" xfId="0">
      <alignment horizontal="right" vertical="center"/>
      <protection locked="0" hidden="0"/>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applyProtection="1" pivotButton="0" quotePrefix="0" xfId="0">
      <alignment horizontal="right" vertical="center"/>
      <protection locked="0" hidden="0"/>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applyProtection="1" pivotButton="0" quotePrefix="0" xfId="0">
      <protection locked="0" hidden="0"/>
    </xf>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applyProtection="1" pivotButton="0" quotePrefix="0" xfId="0">
      <alignment horizontal="right" vertical="center"/>
      <protection locked="0" hidden="0"/>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164" fontId="2" fillId="3" borderId="2" applyAlignment="1" pivotButton="0" quotePrefix="0" xfId="0">
      <alignment horizontal="right" vertical="center"/>
    </xf>
    <xf numFmtId="2" fontId="3" fillId="4" borderId="2" applyAlignment="1" pivotButton="0" quotePrefix="0" xfId="0">
      <alignment horizontal="right" vertical="center"/>
    </xf>
    <xf numFmtId="164" fontId="2"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11" borderId="2" applyAlignment="1" pivotButton="0" quotePrefix="0" xfId="0">
      <alignment horizontal="center" vertical="center"/>
    </xf>
    <xf numFmtId="0" fontId="0" fillId="0" borderId="5" pivotButton="0" quotePrefix="0" xfId="0"/>
    <xf numFmtId="0" fontId="0" fillId="0" borderId="6"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164" fontId="2" fillId="6" borderId="2" applyAlignment="1" applyProtection="1" pivotButton="0" quotePrefix="0" xfId="0">
      <alignment horizontal="center" vertical="center"/>
      <protection locked="0" hidden="0"/>
    </xf>
    <xf numFmtId="0" fontId="2" fillId="11" borderId="2" applyAlignment="1" applyProtection="1" pivotButton="0" quotePrefix="0" xfId="0">
      <alignment horizontal="left" vertical="center" wrapText="1"/>
      <protection locked="0" hidden="0"/>
    </xf>
    <xf numFmtId="0" fontId="2" fillId="4" borderId="2" applyAlignment="1" pivotButton="0" quotePrefix="0" xfId="0">
      <alignment horizontal="left" vertical="center" wrapText="1"/>
    </xf>
    <xf numFmtId="2" fontId="2" fillId="6" borderId="2" applyAlignment="1" applyProtection="1" pivotButton="0" quotePrefix="0" xfId="0">
      <alignment horizontal="center" vertical="center"/>
      <protection locked="0" hidden="0"/>
    </xf>
    <xf numFmtId="166" fontId="2" fillId="9" borderId="2" applyAlignment="1" pivotButton="0" quotePrefix="0" xfId="0">
      <alignment horizontal="center" vertical="center"/>
    </xf>
    <xf numFmtId="166" fontId="2" fillId="11" borderId="2" applyAlignment="1" applyProtection="1" pivotButton="0" quotePrefix="0" xfId="0">
      <alignment horizontal="center" vertical="center"/>
      <protection locked="0" hidden="0"/>
    </xf>
    <xf numFmtId="166" fontId="2" fillId="4" borderId="2" applyAlignment="1" pivotButton="0" quotePrefix="0" xfId="0">
      <alignment horizontal="center" vertical="center"/>
    </xf>
    <xf numFmtId="2" fontId="2" fillId="11"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167" fontId="2" fillId="4" borderId="2" applyAlignment="1" pivotButton="0" quotePrefix="0" xfId="0">
      <alignment horizontal="center" vertical="center"/>
    </xf>
    <xf numFmtId="1" fontId="2" fillId="4" borderId="2" applyAlignment="1" pivotButton="0" quotePrefix="0" xfId="0">
      <alignment horizontal="center" vertical="center"/>
    </xf>
    <xf numFmtId="2" fontId="2" fillId="9" borderId="2" applyAlignment="1" pivotButton="0" quotePrefix="0" xfId="0">
      <alignment horizontal="center" vertical="center"/>
    </xf>
    <xf numFmtId="168"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65" fontId="2" fillId="6" borderId="2" applyAlignment="1" applyProtection="1" pivotButton="0" quotePrefix="0" xfId="0">
      <alignment horizontal="right" vertical="center"/>
      <protection locked="0" hidden="0"/>
    </xf>
    <xf numFmtId="0" fontId="7" fillId="6" borderId="2" applyAlignment="1" pivotButton="0" quotePrefix="0" xfId="0">
      <alignment horizontal="center" vertical="center"/>
    </xf>
    <xf numFmtId="165" fontId="2" fillId="4" borderId="2" applyAlignment="1" pivotButton="0" quotePrefix="0" xfId="0">
      <alignment horizontal="right" vertical="center"/>
    </xf>
    <xf numFmtId="0" fontId="7" fillId="4" borderId="2" applyAlignment="1" pivotButton="0" quotePrefix="0" xfId="0">
      <alignment horizontal="center" vertical="center"/>
    </xf>
    <xf numFmtId="0" fontId="2" fillId="3" borderId="7" applyAlignment="1" pivotButton="0" quotePrefix="0" xfId="0">
      <alignment horizontal="right" vertical="center"/>
    </xf>
    <xf numFmtId="0" fontId="0" fillId="3" borderId="7" pivotButton="0" quotePrefix="0" xfId="0"/>
    <xf numFmtId="164" fontId="2" fillId="3" borderId="7" applyAlignment="1" pivotButton="0" quotePrefix="0" xfId="0">
      <alignment horizontal="right" vertical="center"/>
    </xf>
    <xf numFmtId="0" fontId="7" fillId="3" borderId="7" pivotButton="0" quotePrefix="0" xfId="0"/>
    <xf numFmtId="0" fontId="2" fillId="0" borderId="2" applyAlignment="1" pivotButton="0" quotePrefix="0" xfId="0">
      <alignment horizontal="right" vertical="center"/>
    </xf>
    <xf numFmtId="0" fontId="0" fillId="3"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7" fillId="9"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10" borderId="2" applyAlignment="1" pivotButton="0" quotePrefix="0" xfId="0">
      <alignment horizontal="center" vertical="center"/>
    </xf>
    <xf numFmtId="164" fontId="2" fillId="9" borderId="2" applyAlignment="1" pivotButton="0" quotePrefix="0" xfId="0">
      <alignment horizontal="center" vertical="center"/>
    </xf>
    <xf numFmtId="164" fontId="2" fillId="4" borderId="2" applyAlignment="1" pivotButton="0" quotePrefix="0" xfId="0">
      <alignment horizontal="center" vertical="center"/>
    </xf>
    <xf numFmtId="164" fontId="2" fillId="7" borderId="2" applyAlignment="1" pivotButton="0" quotePrefix="0" xfId="0">
      <alignment horizontal="center" vertical="center"/>
    </xf>
    <xf numFmtId="164" fontId="8" fillId="10" borderId="2" applyAlignment="1" pivotButton="0" quotePrefix="0" xfId="0">
      <alignment horizontal="center" vertical="center"/>
    </xf>
    <xf numFmtId="166" fontId="3" fillId="4" borderId="2" applyAlignment="1" pivotButton="0" quotePrefix="0" xfId="0">
      <alignment horizontal="center" vertical="center"/>
    </xf>
    <xf numFmtId="2" fontId="3" fillId="4" borderId="2" applyAlignment="1" pivotButton="0" quotePrefix="0" xfId="0">
      <alignment horizontal="center" vertical="center"/>
    </xf>
    <xf numFmtId="167" fontId="3" fillId="4" borderId="2" applyAlignment="1" pivotButton="0" quotePrefix="0" xfId="0">
      <alignment horizontal="right" vertical="center"/>
    </xf>
    <xf numFmtId="166" fontId="3" fillId="3" borderId="2" applyAlignment="1" pivotButton="0" quotePrefix="0" xfId="0">
      <alignment horizontal="center" vertical="center"/>
    </xf>
    <xf numFmtId="2" fontId="3" fillId="3" borderId="2" applyAlignment="1" pivotButton="0" quotePrefix="0" xfId="0">
      <alignment horizontal="center" vertical="center"/>
    </xf>
    <xf numFmtId="164" fontId="3" fillId="3" borderId="2" applyAlignment="1" pivotButton="0" quotePrefix="0" xfId="0">
      <alignment horizontal="right" vertical="center"/>
    </xf>
    <xf numFmtId="167" fontId="3" fillId="3" borderId="2" applyAlignment="1" pivotButton="0" quotePrefix="0" xfId="0">
      <alignment horizontal="right" vertical="center"/>
    </xf>
    <xf numFmtId="0" fontId="0" fillId="4" borderId="2" pivotButton="0" quotePrefix="0" xfId="0"/>
    <xf numFmtId="0" fontId="3" fillId="4" borderId="2" applyAlignment="1" pivotButton="0" quotePrefix="0" xfId="0">
      <alignment horizontal="left" vertical="center" wrapText="1"/>
    </xf>
    <xf numFmtId="0" fontId="7" fillId="4" borderId="2" pivotButton="0" quotePrefix="0" xfId="0"/>
    <xf numFmtId="0" fontId="3" fillId="3" borderId="2" applyAlignment="1" pivotButton="0" quotePrefix="0" xfId="0">
      <alignment horizontal="left" vertical="center" wrapText="1"/>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11"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7" fillId="3" borderId="2" applyAlignment="1" pivotButton="0" quotePrefix="0" xfId="0">
      <alignment horizontal="center" vertical="center"/>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7"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3"/>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9"/>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7"/>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the CPWD (W-A) rule: the priming coat (resolved item 13.50.3) already carries Water, GST, CPOH and Cess, so it is tagged A and every markup is computed on (W-A), (X-A), (Y-A), (Z-A). Verified against DAR item 10.1.</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0"/>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47"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8" t="n">
        <v>3.1</v>
      </c>
      <c r="G3" s="48" t="n">
        <v>2</v>
      </c>
      <c r="H3" s="4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47"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8" t="n">
        <v>7.4</v>
      </c>
      <c r="G5" s="48" t="n">
        <v>2</v>
      </c>
      <c r="H5" s="4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47"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8" t="n">
        <v>2.73</v>
      </c>
      <c r="G7" s="48" t="n">
        <v>2</v>
      </c>
      <c r="H7" s="4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47"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8" t="n">
        <v>10.79</v>
      </c>
      <c r="G9" s="48" t="n">
        <v>2</v>
      </c>
      <c r="H9" s="4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47"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8" t="n">
        <v>16.12</v>
      </c>
      <c r="G11" s="48" t="n">
        <v>2</v>
      </c>
      <c r="H11" s="4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47"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8" t="n">
        <v>18.85</v>
      </c>
      <c r="G13" s="48" t="n">
        <v>2</v>
      </c>
      <c r="H13" s="4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47"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8" t="n">
        <v>26.91</v>
      </c>
      <c r="G15" s="48" t="n">
        <v>2</v>
      </c>
      <c r="H15" s="4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47"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8" t="n">
        <v>80.73</v>
      </c>
      <c r="G17" s="48" t="n">
        <v>2</v>
      </c>
      <c r="H17" s="4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47"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8" t="n">
        <v>5.46</v>
      </c>
      <c r="G19" s="48" t="n">
        <v>2</v>
      </c>
      <c r="H19" s="4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47"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8" t="n">
        <v>31.46</v>
      </c>
      <c r="G21" s="48" t="n">
        <v>2</v>
      </c>
      <c r="H21" s="4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47"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8" t="n">
        <v>47.58</v>
      </c>
      <c r="G23" s="48" t="n">
        <v>2</v>
      </c>
      <c r="H23" s="4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47"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8" t="n">
        <v>33.15</v>
      </c>
      <c r="G25" s="48" t="n">
        <v>2</v>
      </c>
      <c r="H25" s="4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47"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8" t="n">
        <v>1.82</v>
      </c>
      <c r="G27" s="48" t="n">
        <v>2</v>
      </c>
      <c r="H27" s="4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47"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8" t="n">
        <v>3.64</v>
      </c>
      <c r="G29" s="48" t="n">
        <v>2</v>
      </c>
      <c r="H29" s="4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47"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8" t="n">
        <v>33.15</v>
      </c>
      <c r="G31" s="48" t="n">
        <v>2</v>
      </c>
      <c r="H31" s="4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47" t="n">
        <v>95.16</v>
      </c>
    </row>
    <row r="33" ht="20" customHeight="1">
      <c r="A33" s="7" t="inlineStr">
        <is>
          <t>02_Earth_Work</t>
        </is>
      </c>
      <c r="B33" s="8" t="inlineStr">
        <is>
          <t>2.8.1</t>
        </is>
      </c>
      <c r="C33" s="7" t="inlineStr">
        <is>
          <t>Rate as per item no. 2.8.1 of</t>
        </is>
      </c>
      <c r="D33" s="8" t="inlineStr">
        <is>
          <t>1 unit</t>
        </is>
      </c>
      <c r="E33" s="7" t="inlineStr">
        <is>
          <t>Sundries</t>
        </is>
      </c>
      <c r="F33" s="48" t="n">
        <v>13.52</v>
      </c>
      <c r="G33" s="48" t="n">
        <v>2</v>
      </c>
      <c r="H33" s="4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47" t="n">
        <v>27.04</v>
      </c>
    </row>
    <row r="35" ht="20" customHeight="1">
      <c r="A35" s="7" t="inlineStr">
        <is>
          <t>02_Earth_Work</t>
        </is>
      </c>
      <c r="B35" s="8" t="inlineStr">
        <is>
          <t>2.9.2</t>
        </is>
      </c>
      <c r="C35" s="7" t="inlineStr">
        <is>
          <t>Rate as per Item Number 2.9.2 of</t>
        </is>
      </c>
      <c r="D35" s="8" t="inlineStr">
        <is>
          <t>1 unit</t>
        </is>
      </c>
      <c r="E35" s="7" t="inlineStr">
        <is>
          <t>Sundries</t>
        </is>
      </c>
      <c r="F35" s="48" t="n">
        <v>13.52</v>
      </c>
      <c r="G35" s="48" t="n">
        <v>2</v>
      </c>
      <c r="H35" s="4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47"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8" t="n">
        <v>1.82</v>
      </c>
      <c r="G37" s="48" t="n">
        <v>2</v>
      </c>
      <c r="H37" s="4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47"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8" t="n">
        <v>5.46</v>
      </c>
      <c r="G39" s="48" t="n">
        <v>2</v>
      </c>
      <c r="H39" s="4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47"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8" t="n">
        <v>26.91</v>
      </c>
      <c r="G41" s="48" t="n">
        <v>2</v>
      </c>
      <c r="H41" s="4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47"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8" t="n">
        <v>35.88</v>
      </c>
      <c r="G43" s="48" t="n">
        <v>2</v>
      </c>
      <c r="H43" s="4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47"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8" t="n">
        <v>17.94</v>
      </c>
      <c r="G45" s="48" t="n">
        <v>2</v>
      </c>
      <c r="H45" s="4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47"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8" t="n">
        <v>26.9</v>
      </c>
      <c r="G47" s="48" t="n">
        <v>2</v>
      </c>
      <c r="H47" s="4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47"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8" t="n">
        <v>26.91</v>
      </c>
      <c r="G49" s="48" t="n">
        <v>2</v>
      </c>
      <c r="H49" s="4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47"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8" t="n">
        <v>26.91</v>
      </c>
      <c r="G51" s="48" t="n">
        <v>2</v>
      </c>
      <c r="H51" s="4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47"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8" t="n">
        <v>26.91</v>
      </c>
      <c r="G53" s="48" t="n">
        <v>2</v>
      </c>
      <c r="H53" s="4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47"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8" t="n">
        <v>26.91</v>
      </c>
      <c r="G55" s="48" t="n">
        <v>2</v>
      </c>
      <c r="H55" s="4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47"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8" t="n">
        <v>26.91</v>
      </c>
      <c r="G57" s="48" t="n">
        <v>2</v>
      </c>
      <c r="H57" s="4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47"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8" t="n">
        <v>26.91</v>
      </c>
      <c r="G59" s="48" t="n">
        <v>2</v>
      </c>
      <c r="H59" s="4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47"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8" t="n">
        <v>26.91</v>
      </c>
      <c r="G61" s="48" t="n">
        <v>2</v>
      </c>
      <c r="H61" s="4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47"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8" t="n">
        <v>26.91</v>
      </c>
      <c r="G63" s="48" t="n">
        <v>2</v>
      </c>
      <c r="H63" s="4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47"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8" t="n">
        <v>26.91</v>
      </c>
      <c r="G65" s="48" t="n">
        <v>2</v>
      </c>
      <c r="H65" s="4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47"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8" t="n">
        <v>26.91</v>
      </c>
      <c r="G67" s="48" t="n">
        <v>2</v>
      </c>
      <c r="H67" s="4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47"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8" t="n">
        <v>26.91</v>
      </c>
      <c r="G69" s="48" t="n">
        <v>2</v>
      </c>
      <c r="H69" s="4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47"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8" t="n">
        <v>26.91</v>
      </c>
      <c r="G71" s="48" t="n">
        <v>2</v>
      </c>
      <c r="H71" s="4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47"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8" t="n">
        <v>26.91</v>
      </c>
      <c r="G73" s="48" t="n">
        <v>2</v>
      </c>
      <c r="H73" s="4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47"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8" t="n">
        <v>26.91</v>
      </c>
      <c r="G75" s="48" t="n">
        <v>2</v>
      </c>
      <c r="H75" s="4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47"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8" t="n">
        <v>26.91</v>
      </c>
      <c r="G77" s="48" t="n">
        <v>2</v>
      </c>
      <c r="H77" s="4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47"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8" t="n">
        <v>26.91</v>
      </c>
      <c r="G79" s="48" t="n">
        <v>2</v>
      </c>
      <c r="H79" s="4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47"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8" t="n">
        <v>6.45</v>
      </c>
      <c r="G81" s="48" t="n">
        <v>2</v>
      </c>
      <c r="H81" s="4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47"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8" t="n">
        <v>5.2</v>
      </c>
      <c r="G83" s="48" t="n">
        <v>2</v>
      </c>
      <c r="H83" s="4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47"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8" t="n">
        <v>14.3</v>
      </c>
      <c r="G85" s="48" t="n">
        <v>2</v>
      </c>
      <c r="H85" s="4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47"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8" t="n">
        <v>13.52</v>
      </c>
      <c r="G87" s="48" t="n">
        <v>2</v>
      </c>
      <c r="H87" s="4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47"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8" t="n">
        <v>13.52</v>
      </c>
      <c r="G89" s="48" t="n">
        <v>2</v>
      </c>
      <c r="H89" s="4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47"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8" t="n">
        <v>8.970000000000001</v>
      </c>
      <c r="G91" s="48" t="n">
        <v>2</v>
      </c>
      <c r="H91" s="4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47"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8" t="n">
        <v>14.3</v>
      </c>
      <c r="G93" s="48" t="n">
        <v>2</v>
      </c>
      <c r="H93" s="4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47"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8" t="n">
        <v>14.3</v>
      </c>
      <c r="G95" s="48" t="n">
        <v>2</v>
      </c>
      <c r="H95" s="4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47"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8" t="n">
        <v>14.3</v>
      </c>
      <c r="G97" s="48" t="n">
        <v>2</v>
      </c>
      <c r="H97" s="4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47"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8" t="n">
        <v>13.52</v>
      </c>
      <c r="G99" s="48" t="n">
        <v>2</v>
      </c>
      <c r="H99" s="4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47"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8" t="n">
        <v>14.3</v>
      </c>
      <c r="G101" s="48" t="n">
        <v>2</v>
      </c>
      <c r="H101" s="4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47"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8" t="n">
        <v>52</v>
      </c>
      <c r="G103" s="48" t="n">
        <v>2</v>
      </c>
      <c r="H103" s="4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47"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8" t="n">
        <v>27.62</v>
      </c>
      <c r="G105" s="48" t="n">
        <v>2</v>
      </c>
      <c r="H105" s="4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47"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8" t="n">
        <v>52</v>
      </c>
      <c r="G107" s="48" t="n">
        <v>2</v>
      </c>
      <c r="H107" s="4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47"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8" t="n">
        <v>39</v>
      </c>
      <c r="G109" s="48" t="n">
        <v>2</v>
      </c>
      <c r="H109" s="4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47"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8" t="n">
        <v>30.54</v>
      </c>
      <c r="G111" s="48" t="n">
        <v>2</v>
      </c>
      <c r="H111" s="4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47"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8" t="n">
        <v>1.95</v>
      </c>
      <c r="G113" s="48" t="n">
        <v>2</v>
      </c>
      <c r="H113" s="4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47"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8" t="n">
        <v>33.15</v>
      </c>
      <c r="G115" s="48" t="n">
        <v>2</v>
      </c>
      <c r="H115" s="4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47"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8" t="n">
        <v>6.76</v>
      </c>
      <c r="G117" s="48" t="n">
        <v>2</v>
      </c>
      <c r="H117" s="4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47" t="n">
        <v>26</v>
      </c>
    </row>
    <row r="119" ht="20" customHeight="1">
      <c r="A119" s="7" t="inlineStr">
        <is>
          <t>04_Concrete_Work</t>
        </is>
      </c>
      <c r="B119" s="8" t="inlineStr">
        <is>
          <t>4.19.1</t>
        </is>
      </c>
      <c r="C119" s="7" t="inlineStr">
        <is>
          <t>All works upto plinth level:</t>
        </is>
      </c>
      <c r="D119" s="8" t="inlineStr">
        <is>
          <t>1</t>
        </is>
      </c>
      <c r="E119" s="7" t="inlineStr">
        <is>
          <t>Sundries</t>
        </is>
      </c>
      <c r="F119" s="48" t="n">
        <v>13</v>
      </c>
      <c r="G119" s="48" t="n">
        <v>2</v>
      </c>
      <c r="H119" s="4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47"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8" t="n">
        <v>13</v>
      </c>
      <c r="G121" s="48" t="n">
        <v>2</v>
      </c>
      <c r="H121" s="4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47" t="n">
        <v>26</v>
      </c>
    </row>
    <row r="123" ht="20" customHeight="1">
      <c r="A123" s="7" t="inlineStr">
        <is>
          <t>04_Concrete_Work</t>
        </is>
      </c>
      <c r="B123" s="8" t="inlineStr">
        <is>
          <t>4.20.1</t>
        </is>
      </c>
      <c r="C123" s="7" t="inlineStr">
        <is>
          <t>All works upto plinth level :</t>
        </is>
      </c>
      <c r="D123" s="8" t="inlineStr">
        <is>
          <t>1</t>
        </is>
      </c>
      <c r="E123" s="7" t="inlineStr">
        <is>
          <t>Sundries</t>
        </is>
      </c>
      <c r="F123" s="48" t="n">
        <v>13</v>
      </c>
      <c r="G123" s="48" t="n">
        <v>2</v>
      </c>
      <c r="H123" s="4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47"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8" t="n">
        <v>13</v>
      </c>
      <c r="G125" s="48" t="n">
        <v>2</v>
      </c>
      <c r="H125" s="4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47"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8" t="n">
        <v>14.3</v>
      </c>
      <c r="G127" s="48" t="n">
        <v>2</v>
      </c>
      <c r="H127" s="4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47"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8" t="n">
        <v>420.03</v>
      </c>
      <c r="G129" s="48" t="n">
        <v>2</v>
      </c>
      <c r="H129" s="4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47"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8" t="n">
        <v>401.89</v>
      </c>
      <c r="G131" s="48" t="n">
        <v>2</v>
      </c>
      <c r="H131" s="4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47"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8" t="n">
        <v>9.49</v>
      </c>
      <c r="G133" s="48" t="n">
        <v>2</v>
      </c>
      <c r="H133" s="4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47"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8" t="n">
        <v>52</v>
      </c>
      <c r="G135" s="48" t="n">
        <v>2</v>
      </c>
      <c r="H135" s="4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47"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8" t="n">
        <v>27.62</v>
      </c>
      <c r="G137" s="48" t="n">
        <v>2</v>
      </c>
      <c r="H137" s="4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47"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8" t="n">
        <v>52</v>
      </c>
      <c r="G139" s="48" t="n">
        <v>2</v>
      </c>
      <c r="H139" s="4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47" t="n">
        <v>44.2</v>
      </c>
    </row>
    <row r="141" ht="20" customHeight="1">
      <c r="A141" s="7" t="inlineStr">
        <is>
          <t>05_RCC_Work</t>
        </is>
      </c>
      <c r="B141" s="8" t="inlineStr">
        <is>
          <t>10.1</t>
        </is>
      </c>
      <c r="C141" s="7" t="inlineStr">
        <is>
          <t>Rate as per item no.10.1</t>
        </is>
      </c>
      <c r="D141" s="8" t="inlineStr">
        <is>
          <t>1 unit</t>
        </is>
      </c>
      <c r="E141" s="7" t="inlineStr">
        <is>
          <t>Shuttering oil</t>
        </is>
      </c>
      <c r="F141" s="48" t="n">
        <v>78</v>
      </c>
      <c r="G141" s="48" t="n">
        <v>2</v>
      </c>
      <c r="H141" s="4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47"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8" t="n">
        <v>22.1</v>
      </c>
      <c r="G143" s="48" t="n">
        <v>2</v>
      </c>
      <c r="H143" s="4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47"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8" t="n">
        <v>49.7</v>
      </c>
      <c r="G145" s="48" t="n">
        <v>2</v>
      </c>
      <c r="H145" s="4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47" t="n">
        <v>44.2</v>
      </c>
    </row>
    <row r="147" ht="20" customHeight="1">
      <c r="A147" s="7" t="inlineStr">
        <is>
          <t>05_RCC_Work</t>
        </is>
      </c>
      <c r="B147" s="8" t="inlineStr">
        <is>
          <t>10.1</t>
        </is>
      </c>
      <c r="C147" s="7" t="inlineStr">
        <is>
          <t>Rate as per item no.10.1</t>
        </is>
      </c>
      <c r="D147" s="8" t="inlineStr">
        <is>
          <t>1 unit</t>
        </is>
      </c>
      <c r="E147" s="7" t="inlineStr">
        <is>
          <t>Shuttering oil</t>
        </is>
      </c>
      <c r="F147" s="48" t="n">
        <v>39</v>
      </c>
      <c r="G147" s="48" t="n">
        <v>2</v>
      </c>
      <c r="H147" s="4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47"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8" t="n">
        <v>27.62</v>
      </c>
      <c r="G149" s="48" t="n">
        <v>2</v>
      </c>
      <c r="H149" s="4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47"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8" t="n">
        <v>16.12</v>
      </c>
      <c r="G151" s="48" t="n">
        <v>2</v>
      </c>
      <c r="H151" s="4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47"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8" t="n">
        <v>134.55</v>
      </c>
      <c r="G153" s="48" t="n">
        <v>2</v>
      </c>
      <c r="H153" s="4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47"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8" t="n">
        <v>78</v>
      </c>
      <c r="G155" s="48" t="n">
        <v>2</v>
      </c>
      <c r="H155" s="4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47"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8" t="n">
        <v>80.73</v>
      </c>
      <c r="G157" s="48" t="n">
        <v>2</v>
      </c>
      <c r="H157" s="4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47"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8" t="n">
        <v>52</v>
      </c>
      <c r="G159" s="48" t="n">
        <v>2</v>
      </c>
      <c r="H159" s="4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47"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8" t="n">
        <v>5.2</v>
      </c>
      <c r="G161" s="48" t="n">
        <v>2</v>
      </c>
      <c r="H161" s="4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47"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8" t="n">
        <v>6.5</v>
      </c>
      <c r="G163" s="48" t="n">
        <v>2</v>
      </c>
      <c r="H163" s="4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47"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8" t="n">
        <v>5.2</v>
      </c>
      <c r="G165" s="48" t="n">
        <v>2</v>
      </c>
      <c r="H165" s="4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47" t="n">
        <v>25.26</v>
      </c>
    </row>
    <row r="167" ht="20" customHeight="1">
      <c r="A167" s="7" t="inlineStr">
        <is>
          <t>05_RCC_Work</t>
        </is>
      </c>
      <c r="B167" s="8" t="inlineStr">
        <is>
          <t>10.1</t>
        </is>
      </c>
      <c r="C167" s="7" t="inlineStr">
        <is>
          <t>Rate as per Item No.10.1 of</t>
        </is>
      </c>
      <c r="D167" s="8" t="inlineStr">
        <is>
          <t>1 unit</t>
        </is>
      </c>
      <c r="E167" s="7" t="inlineStr">
        <is>
          <t>Shuttering oil</t>
        </is>
      </c>
      <c r="F167" s="48" t="n">
        <v>78</v>
      </c>
      <c r="G167" s="48" t="n">
        <v>2</v>
      </c>
      <c r="H167" s="4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47"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8" t="n">
        <v>11.05</v>
      </c>
      <c r="G169" s="48" t="n">
        <v>2</v>
      </c>
      <c r="H169" s="4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47"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8" t="n">
        <v>26</v>
      </c>
      <c r="G171" s="48" t="n">
        <v>2</v>
      </c>
      <c r="H171" s="4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47"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8" t="n">
        <v>26</v>
      </c>
      <c r="G173" s="48" t="n">
        <v>2</v>
      </c>
      <c r="H173" s="4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47"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8" t="n">
        <v>26</v>
      </c>
      <c r="G175" s="48" t="n">
        <v>2</v>
      </c>
      <c r="H175" s="4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47"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8" t="n">
        <v>2.73</v>
      </c>
      <c r="G177" s="48" t="n">
        <v>2</v>
      </c>
      <c r="H177" s="4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47"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8" t="n">
        <v>89.7</v>
      </c>
      <c r="G179" s="48" t="n">
        <v>2</v>
      </c>
      <c r="H179" s="4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47"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8" t="n">
        <v>4.42</v>
      </c>
      <c r="G181" s="48" t="n">
        <v>2</v>
      </c>
      <c r="H181" s="4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47"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8" t="n">
        <v>17.94</v>
      </c>
      <c r="G183" s="48" t="n">
        <v>2</v>
      </c>
      <c r="H183" s="4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47" t="n">
        <v>143.52</v>
      </c>
    </row>
    <row r="185" ht="20" customHeight="1">
      <c r="A185" s="7" t="inlineStr">
        <is>
          <t>05_RCC_Work</t>
        </is>
      </c>
      <c r="B185" s="8" t="inlineStr">
        <is>
          <t>4.3.1</t>
        </is>
      </c>
      <c r="C185" s="7" t="inlineStr">
        <is>
          <t>Rate as per item no. 4.3.1 of</t>
        </is>
      </c>
      <c r="D185" s="8" t="inlineStr">
        <is>
          <t>1 unit</t>
        </is>
      </c>
      <c r="E185" s="7" t="inlineStr">
        <is>
          <t>Sundries</t>
        </is>
      </c>
      <c r="F185" s="48" t="n">
        <v>17.94</v>
      </c>
      <c r="G185" s="48" t="n">
        <v>2</v>
      </c>
      <c r="H185" s="4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47"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8" t="n">
        <v>6.2</v>
      </c>
      <c r="G187" s="48" t="n">
        <v>2</v>
      </c>
      <c r="H187" s="4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47"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8" t="n">
        <v>3.64</v>
      </c>
      <c r="G189" s="48" t="n">
        <v>2</v>
      </c>
      <c r="H189" s="4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47"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8" t="n">
        <v>1.82</v>
      </c>
      <c r="G191" s="48" t="n">
        <v>2</v>
      </c>
      <c r="H191" s="4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47"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8" t="n">
        <v>13.52</v>
      </c>
      <c r="G193" s="48" t="n">
        <v>2</v>
      </c>
      <c r="H193" s="4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47"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8" t="n">
        <v>26.91</v>
      </c>
      <c r="G195" s="48" t="n">
        <v>2</v>
      </c>
      <c r="H195" s="4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47"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8" t="n">
        <v>26</v>
      </c>
      <c r="G197" s="48" t="n">
        <v>2</v>
      </c>
      <c r="H197" s="4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47"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8" t="n">
        <v>26</v>
      </c>
      <c r="G199" s="48" t="n">
        <v>2</v>
      </c>
      <c r="H199" s="4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47"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8" t="n">
        <v>26</v>
      </c>
      <c r="G201" s="48" t="n">
        <v>2</v>
      </c>
      <c r="H201" s="4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47"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8" t="n">
        <v>26</v>
      </c>
      <c r="G203" s="48" t="n">
        <v>2</v>
      </c>
      <c r="H203" s="4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47"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8" t="n">
        <v>26</v>
      </c>
      <c r="G205" s="48" t="n">
        <v>2</v>
      </c>
      <c r="H205" s="4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47"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8" t="n">
        <v>26.91</v>
      </c>
      <c r="G207" s="48" t="n">
        <v>2</v>
      </c>
      <c r="H207" s="4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47"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8" t="n">
        <v>26.91</v>
      </c>
      <c r="G209" s="48" t="n">
        <v>2</v>
      </c>
      <c r="H209" s="4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47"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8" t="n">
        <v>26.91</v>
      </c>
      <c r="G211" s="48" t="n">
        <v>2</v>
      </c>
      <c r="H211" s="4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47"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8" t="n">
        <v>13.52</v>
      </c>
      <c r="G213" s="48" t="n">
        <v>2</v>
      </c>
      <c r="H213" s="4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47"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8" t="n">
        <v>26.91</v>
      </c>
      <c r="G215" s="48" t="n">
        <v>2</v>
      </c>
      <c r="H215" s="4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47"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8" t="n">
        <v>156</v>
      </c>
      <c r="G217" s="48" t="n">
        <v>2</v>
      </c>
      <c r="H217" s="4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47"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8" t="n">
        <v>26</v>
      </c>
      <c r="G219" s="48" t="n">
        <v>2</v>
      </c>
      <c r="H219" s="4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47"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8" t="n">
        <v>26.91</v>
      </c>
      <c r="G221" s="48" t="n">
        <v>2</v>
      </c>
      <c r="H221" s="4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47"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8" t="n">
        <v>11.7</v>
      </c>
      <c r="G223" s="48" t="n">
        <v>2</v>
      </c>
      <c r="H223" s="4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47"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8" t="n">
        <v>5.33</v>
      </c>
      <c r="G225" s="48" t="n">
        <v>2</v>
      </c>
      <c r="H225" s="4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47"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8" t="n">
        <v>6.24</v>
      </c>
      <c r="G227" s="48" t="n">
        <v>2</v>
      </c>
      <c r="H227" s="4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47"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8" t="n">
        <v>121.16</v>
      </c>
      <c r="G229" s="48" t="n">
        <v>2</v>
      </c>
      <c r="H229" s="4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47"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8" t="n">
        <v>40.3</v>
      </c>
      <c r="G231" s="48" t="n">
        <v>2</v>
      </c>
      <c r="H231" s="4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47"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8" t="n">
        <v>1.82</v>
      </c>
      <c r="G233" s="48" t="n">
        <v>2</v>
      </c>
      <c r="H233" s="4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47"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8" t="n">
        <v>40.3</v>
      </c>
      <c r="G235" s="48" t="n">
        <v>2</v>
      </c>
      <c r="H235" s="4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47"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8" t="n">
        <v>26.91</v>
      </c>
      <c r="G237" s="48" t="n">
        <v>2</v>
      </c>
      <c r="H237" s="4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47"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8" t="n">
        <v>13</v>
      </c>
      <c r="G239" s="48" t="n">
        <v>2</v>
      </c>
      <c r="H239" s="4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47"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8" t="n">
        <v>13</v>
      </c>
      <c r="G241" s="48" t="n">
        <v>2</v>
      </c>
      <c r="H241" s="4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47"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8" t="n">
        <v>13</v>
      </c>
      <c r="G243" s="48" t="n">
        <v>2</v>
      </c>
      <c r="H243" s="4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47"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8" t="n">
        <v>3</v>
      </c>
      <c r="G245" s="48" t="n">
        <v>2</v>
      </c>
      <c r="H245" s="4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47"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8" t="n">
        <v>17.77</v>
      </c>
      <c r="G247" s="48" t="n">
        <v>2</v>
      </c>
      <c r="H247" s="4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47"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8" t="n">
        <v>25.17</v>
      </c>
      <c r="G249" s="48" t="n">
        <v>2</v>
      </c>
      <c r="H249" s="4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47"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8" t="n">
        <v>29.61</v>
      </c>
      <c r="G251" s="48" t="n">
        <v>2</v>
      </c>
      <c r="H251" s="4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47"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8" t="n">
        <v>32.57</v>
      </c>
      <c r="G253" s="48" t="n">
        <v>2</v>
      </c>
      <c r="H253" s="4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47"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8" t="n">
        <v>32.57</v>
      </c>
      <c r="G255" s="48" t="n">
        <v>2</v>
      </c>
      <c r="H255" s="4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47"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8" t="n">
        <v>2.34</v>
      </c>
      <c r="G257" s="48" t="n">
        <v>2</v>
      </c>
      <c r="H257" s="4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47" t="n">
        <v>201.34</v>
      </c>
    </row>
    <row r="259" ht="20" customHeight="1">
      <c r="A259" s="7" t="inlineStr">
        <is>
          <t>05_RCC_Work</t>
        </is>
      </c>
      <c r="B259" s="8" t="inlineStr">
        <is>
          <t>13.48.2</t>
        </is>
      </c>
      <c r="C259" s="7" t="inlineStr">
        <is>
          <t>Rate as per Item No.13.48.2 of</t>
        </is>
      </c>
      <c r="D259" s="8" t="inlineStr">
        <is>
          <t>1 unit</t>
        </is>
      </c>
      <c r="E259" s="7" t="inlineStr">
        <is>
          <t>Sundries</t>
        </is>
      </c>
      <c r="F259" s="48" t="n">
        <v>100.67</v>
      </c>
      <c r="G259" s="48" t="n">
        <v>2</v>
      </c>
      <c r="H259" s="4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47"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8" t="n">
        <v>23530</v>
      </c>
      <c r="G261" s="48" t="n">
        <v>2</v>
      </c>
      <c r="H261" s="4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47"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8" t="n">
        <v>19200</v>
      </c>
      <c r="G263" s="48" t="n">
        <v>2</v>
      </c>
      <c r="H263" s="4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47"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8" t="n">
        <v>2.73</v>
      </c>
      <c r="G265" s="48" t="n">
        <v>2</v>
      </c>
      <c r="H265" s="4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47"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8" t="n">
        <v>2.73</v>
      </c>
      <c r="G267" s="48" t="n">
        <v>2</v>
      </c>
      <c r="H267" s="4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47"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8" t="n">
        <v>22.36</v>
      </c>
      <c r="G269" s="48" t="n">
        <v>2</v>
      </c>
      <c r="H269" s="4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47"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8" t="n">
        <v>16.38</v>
      </c>
      <c r="G271" s="48" t="n">
        <v>2</v>
      </c>
      <c r="H271" s="4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47"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8" t="n">
        <v>22.36</v>
      </c>
      <c r="G273" s="48" t="n">
        <v>2</v>
      </c>
      <c r="H273" s="4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47"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8" t="n">
        <v>22.36</v>
      </c>
      <c r="G275" s="48" t="n">
        <v>2</v>
      </c>
      <c r="H275" s="4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47"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8" t="n">
        <v>4.55</v>
      </c>
      <c r="G277" s="48" t="n">
        <v>2</v>
      </c>
      <c r="H277" s="4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47"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8" t="n">
        <v>2.73</v>
      </c>
      <c r="G279" s="48" t="n">
        <v>2</v>
      </c>
      <c r="H279" s="4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47"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8" t="n">
        <v>2.73</v>
      </c>
      <c r="G281" s="48" t="n">
        <v>2</v>
      </c>
      <c r="H281" s="4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47"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8" t="n">
        <v>134.55</v>
      </c>
      <c r="G283" s="48" t="n">
        <v>2</v>
      </c>
      <c r="H283" s="4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47"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8" t="n">
        <v>13.52</v>
      </c>
      <c r="G285" s="48" t="n">
        <v>2</v>
      </c>
      <c r="H285" s="4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47"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8" t="n">
        <v>13.52</v>
      </c>
      <c r="G287" s="48" t="n">
        <v>2</v>
      </c>
      <c r="H287" s="4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47"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8" t="n">
        <v>4.55</v>
      </c>
      <c r="G289" s="48" t="n">
        <v>2</v>
      </c>
      <c r="H289" s="4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47"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8" t="n">
        <v>4.55</v>
      </c>
      <c r="G291" s="48" t="n">
        <v>2</v>
      </c>
      <c r="H291" s="4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47"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8" t="n">
        <v>33.8</v>
      </c>
      <c r="G293" s="48" t="n">
        <v>2</v>
      </c>
      <c r="H293" s="4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47"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8" t="n">
        <v>18.85</v>
      </c>
      <c r="G295" s="48" t="n">
        <v>2</v>
      </c>
      <c r="H295" s="4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47"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8" t="n">
        <v>18.85</v>
      </c>
      <c r="G297" s="48" t="n">
        <v>2</v>
      </c>
      <c r="H297" s="4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47"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8" t="n">
        <v>20.67</v>
      </c>
      <c r="G299" s="48" t="n">
        <v>2</v>
      </c>
      <c r="H299" s="4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47"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8" t="n">
        <v>16.38</v>
      </c>
      <c r="G301" s="48" t="n">
        <v>2</v>
      </c>
      <c r="H301" s="4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47"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8" t="n">
        <v>16.38</v>
      </c>
      <c r="G303" s="48" t="n">
        <v>2</v>
      </c>
      <c r="H303" s="4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47"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8" t="n">
        <v>22.36</v>
      </c>
      <c r="G305" s="48" t="n">
        <v>2</v>
      </c>
      <c r="H305" s="4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47"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8" t="n">
        <v>16.38</v>
      </c>
      <c r="G307" s="48" t="n">
        <v>2</v>
      </c>
      <c r="H307" s="4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47"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8" t="n">
        <v>16.38</v>
      </c>
      <c r="G309" s="48" t="n">
        <v>2</v>
      </c>
      <c r="H309" s="4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47"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8" t="n">
        <v>22.36</v>
      </c>
      <c r="G311" s="48" t="n">
        <v>2</v>
      </c>
      <c r="H311" s="4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47"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8" t="n">
        <v>16.38</v>
      </c>
      <c r="G313" s="48" t="n">
        <v>2</v>
      </c>
      <c r="H313" s="4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47"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8" t="n">
        <v>16.38</v>
      </c>
      <c r="G315" s="48" t="n">
        <v>2</v>
      </c>
      <c r="H315" s="4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47"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8" t="n">
        <v>22.36</v>
      </c>
      <c r="G317" s="48" t="n">
        <v>2</v>
      </c>
      <c r="H317" s="4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47"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8" t="n">
        <v>8.970000000000001</v>
      </c>
      <c r="G319" s="48" t="n">
        <v>2</v>
      </c>
      <c r="H319" s="4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47"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8" t="n">
        <v>8.970000000000001</v>
      </c>
      <c r="G321" s="48" t="n">
        <v>2</v>
      </c>
      <c r="H321" s="4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47"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8" t="n">
        <v>22.36</v>
      </c>
      <c r="G323" s="48" t="n">
        <v>2</v>
      </c>
      <c r="H323" s="4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47"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8" t="n">
        <v>22.36</v>
      </c>
      <c r="G325" s="48" t="n">
        <v>2</v>
      </c>
      <c r="H325" s="4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47"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8" t="n">
        <v>22.36</v>
      </c>
      <c r="G327" s="48" t="n">
        <v>2</v>
      </c>
      <c r="H327" s="4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47"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8" t="n">
        <v>22.36</v>
      </c>
      <c r="G329" s="48" t="n">
        <v>2</v>
      </c>
      <c r="H329" s="4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47"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8" t="n">
        <v>2.73</v>
      </c>
      <c r="G331" s="48" t="n">
        <v>2</v>
      </c>
      <c r="H331" s="4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47"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8" t="n">
        <v>13.52</v>
      </c>
      <c r="G333" s="48" t="n">
        <v>2</v>
      </c>
      <c r="H333" s="4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47"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8" t="n">
        <v>2.73</v>
      </c>
      <c r="G335" s="48" t="n">
        <v>2</v>
      </c>
      <c r="H335" s="4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47"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8" t="n">
        <v>13.52</v>
      </c>
      <c r="G337" s="48" t="n">
        <v>2</v>
      </c>
      <c r="H337" s="4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47"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8" t="n">
        <v>45.76</v>
      </c>
      <c r="G339" s="48" t="n">
        <v>2</v>
      </c>
      <c r="H339" s="4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47"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8" t="n">
        <v>56.55</v>
      </c>
      <c r="G341" s="48" t="n">
        <v>2</v>
      </c>
      <c r="H341" s="4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47"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8" t="n">
        <v>13.52</v>
      </c>
      <c r="G343" s="48" t="n">
        <v>2</v>
      </c>
      <c r="H343" s="4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47"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8" t="n">
        <v>37.7</v>
      </c>
      <c r="G345" s="48" t="n">
        <v>2</v>
      </c>
      <c r="H345" s="4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47"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8" t="n">
        <v>2.73</v>
      </c>
      <c r="G347" s="48" t="n">
        <v>2</v>
      </c>
      <c r="H347" s="4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47" t="n">
        <v>16.12</v>
      </c>
    </row>
    <row r="349" ht="20" customHeight="1">
      <c r="A349" s="7" t="inlineStr">
        <is>
          <t>07_Stone_Work</t>
        </is>
      </c>
      <c r="B349" s="8" t="inlineStr">
        <is>
          <t>7.12.1</t>
        </is>
      </c>
      <c r="C349" s="7" t="inlineStr">
        <is>
          <t>One face dressed</t>
        </is>
      </c>
      <c r="D349" s="8" t="inlineStr">
        <is>
          <t>10 cudm</t>
        </is>
      </c>
      <c r="E349" s="7" t="inlineStr">
        <is>
          <t>Scaffolding</t>
        </is>
      </c>
      <c r="F349" s="48" t="n">
        <v>2.73</v>
      </c>
      <c r="G349" s="48" t="n">
        <v>2</v>
      </c>
      <c r="H349" s="4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47" t="n">
        <v>16.12</v>
      </c>
    </row>
    <row r="351" ht="20" customHeight="1">
      <c r="A351" s="7" t="inlineStr">
        <is>
          <t>07_Stone_Work</t>
        </is>
      </c>
      <c r="B351" s="8" t="inlineStr">
        <is>
          <t>7.12.2</t>
        </is>
      </c>
      <c r="C351" s="7" t="inlineStr">
        <is>
          <t>Both face dressed</t>
        </is>
      </c>
      <c r="D351" s="8" t="inlineStr">
        <is>
          <t>10 cudm</t>
        </is>
      </c>
      <c r="E351" s="7" t="inlineStr">
        <is>
          <t>Scafolding</t>
        </is>
      </c>
      <c r="F351" s="48" t="n">
        <v>2.73</v>
      </c>
      <c r="G351" s="48" t="n">
        <v>2</v>
      </c>
      <c r="H351" s="4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47" t="n">
        <v>16.12</v>
      </c>
    </row>
    <row r="353" ht="20" customHeight="1">
      <c r="A353" s="7" t="inlineStr">
        <is>
          <t>07_Stone_Work</t>
        </is>
      </c>
      <c r="B353" s="8" t="inlineStr">
        <is>
          <t>7.12.2</t>
        </is>
      </c>
      <c r="C353" s="7" t="inlineStr">
        <is>
          <t>Both face dressed</t>
        </is>
      </c>
      <c r="D353" s="8" t="inlineStr">
        <is>
          <t>10 cudm or 0</t>
        </is>
      </c>
      <c r="E353" s="7" t="inlineStr">
        <is>
          <t>Scaffolding</t>
        </is>
      </c>
      <c r="F353" s="48" t="n">
        <v>2.73</v>
      </c>
      <c r="G353" s="48" t="n">
        <v>2</v>
      </c>
      <c r="H353" s="4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47" t="n">
        <v>16.12</v>
      </c>
    </row>
    <row r="355" ht="20" customHeight="1">
      <c r="A355" s="7" t="inlineStr">
        <is>
          <t>07_Stone_Work</t>
        </is>
      </c>
      <c r="B355" s="8" t="inlineStr">
        <is>
          <t>7.13.1</t>
        </is>
      </c>
      <c r="C355" s="7" t="inlineStr">
        <is>
          <t>One face dressed</t>
        </is>
      </c>
      <c r="D355" s="8" t="inlineStr">
        <is>
          <t>10 cudm or 0</t>
        </is>
      </c>
      <c r="E355" s="7" t="inlineStr">
        <is>
          <t>Scaffolding</t>
        </is>
      </c>
      <c r="F355" s="48" t="n">
        <v>2.73</v>
      </c>
      <c r="G355" s="48" t="n">
        <v>2</v>
      </c>
      <c r="H355" s="4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47"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8" t="n">
        <v>13.52</v>
      </c>
      <c r="G357" s="48" t="n">
        <v>2</v>
      </c>
      <c r="H357" s="4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47" t="n">
        <v>16.12</v>
      </c>
    </row>
    <row r="359" ht="20" customHeight="1">
      <c r="A359" s="7" t="inlineStr">
        <is>
          <t>07_Stone_Work</t>
        </is>
      </c>
      <c r="B359" s="8" t="inlineStr">
        <is>
          <t>7.13.1</t>
        </is>
      </c>
      <c r="C359" s="7" t="inlineStr">
        <is>
          <t>One face dressed</t>
        </is>
      </c>
      <c r="D359" s="8" t="inlineStr">
        <is>
          <t>10 cudm or 0</t>
        </is>
      </c>
      <c r="E359" s="7" t="inlineStr">
        <is>
          <t>Scaffolding</t>
        </is>
      </c>
      <c r="F359" s="48" t="n">
        <v>2.73</v>
      </c>
      <c r="G359" s="48" t="n">
        <v>2</v>
      </c>
      <c r="H359" s="4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47"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8" t="n">
        <v>13.52</v>
      </c>
      <c r="G361" s="48" t="n">
        <v>2</v>
      </c>
      <c r="H361" s="4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47" t="n">
        <v>16.12</v>
      </c>
    </row>
    <row r="363" ht="20" customHeight="1">
      <c r="A363" s="7" t="inlineStr">
        <is>
          <t>07_Stone_Work</t>
        </is>
      </c>
      <c r="B363" s="8" t="inlineStr">
        <is>
          <t>7.13.2</t>
        </is>
      </c>
      <c r="C363" s="7" t="inlineStr">
        <is>
          <t>Both face dressed</t>
        </is>
      </c>
      <c r="D363" s="8" t="inlineStr">
        <is>
          <t>10 cudm or 0</t>
        </is>
      </c>
      <c r="E363" s="7" t="inlineStr">
        <is>
          <t>Scaffolding</t>
        </is>
      </c>
      <c r="F363" s="48" t="n">
        <v>2.73</v>
      </c>
      <c r="G363" s="48" t="n">
        <v>2</v>
      </c>
      <c r="H363" s="4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47"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8" t="n">
        <v>13.52</v>
      </c>
      <c r="G365" s="48" t="n">
        <v>2</v>
      </c>
      <c r="H365" s="4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47" t="n">
        <v>16.12</v>
      </c>
    </row>
    <row r="367" ht="20" customHeight="1">
      <c r="A367" s="7" t="inlineStr">
        <is>
          <t>07_Stone_Work</t>
        </is>
      </c>
      <c r="B367" s="8" t="inlineStr">
        <is>
          <t>7.13.2</t>
        </is>
      </c>
      <c r="C367" s="7" t="inlineStr">
        <is>
          <t>Both face dressed</t>
        </is>
      </c>
      <c r="D367" s="8" t="inlineStr">
        <is>
          <t>10 cudm or 0</t>
        </is>
      </c>
      <c r="E367" s="7" t="inlineStr">
        <is>
          <t>Scaffolding</t>
        </is>
      </c>
      <c r="F367" s="48" t="n">
        <v>2.73</v>
      </c>
      <c r="G367" s="48" t="n">
        <v>2</v>
      </c>
      <c r="H367" s="4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47"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8" t="n">
        <v>13.52</v>
      </c>
      <c r="G369" s="48" t="n">
        <v>2</v>
      </c>
      <c r="H369" s="4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47" t="n">
        <v>16.12</v>
      </c>
    </row>
    <row r="371" ht="20" customHeight="1">
      <c r="A371" s="7" t="inlineStr">
        <is>
          <t>07_Stone_Work</t>
        </is>
      </c>
      <c r="B371" s="8" t="inlineStr">
        <is>
          <t>7.14.1</t>
        </is>
      </c>
      <c r="C371" s="7" t="inlineStr">
        <is>
          <t>One face dressed</t>
        </is>
      </c>
      <c r="D371" s="8" t="inlineStr">
        <is>
          <t>10 cudm or 0</t>
        </is>
      </c>
      <c r="E371" s="7" t="inlineStr">
        <is>
          <t>Scaffolding</t>
        </is>
      </c>
      <c r="F371" s="48" t="n">
        <v>2.73</v>
      </c>
      <c r="G371" s="48" t="n">
        <v>2</v>
      </c>
      <c r="H371" s="4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47"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8" t="n">
        <v>33.15</v>
      </c>
      <c r="G373" s="48" t="n">
        <v>2</v>
      </c>
      <c r="H373" s="4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47" t="n">
        <v>16.12</v>
      </c>
    </row>
    <row r="375" ht="20" customHeight="1">
      <c r="A375" s="7" t="inlineStr">
        <is>
          <t>07_Stone_Work</t>
        </is>
      </c>
      <c r="B375" s="8" t="inlineStr">
        <is>
          <t>7.14.1</t>
        </is>
      </c>
      <c r="C375" s="7" t="inlineStr">
        <is>
          <t>One face dressed</t>
        </is>
      </c>
      <c r="D375" s="8" t="inlineStr">
        <is>
          <t>10 cudm or 0</t>
        </is>
      </c>
      <c r="E375" s="7" t="inlineStr">
        <is>
          <t>Scaffolding</t>
        </is>
      </c>
      <c r="F375" s="48" t="n">
        <v>2.73</v>
      </c>
      <c r="G375" s="48" t="n">
        <v>2</v>
      </c>
      <c r="H375" s="4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47"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8" t="n">
        <v>33.15</v>
      </c>
      <c r="G377" s="48" t="n">
        <v>2</v>
      </c>
      <c r="H377" s="4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47" t="n">
        <v>16.12</v>
      </c>
    </row>
    <row r="379" ht="20" customHeight="1">
      <c r="A379" s="7" t="inlineStr">
        <is>
          <t>07_Stone_Work</t>
        </is>
      </c>
      <c r="B379" s="8" t="inlineStr">
        <is>
          <t>7.14.2</t>
        </is>
      </c>
      <c r="C379" s="7" t="inlineStr">
        <is>
          <t>Both face dressed</t>
        </is>
      </c>
      <c r="D379" s="8" t="inlineStr">
        <is>
          <t>10 cudm</t>
        </is>
      </c>
      <c r="E379" s="7" t="inlineStr">
        <is>
          <t>Scaffolding</t>
        </is>
      </c>
      <c r="F379" s="48" t="n">
        <v>2.73</v>
      </c>
      <c r="G379" s="48" t="n">
        <v>2</v>
      </c>
      <c r="H379" s="4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47"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8" t="n">
        <v>33.15</v>
      </c>
      <c r="G381" s="48" t="n">
        <v>2</v>
      </c>
      <c r="H381" s="4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47" t="n">
        <v>16.12</v>
      </c>
    </row>
    <row r="383" ht="20" customHeight="1">
      <c r="A383" s="7" t="inlineStr">
        <is>
          <t>07_Stone_Work</t>
        </is>
      </c>
      <c r="B383" s="8" t="inlineStr">
        <is>
          <t>7.14.2</t>
        </is>
      </c>
      <c r="C383" s="7" t="inlineStr">
        <is>
          <t>Both face dressed</t>
        </is>
      </c>
      <c r="D383" s="8" t="inlineStr">
        <is>
          <t>10 cudm or 0</t>
        </is>
      </c>
      <c r="E383" s="7" t="inlineStr">
        <is>
          <t>Scaffolding</t>
        </is>
      </c>
      <c r="F383" s="48" t="n">
        <v>2.73</v>
      </c>
      <c r="G383" s="48" t="n">
        <v>2</v>
      </c>
      <c r="H383" s="4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47"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8" t="n">
        <v>33.15</v>
      </c>
      <c r="G385" s="48" t="n">
        <v>2</v>
      </c>
      <c r="H385" s="4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47" t="n">
        <v>16.12</v>
      </c>
    </row>
    <row r="387" ht="20" customHeight="1">
      <c r="A387" s="7" t="inlineStr">
        <is>
          <t>07_Stone_Work</t>
        </is>
      </c>
      <c r="B387" s="8" t="inlineStr">
        <is>
          <t>7.15.1</t>
        </is>
      </c>
      <c r="C387" s="7" t="inlineStr">
        <is>
          <t>One face dressed</t>
        </is>
      </c>
      <c r="D387" s="8" t="inlineStr">
        <is>
          <t>10 cudm or 0</t>
        </is>
      </c>
      <c r="E387" s="7" t="inlineStr">
        <is>
          <t>Scaffolding</t>
        </is>
      </c>
      <c r="F387" s="48" t="n">
        <v>2.73</v>
      </c>
      <c r="G387" s="48" t="n">
        <v>2</v>
      </c>
      <c r="H387" s="4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47" t="n">
        <v>16.12</v>
      </c>
    </row>
    <row r="389" ht="20" customHeight="1">
      <c r="A389" s="7" t="inlineStr">
        <is>
          <t>07_Stone_Work</t>
        </is>
      </c>
      <c r="B389" s="8" t="inlineStr">
        <is>
          <t>7.15.1</t>
        </is>
      </c>
      <c r="C389" s="7" t="inlineStr">
        <is>
          <t>One face dressed</t>
        </is>
      </c>
      <c r="D389" s="8" t="inlineStr">
        <is>
          <t>10 cudm or 0</t>
        </is>
      </c>
      <c r="E389" s="7" t="inlineStr">
        <is>
          <t>Scaffolding</t>
        </is>
      </c>
      <c r="F389" s="48" t="n">
        <v>2.73</v>
      </c>
      <c r="G389" s="48" t="n">
        <v>2</v>
      </c>
      <c r="H389" s="4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47" t="n">
        <v>16.12</v>
      </c>
    </row>
    <row r="391" ht="20" customHeight="1">
      <c r="A391" s="7" t="inlineStr">
        <is>
          <t>07_Stone_Work</t>
        </is>
      </c>
      <c r="B391" s="8" t="inlineStr">
        <is>
          <t>7.15.2</t>
        </is>
      </c>
      <c r="C391" s="7" t="inlineStr">
        <is>
          <t>Both faced punched</t>
        </is>
      </c>
      <c r="D391" s="8" t="inlineStr">
        <is>
          <t>10 cudm or 0</t>
        </is>
      </c>
      <c r="E391" s="7" t="inlineStr">
        <is>
          <t>Scafolding</t>
        </is>
      </c>
      <c r="F391" s="48" t="n">
        <v>2.73</v>
      </c>
      <c r="G391" s="48" t="n">
        <v>2</v>
      </c>
      <c r="H391" s="4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47" t="n">
        <v>16.12</v>
      </c>
    </row>
    <row r="393" ht="20" customHeight="1">
      <c r="A393" s="7" t="inlineStr">
        <is>
          <t>07_Stone_Work</t>
        </is>
      </c>
      <c r="B393" s="8" t="inlineStr">
        <is>
          <t>7.15.2</t>
        </is>
      </c>
      <c r="C393" s="7" t="inlineStr">
        <is>
          <t>Both faced punched</t>
        </is>
      </c>
      <c r="D393" s="8" t="inlineStr">
        <is>
          <t>10 cudm or 0</t>
        </is>
      </c>
      <c r="E393" s="7" t="inlineStr">
        <is>
          <t>Scaffolding</t>
        </is>
      </c>
      <c r="F393" s="48" t="n">
        <v>2.73</v>
      </c>
      <c r="G393" s="48" t="n">
        <v>2</v>
      </c>
      <c r="H393" s="4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47"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8" t="n">
        <v>8.970000000000001</v>
      </c>
      <c r="G395" s="48" t="n">
        <v>2</v>
      </c>
      <c r="H395" s="4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47"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8" t="n">
        <v>134.55</v>
      </c>
      <c r="G397" s="48" t="n">
        <v>2</v>
      </c>
      <c r="H397" s="4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47"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8" t="n">
        <v>2.73</v>
      </c>
      <c r="G399" s="48" t="n">
        <v>2</v>
      </c>
      <c r="H399" s="4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47"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8" t="n">
        <v>8.06</v>
      </c>
      <c r="G401" s="48" t="n">
        <v>2</v>
      </c>
      <c r="H401" s="4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47"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8" t="n">
        <v>8.06</v>
      </c>
      <c r="G403" s="48" t="n">
        <v>2</v>
      </c>
      <c r="H403" s="4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47"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8" t="n">
        <v>33.15</v>
      </c>
      <c r="G405" s="48" t="n">
        <v>2</v>
      </c>
      <c r="H405" s="4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47"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8" t="n">
        <v>9.1</v>
      </c>
      <c r="G407" s="48" t="n">
        <v>2</v>
      </c>
      <c r="H407" s="4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47"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8" t="n">
        <v>67.34</v>
      </c>
      <c r="G409" s="48" t="n">
        <v>2</v>
      </c>
      <c r="H409" s="4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47"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8" t="n">
        <v>26.91</v>
      </c>
      <c r="G411" s="48" t="n">
        <v>2</v>
      </c>
      <c r="H411" s="4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47"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8" t="n">
        <v>104</v>
      </c>
      <c r="G413" s="48" t="n">
        <v>2</v>
      </c>
      <c r="H413" s="4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47"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8" t="n">
        <v>6.24</v>
      </c>
      <c r="G415" s="48" t="n">
        <v>2</v>
      </c>
      <c r="H415" s="4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47"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8" t="n">
        <v>16.12</v>
      </c>
      <c r="G417" s="48" t="n">
        <v>2</v>
      </c>
      <c r="H417" s="4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47"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8" t="n">
        <v>53.82</v>
      </c>
      <c r="G419" s="48" t="n">
        <v>2</v>
      </c>
      <c r="H419" s="4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47"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8" t="n">
        <v>26.91</v>
      </c>
      <c r="G421" s="48" t="n">
        <v>2</v>
      </c>
      <c r="H421" s="4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47"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8" t="n">
        <v>53.82</v>
      </c>
      <c r="G423" s="48" t="n">
        <v>2</v>
      </c>
      <c r="H423" s="4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47"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8" t="n">
        <v>26.91</v>
      </c>
      <c r="G425" s="48" t="n">
        <v>2</v>
      </c>
      <c r="H425" s="4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47"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8" t="n">
        <v>13.52</v>
      </c>
      <c r="G427" s="48" t="n">
        <v>2</v>
      </c>
      <c r="H427" s="4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47"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8" t="n">
        <v>45.14</v>
      </c>
      <c r="G429" s="48" t="n">
        <v>2</v>
      </c>
      <c r="H429" s="4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47"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8" t="n">
        <v>5.33</v>
      </c>
      <c r="G431" s="48" t="n">
        <v>2</v>
      </c>
      <c r="H431" s="4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47"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8" t="n">
        <v>80.73</v>
      </c>
      <c r="G433" s="48" t="n">
        <v>2</v>
      </c>
      <c r="H433" s="4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47"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8" t="n">
        <v>260</v>
      </c>
      <c r="G435" s="48" t="n">
        <v>2</v>
      </c>
      <c r="H435" s="4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47"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8" t="n">
        <v>25.74</v>
      </c>
      <c r="G437" s="48" t="n">
        <v>2</v>
      </c>
      <c r="H437" s="4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47"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8" t="n">
        <v>171.6</v>
      </c>
      <c r="G439" s="48" t="n">
        <v>2</v>
      </c>
      <c r="H439" s="4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47"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8" t="n">
        <v>26.91</v>
      </c>
      <c r="G441" s="48" t="n">
        <v>2</v>
      </c>
      <c r="H441" s="4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47"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8" t="n">
        <v>16.25</v>
      </c>
      <c r="G443" s="48" t="n">
        <v>2</v>
      </c>
      <c r="H443" s="4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47"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8" t="n">
        <v>32.5</v>
      </c>
      <c r="G445" s="48" t="n">
        <v>2</v>
      </c>
      <c r="H445" s="4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47"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8" t="n">
        <v>16.25</v>
      </c>
      <c r="G447" s="48" t="n">
        <v>2</v>
      </c>
      <c r="H447" s="4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47"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8" t="n">
        <v>65</v>
      </c>
      <c r="G449" s="48" t="n">
        <v>2</v>
      </c>
      <c r="H449" s="4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47"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8" t="n">
        <v>117</v>
      </c>
      <c r="G451" s="48" t="n">
        <v>2</v>
      </c>
      <c r="H451" s="4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47"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8" t="n">
        <v>15.3</v>
      </c>
      <c r="G453" s="48" t="n">
        <v>2</v>
      </c>
      <c r="H453" s="4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47"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8" t="n">
        <v>65</v>
      </c>
      <c r="G455" s="48" t="n">
        <v>2</v>
      </c>
      <c r="H455" s="4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47"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8" t="n">
        <v>32.5</v>
      </c>
      <c r="G457" s="48" t="n">
        <v>2</v>
      </c>
      <c r="H457" s="4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47"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8" t="n">
        <v>32.5</v>
      </c>
      <c r="G459" s="48" t="n">
        <v>2</v>
      </c>
      <c r="H459" s="4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47"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8" t="n">
        <v>16.9</v>
      </c>
      <c r="G461" s="48" t="n">
        <v>2</v>
      </c>
      <c r="H461" s="4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47"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8" t="n">
        <v>16.9</v>
      </c>
      <c r="G463" s="48" t="n">
        <v>2</v>
      </c>
      <c r="H463" s="4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47"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8" t="n">
        <v>43.16</v>
      </c>
      <c r="G465" s="48" t="n">
        <v>2</v>
      </c>
      <c r="H465" s="4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47"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8" t="n">
        <v>21.58</v>
      </c>
      <c r="G467" s="48" t="n">
        <v>2</v>
      </c>
      <c r="H467" s="4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47"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8" t="n">
        <v>21.58</v>
      </c>
      <c r="G469" s="48" t="n">
        <v>2</v>
      </c>
      <c r="H469" s="4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47"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8" t="n">
        <v>13.39</v>
      </c>
      <c r="G471" s="48" t="n">
        <v>2</v>
      </c>
      <c r="H471" s="4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47"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8" t="n">
        <v>19.76</v>
      </c>
      <c r="G473" s="48" t="n">
        <v>2</v>
      </c>
      <c r="H473" s="4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47"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8" t="n">
        <v>19.76</v>
      </c>
      <c r="G475" s="48" t="n">
        <v>2</v>
      </c>
      <c r="H475" s="4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47"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8" t="n">
        <v>19.76</v>
      </c>
      <c r="G477" s="48" t="n">
        <v>2</v>
      </c>
      <c r="H477" s="4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47"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8" t="n">
        <v>19.76</v>
      </c>
      <c r="G479" s="48" t="n">
        <v>2</v>
      </c>
      <c r="H479" s="4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47"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8" t="n">
        <v>19.76</v>
      </c>
      <c r="G481" s="48" t="n">
        <v>2</v>
      </c>
      <c r="H481" s="4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47"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8" t="n">
        <v>19.76</v>
      </c>
      <c r="G483" s="48" t="n">
        <v>2</v>
      </c>
      <c r="H483" s="4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47"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8" t="n">
        <v>19.76</v>
      </c>
      <c r="G485" s="48" t="n">
        <v>2</v>
      </c>
      <c r="H485" s="4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47"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8" t="n">
        <v>19.76</v>
      </c>
      <c r="G487" s="48" t="n">
        <v>2</v>
      </c>
      <c r="H487" s="4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47"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8" t="n">
        <v>19.76</v>
      </c>
      <c r="G489" s="48" t="n">
        <v>2</v>
      </c>
      <c r="H489" s="4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47"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8" t="n">
        <v>19.76</v>
      </c>
      <c r="G491" s="48" t="n">
        <v>2</v>
      </c>
      <c r="H491" s="4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47"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8" t="n">
        <v>19.76</v>
      </c>
      <c r="G493" s="48" t="n">
        <v>2</v>
      </c>
      <c r="H493" s="4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47"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8" t="n">
        <v>19.76</v>
      </c>
      <c r="G495" s="48" t="n">
        <v>2</v>
      </c>
      <c r="H495" s="4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47"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8" t="n">
        <v>19.76</v>
      </c>
      <c r="G497" s="48" t="n">
        <v>2</v>
      </c>
      <c r="H497" s="4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47"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8" t="n">
        <v>19.76</v>
      </c>
      <c r="G499" s="48" t="n">
        <v>2</v>
      </c>
      <c r="H499" s="4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47"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8" t="n">
        <v>19.76</v>
      </c>
      <c r="G501" s="48" t="n">
        <v>2</v>
      </c>
      <c r="H501" s="4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47"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8" t="n">
        <v>19.76</v>
      </c>
      <c r="G503" s="48" t="n">
        <v>2</v>
      </c>
      <c r="H503" s="4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47"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8" t="n">
        <v>19.76</v>
      </c>
      <c r="G505" s="48" t="n">
        <v>2</v>
      </c>
      <c r="H505" s="4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47"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8" t="n">
        <v>19.76</v>
      </c>
      <c r="G507" s="48" t="n">
        <v>2</v>
      </c>
      <c r="H507" s="4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47"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8" t="n">
        <v>19.76</v>
      </c>
      <c r="G509" s="48" t="n">
        <v>2</v>
      </c>
      <c r="H509" s="4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47"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8" t="n">
        <v>19.76</v>
      </c>
      <c r="G511" s="48" t="n">
        <v>2</v>
      </c>
      <c r="H511" s="4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47" t="n">
        <v>53.82</v>
      </c>
    </row>
    <row r="513" ht="20" customHeight="1">
      <c r="A513" s="7" t="inlineStr">
        <is>
          <t>08_Cladding_Work</t>
        </is>
      </c>
      <c r="B513" s="8" t="inlineStr">
        <is>
          <t>8.14.5</t>
        </is>
      </c>
      <c r="C513" s="7" t="inlineStr">
        <is>
          <t>Gang saw cut stone</t>
        </is>
      </c>
      <c r="D513" s="8" t="inlineStr">
        <is>
          <t>1 sqm</t>
        </is>
      </c>
      <c r="E513" s="7" t="inlineStr">
        <is>
          <t>Scaffolding</t>
        </is>
      </c>
      <c r="F513" s="48" t="n">
        <v>19.76</v>
      </c>
      <c r="G513" s="48" t="n">
        <v>2</v>
      </c>
      <c r="H513" s="4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47"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8" t="n">
        <v>19.76</v>
      </c>
      <c r="G515" s="48" t="n">
        <v>2</v>
      </c>
      <c r="H515" s="4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47"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8" t="n">
        <v>3.9</v>
      </c>
      <c r="G517" s="48" t="n">
        <v>2</v>
      </c>
      <c r="H517" s="4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47"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8" t="n">
        <v>40.43</v>
      </c>
      <c r="G519" s="48" t="n">
        <v>2</v>
      </c>
      <c r="H519" s="4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47"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8" t="n">
        <v>40.43</v>
      </c>
      <c r="G521" s="48" t="n">
        <v>2</v>
      </c>
      <c r="H521" s="4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47"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8" t="n">
        <v>215.28</v>
      </c>
      <c r="G523" s="48" t="n">
        <v>2</v>
      </c>
      <c r="H523" s="4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47"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8" t="n">
        <v>19.76</v>
      </c>
      <c r="G525" s="48" t="n">
        <v>2</v>
      </c>
      <c r="H525" s="4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47"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8" t="n">
        <v>68.25</v>
      </c>
      <c r="G527" s="48" t="n">
        <v>2</v>
      </c>
      <c r="H527" s="4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47"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8" t="n">
        <v>51.1</v>
      </c>
      <c r="G529" s="48" t="n">
        <v>2</v>
      </c>
      <c r="H529" s="4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47" t="n">
        <v>136.5</v>
      </c>
    </row>
    <row r="531" ht="20" customHeight="1">
      <c r="A531" s="7" t="inlineStr">
        <is>
          <t>08_Cladding_Work</t>
        </is>
      </c>
      <c r="B531" s="8" t="inlineStr">
        <is>
          <t>4.1.3</t>
        </is>
      </c>
      <c r="C531" s="7" t="inlineStr">
        <is>
          <t>Rate as per item no. 4.1.3 of</t>
        </is>
      </c>
      <c r="D531" s="8" t="inlineStr">
        <is>
          <t>1 unit</t>
        </is>
      </c>
      <c r="E531" s="7" t="inlineStr">
        <is>
          <t>Sundries</t>
        </is>
      </c>
      <c r="F531" s="48" t="n">
        <v>80.73</v>
      </c>
      <c r="G531" s="48" t="n">
        <v>2</v>
      </c>
      <c r="H531" s="4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47"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8" t="n">
        <v>20.8</v>
      </c>
      <c r="G533" s="48" t="n">
        <v>2</v>
      </c>
      <c r="H533" s="4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47"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8" t="n">
        <v>20.8</v>
      </c>
      <c r="G535" s="48" t="n">
        <v>2</v>
      </c>
      <c r="H535" s="4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47"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8" t="n">
        <v>26</v>
      </c>
      <c r="G537" s="48" t="n">
        <v>2</v>
      </c>
      <c r="H537" s="4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47"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8" t="n">
        <v>53.82</v>
      </c>
      <c r="G539" s="48" t="n">
        <v>2</v>
      </c>
      <c r="H539" s="4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47"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8" t="n">
        <v>53.82</v>
      </c>
      <c r="G541" s="48" t="n">
        <v>2</v>
      </c>
      <c r="H541" s="4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47"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8" t="n">
        <v>26.91</v>
      </c>
      <c r="G543" s="48" t="n">
        <v>2</v>
      </c>
      <c r="H543" s="4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47"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8" t="n">
        <v>26.91</v>
      </c>
      <c r="G545" s="48" t="n">
        <v>2</v>
      </c>
      <c r="H545" s="4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47"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8" t="n">
        <v>71.5</v>
      </c>
      <c r="G547" s="48" t="n">
        <v>2</v>
      </c>
      <c r="H547" s="4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47"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8" t="n">
        <v>53.82</v>
      </c>
      <c r="G549" s="48" t="n">
        <v>2</v>
      </c>
      <c r="H549" s="4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47"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8" t="n">
        <v>53.82</v>
      </c>
      <c r="G551" s="48" t="n">
        <v>2</v>
      </c>
      <c r="H551" s="4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47"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8" t="n">
        <v>53.82</v>
      </c>
      <c r="G553" s="48" t="n">
        <v>2</v>
      </c>
      <c r="H553" s="4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47"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8" t="n">
        <v>26.91</v>
      </c>
      <c r="G555" s="48" t="n">
        <v>2</v>
      </c>
      <c r="H555" s="4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47"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8" t="n">
        <v>1895.3</v>
      </c>
      <c r="G557" s="48" t="n">
        <v>2</v>
      </c>
      <c r="H557" s="4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47"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8" t="n">
        <v>602.25</v>
      </c>
      <c r="G559" s="48" t="n">
        <v>2</v>
      </c>
      <c r="H559" s="4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47"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8" t="n">
        <v>328.15</v>
      </c>
      <c r="G561" s="48" t="n">
        <v>2</v>
      </c>
      <c r="H561" s="4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47"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8" t="n">
        <v>53.82</v>
      </c>
      <c r="G563" s="48" t="n">
        <v>2</v>
      </c>
      <c r="H563" s="4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47"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8" t="n">
        <v>53.82</v>
      </c>
      <c r="G565" s="48" t="n">
        <v>2</v>
      </c>
      <c r="H565" s="4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47"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8" t="n">
        <v>35.88</v>
      </c>
      <c r="G567" s="48" t="n">
        <v>2</v>
      </c>
      <c r="H567" s="4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47"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8" t="n">
        <v>9.1</v>
      </c>
      <c r="G569" s="48" t="n">
        <v>2</v>
      </c>
      <c r="H569" s="4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47"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8" t="n">
        <v>9.1</v>
      </c>
      <c r="G571" s="48" t="n">
        <v>2</v>
      </c>
      <c r="H571" s="4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47"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8" t="n">
        <v>35.88</v>
      </c>
      <c r="G573" s="48" t="n">
        <v>2</v>
      </c>
      <c r="H573" s="4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47"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8" t="n">
        <v>35.88</v>
      </c>
      <c r="G575" s="48" t="n">
        <v>2</v>
      </c>
      <c r="H575" s="4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47"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8" t="n">
        <v>35.88</v>
      </c>
      <c r="G577" s="48" t="n">
        <v>2</v>
      </c>
      <c r="H577" s="4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47"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8" t="n">
        <v>8.970000000000001</v>
      </c>
      <c r="G579" s="48" t="n">
        <v>2</v>
      </c>
      <c r="H579" s="4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47"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8" t="n">
        <v>4.42</v>
      </c>
      <c r="G581" s="48" t="n">
        <v>2</v>
      </c>
      <c r="H581" s="4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47"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8" t="n">
        <v>4.42</v>
      </c>
      <c r="G583" s="48" t="n">
        <v>2</v>
      </c>
      <c r="H583" s="4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47"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8" t="n">
        <v>4.42</v>
      </c>
      <c r="G585" s="48" t="n">
        <v>2</v>
      </c>
      <c r="H585" s="4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47"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8" t="n">
        <v>4.42</v>
      </c>
      <c r="G587" s="48" t="n">
        <v>2</v>
      </c>
      <c r="H587" s="4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47"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8" t="n">
        <v>4.42</v>
      </c>
      <c r="G589" s="48" t="n">
        <v>2</v>
      </c>
      <c r="H589" s="4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47"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8" t="n">
        <v>25.47</v>
      </c>
      <c r="G591" s="48" t="n">
        <v>2</v>
      </c>
      <c r="H591" s="4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47"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8" t="n">
        <v>40.43</v>
      </c>
      <c r="G593" s="48" t="n">
        <v>2</v>
      </c>
      <c r="H593" s="4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47"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8" t="n">
        <v>9.1</v>
      </c>
      <c r="G595" s="48" t="n">
        <v>2</v>
      </c>
      <c r="H595" s="4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47"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8" t="n">
        <v>9.1</v>
      </c>
      <c r="G597" s="48" t="n">
        <v>2</v>
      </c>
      <c r="H597" s="4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47"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8" t="n">
        <v>40.43</v>
      </c>
      <c r="G599" s="48" t="n">
        <v>2</v>
      </c>
      <c r="H599" s="4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47"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8" t="n">
        <v>35.88</v>
      </c>
      <c r="G601" s="48" t="n">
        <v>2</v>
      </c>
      <c r="H601" s="4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47"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8" t="n">
        <v>40.43</v>
      </c>
      <c r="G603" s="48" t="n">
        <v>2</v>
      </c>
      <c r="H603" s="4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47"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8" t="n">
        <v>40.43</v>
      </c>
      <c r="G605" s="48" t="n">
        <v>2</v>
      </c>
      <c r="H605" s="4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47"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8" t="n">
        <v>26.91</v>
      </c>
      <c r="G607" s="48" t="n">
        <v>2</v>
      </c>
      <c r="H607" s="4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47"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8" t="n">
        <v>7.8</v>
      </c>
      <c r="G609" s="48" t="n">
        <v>2</v>
      </c>
      <c r="H609" s="4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47"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8" t="n">
        <v>8.970000000000001</v>
      </c>
      <c r="G611" s="48" t="n">
        <v>2</v>
      </c>
      <c r="H611" s="4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47"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8" t="n">
        <v>33.8</v>
      </c>
      <c r="G613" s="48" t="n">
        <v>2</v>
      </c>
      <c r="H613" s="4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47"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8" t="n">
        <v>8.970000000000001</v>
      </c>
      <c r="G615" s="48" t="n">
        <v>2</v>
      </c>
      <c r="H615" s="4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47"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8" t="n">
        <v>33.8</v>
      </c>
      <c r="G617" s="48" t="n">
        <v>2</v>
      </c>
      <c r="H617" s="4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47"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8" t="n">
        <v>9.1</v>
      </c>
      <c r="G619" s="48" t="n">
        <v>2</v>
      </c>
      <c r="H619" s="4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47"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8" t="n">
        <v>33.8</v>
      </c>
      <c r="G621" s="48" t="n">
        <v>2</v>
      </c>
      <c r="H621" s="4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47"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8" t="n">
        <v>8.970000000000001</v>
      </c>
      <c r="G623" s="48" t="n">
        <v>2</v>
      </c>
      <c r="H623" s="4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47"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8" t="n">
        <v>33.8</v>
      </c>
      <c r="G625" s="48" t="n">
        <v>2</v>
      </c>
      <c r="H625" s="4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47"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8" t="n">
        <v>35.88</v>
      </c>
      <c r="G627" s="48" t="n">
        <v>2</v>
      </c>
      <c r="H627" s="4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47"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8" t="n">
        <v>8.06</v>
      </c>
      <c r="G629" s="48" t="n">
        <v>2</v>
      </c>
      <c r="H629" s="4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47"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8" t="n">
        <v>8.06</v>
      </c>
      <c r="G631" s="48" t="n">
        <v>2</v>
      </c>
      <c r="H631" s="4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47"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8" t="n">
        <v>4.03</v>
      </c>
      <c r="G633" s="48" t="n">
        <v>2</v>
      </c>
      <c r="H633" s="4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47"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8" t="n">
        <v>1.56</v>
      </c>
      <c r="G635" s="48" t="n">
        <v>2</v>
      </c>
      <c r="H635" s="4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47"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8" t="n">
        <v>2.73</v>
      </c>
      <c r="G637" s="48" t="n">
        <v>2</v>
      </c>
      <c r="H637" s="4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47"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8" t="n">
        <v>4.03</v>
      </c>
      <c r="G639" s="48" t="n">
        <v>2</v>
      </c>
      <c r="H639" s="4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47"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8" t="n">
        <v>1.56</v>
      </c>
      <c r="G641" s="48" t="n">
        <v>2</v>
      </c>
      <c r="H641" s="4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47"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8" t="n">
        <v>1.56</v>
      </c>
      <c r="G643" s="48" t="n">
        <v>2</v>
      </c>
      <c r="H643" s="4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47"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8" t="n">
        <v>1.56</v>
      </c>
      <c r="G645" s="48" t="n">
        <v>2</v>
      </c>
      <c r="H645" s="4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47"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8" t="n">
        <v>1.56</v>
      </c>
      <c r="G647" s="48" t="n">
        <v>2</v>
      </c>
      <c r="H647" s="4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47"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8" t="n">
        <v>1.56</v>
      </c>
      <c r="G649" s="48" t="n">
        <v>2</v>
      </c>
      <c r="H649" s="4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47"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8" t="n">
        <v>19.76</v>
      </c>
      <c r="G651" s="48" t="n">
        <v>2</v>
      </c>
      <c r="H651" s="4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47"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8" t="n">
        <v>19.76</v>
      </c>
      <c r="G653" s="48" t="n">
        <v>2</v>
      </c>
      <c r="H653" s="4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47"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8" t="n">
        <v>26.91</v>
      </c>
      <c r="G655" s="48" t="n">
        <v>2</v>
      </c>
      <c r="H655" s="4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47"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8" t="n">
        <v>19.76</v>
      </c>
      <c r="G657" s="48" t="n">
        <v>2</v>
      </c>
      <c r="H657" s="4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47"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8" t="n">
        <v>5.46</v>
      </c>
      <c r="G659" s="48" t="n">
        <v>2</v>
      </c>
      <c r="H659" s="4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47"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8" t="n">
        <v>26.91</v>
      </c>
      <c r="G661" s="48" t="n">
        <v>2</v>
      </c>
      <c r="H661" s="4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47"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8" t="n">
        <v>6.37</v>
      </c>
      <c r="G663" s="48" t="n">
        <v>2</v>
      </c>
      <c r="H663" s="4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47"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8" t="n">
        <v>3.64</v>
      </c>
      <c r="G665" s="48" t="n">
        <v>2</v>
      </c>
      <c r="H665" s="4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47"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8" t="n">
        <v>3.64</v>
      </c>
      <c r="G667" s="48" t="n">
        <v>2</v>
      </c>
      <c r="H667" s="4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47"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8" t="n">
        <v>3.64</v>
      </c>
      <c r="G669" s="48" t="n">
        <v>2</v>
      </c>
      <c r="H669" s="4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47"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8" t="n">
        <v>3.64</v>
      </c>
      <c r="G671" s="48" t="n">
        <v>2</v>
      </c>
      <c r="H671" s="4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47"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8" t="n">
        <v>3.64</v>
      </c>
      <c r="G673" s="48" t="n">
        <v>2</v>
      </c>
      <c r="H673" s="4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47"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8" t="n">
        <v>3.64</v>
      </c>
      <c r="G675" s="48" t="n">
        <v>2</v>
      </c>
      <c r="H675" s="4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47"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8" t="n">
        <v>3.64</v>
      </c>
      <c r="G677" s="48" t="n">
        <v>2</v>
      </c>
      <c r="H677" s="4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47"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8" t="n">
        <v>2.73</v>
      </c>
      <c r="G679" s="48" t="n">
        <v>2</v>
      </c>
      <c r="H679" s="4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47"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8" t="n">
        <v>52</v>
      </c>
      <c r="G681" s="48" t="n">
        <v>2</v>
      </c>
      <c r="H681" s="4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47"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8" t="n">
        <v>52</v>
      </c>
      <c r="G683" s="48" t="n">
        <v>2</v>
      </c>
      <c r="H683" s="4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47"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8" t="n">
        <v>52</v>
      </c>
      <c r="G685" s="48" t="n">
        <v>2</v>
      </c>
      <c r="H685" s="4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47"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8" t="n">
        <v>52</v>
      </c>
      <c r="G687" s="48" t="n">
        <v>2</v>
      </c>
      <c r="H687" s="4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47"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8" t="n">
        <v>52</v>
      </c>
      <c r="G689" s="48" t="n">
        <v>2</v>
      </c>
      <c r="H689" s="4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47"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8" t="n">
        <v>20.25</v>
      </c>
      <c r="G691" s="48" t="n">
        <v>2</v>
      </c>
      <c r="H691" s="4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47"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8" t="n">
        <v>2.6</v>
      </c>
      <c r="G693" s="48" t="n">
        <v>2</v>
      </c>
      <c r="H693" s="4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47"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8" t="n">
        <v>2.6</v>
      </c>
      <c r="G695" s="48" t="n">
        <v>2</v>
      </c>
      <c r="H695" s="4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47"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8" t="n">
        <v>1.04</v>
      </c>
      <c r="G697" s="48" t="n">
        <v>2</v>
      </c>
      <c r="H697" s="4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47"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8" t="n">
        <v>4.68</v>
      </c>
      <c r="G699" s="48" t="n">
        <v>2</v>
      </c>
      <c r="H699" s="4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47"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8" t="n">
        <v>20.36</v>
      </c>
      <c r="G701" s="48" t="n">
        <v>2</v>
      </c>
      <c r="H701" s="4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47"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8" t="n">
        <v>7.8</v>
      </c>
      <c r="G703" s="48" t="n">
        <v>2</v>
      </c>
      <c r="H703" s="4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47"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8" t="n">
        <v>20.36</v>
      </c>
      <c r="G705" s="48" t="n">
        <v>2</v>
      </c>
      <c r="H705" s="4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47"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8" t="n">
        <v>20.36</v>
      </c>
      <c r="G707" s="48" t="n">
        <v>2</v>
      </c>
      <c r="H707" s="4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47"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8" t="n">
        <v>7.8</v>
      </c>
      <c r="G709" s="48" t="n">
        <v>2</v>
      </c>
      <c r="H709" s="4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47"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8" t="n">
        <v>20.36</v>
      </c>
      <c r="G711" s="48" t="n">
        <v>2</v>
      </c>
      <c r="H711" s="4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47"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8" t="n">
        <v>4.42</v>
      </c>
      <c r="G713" s="48" t="n">
        <v>2</v>
      </c>
      <c r="H713" s="4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47"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8" t="n">
        <v>195</v>
      </c>
      <c r="G715" s="48" t="n">
        <v>2</v>
      </c>
      <c r="H715" s="4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47"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8" t="n">
        <v>195</v>
      </c>
      <c r="G717" s="48" t="n">
        <v>2</v>
      </c>
      <c r="H717" s="4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47"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8" t="n">
        <v>143</v>
      </c>
      <c r="G719" s="48" t="n">
        <v>2</v>
      </c>
      <c r="H719" s="4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47"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8" t="n">
        <v>65</v>
      </c>
      <c r="G721" s="48" t="n">
        <v>2</v>
      </c>
      <c r="H721" s="4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47"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8" t="n">
        <v>20.8</v>
      </c>
      <c r="G723" s="48" t="n">
        <v>2</v>
      </c>
      <c r="H723" s="4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47"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8" t="n">
        <v>20.8</v>
      </c>
      <c r="G725" s="48" t="n">
        <v>2</v>
      </c>
      <c r="H725" s="4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47"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8" t="n">
        <v>20.8</v>
      </c>
      <c r="G727" s="48" t="n">
        <v>2</v>
      </c>
      <c r="H727" s="4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47"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8" t="n">
        <v>26</v>
      </c>
      <c r="G729" s="48" t="n">
        <v>2</v>
      </c>
      <c r="H729" s="4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47"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8" t="n">
        <v>52</v>
      </c>
      <c r="G731" s="48" t="n">
        <v>2</v>
      </c>
      <c r="H731" s="4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47"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8" t="n">
        <v>8.970000000000001</v>
      </c>
      <c r="G733" s="48" t="n">
        <v>2</v>
      </c>
      <c r="H733" s="4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47"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8" t="n">
        <v>33.8</v>
      </c>
      <c r="G735" s="48" t="n">
        <v>2</v>
      </c>
      <c r="H735" s="4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47"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8" t="n">
        <v>8.970000000000001</v>
      </c>
      <c r="G737" s="48" t="n">
        <v>2</v>
      </c>
      <c r="H737" s="4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47"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8" t="n">
        <v>33.8</v>
      </c>
      <c r="G739" s="48" t="n">
        <v>2</v>
      </c>
      <c r="H739" s="4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47"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8" t="n">
        <v>8.970000000000001</v>
      </c>
      <c r="G741" s="48" t="n">
        <v>2</v>
      </c>
      <c r="H741" s="4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47"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8" t="n">
        <v>33.8</v>
      </c>
      <c r="G743" s="48" t="n">
        <v>2</v>
      </c>
      <c r="H743" s="4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47"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8" t="n">
        <v>9.1</v>
      </c>
      <c r="G745" s="48" t="n">
        <v>2</v>
      </c>
      <c r="H745" s="4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47"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8" t="n">
        <v>33.8</v>
      </c>
      <c r="G747" s="48" t="n">
        <v>2</v>
      </c>
      <c r="H747" s="4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47"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8" t="n">
        <v>19.76</v>
      </c>
      <c r="G749" s="48" t="n">
        <v>2</v>
      </c>
      <c r="H749" s="4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47"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8" t="n">
        <v>4.23</v>
      </c>
      <c r="G751" s="48" t="n">
        <v>2</v>
      </c>
      <c r="H751" s="4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47"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8" t="n">
        <v>10</v>
      </c>
      <c r="G753" s="48" t="n">
        <v>2</v>
      </c>
      <c r="H753" s="4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47"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8" t="n">
        <v>10</v>
      </c>
      <c r="G755" s="48" t="n">
        <v>2</v>
      </c>
      <c r="H755" s="4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47"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8" t="n">
        <v>40.1</v>
      </c>
      <c r="G757" s="48" t="n">
        <v>2</v>
      </c>
      <c r="H757" s="4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47"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8" t="n">
        <v>11.65</v>
      </c>
      <c r="G759" s="48" t="n">
        <v>2</v>
      </c>
      <c r="H759" s="4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47"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8" t="n">
        <v>30.35</v>
      </c>
      <c r="G761" s="48" t="n">
        <v>2</v>
      </c>
      <c r="H761" s="4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47"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8" t="n">
        <v>20.36</v>
      </c>
      <c r="G763" s="48" t="n">
        <v>2</v>
      </c>
      <c r="H763" s="4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47"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8" t="n">
        <v>20.36</v>
      </c>
      <c r="G765" s="48" t="n">
        <v>2</v>
      </c>
      <c r="H765" s="4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47"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8" t="n">
        <v>170</v>
      </c>
      <c r="G767" s="48" t="n">
        <v>2</v>
      </c>
      <c r="H767" s="4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47"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8" t="n">
        <v>170</v>
      </c>
      <c r="G769" s="48" t="n">
        <v>2</v>
      </c>
      <c r="H769" s="4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47"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8" t="n">
        <v>170</v>
      </c>
      <c r="G771" s="48" t="n">
        <v>2</v>
      </c>
      <c r="H771" s="4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47"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8" t="n">
        <v>170</v>
      </c>
      <c r="G773" s="48" t="n">
        <v>2</v>
      </c>
      <c r="H773" s="4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47"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8" t="n">
        <v>170</v>
      </c>
      <c r="G775" s="48" t="n">
        <v>2</v>
      </c>
      <c r="H775" s="4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47"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8" t="n">
        <v>170</v>
      </c>
      <c r="G777" s="48" t="n">
        <v>2</v>
      </c>
      <c r="H777" s="4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47"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8" t="n">
        <v>170</v>
      </c>
      <c r="G779" s="48" t="n">
        <v>2</v>
      </c>
      <c r="H779" s="4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47"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8" t="n">
        <v>170</v>
      </c>
      <c r="G781" s="48" t="n">
        <v>2</v>
      </c>
      <c r="H781" s="4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47"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8" t="n">
        <v>170</v>
      </c>
      <c r="G783" s="48" t="n">
        <v>2</v>
      </c>
      <c r="H783" s="4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47"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8" t="n">
        <v>170</v>
      </c>
      <c r="G785" s="48" t="n">
        <v>2</v>
      </c>
      <c r="H785" s="4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47"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8" t="n">
        <v>3</v>
      </c>
      <c r="G787" s="48" t="n">
        <v>2</v>
      </c>
      <c r="H787" s="4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47"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8" t="n">
        <v>3</v>
      </c>
      <c r="G789" s="48" t="n">
        <v>2</v>
      </c>
      <c r="H789" s="4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47"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8" t="n">
        <v>33.56</v>
      </c>
      <c r="G791" s="48" t="n">
        <v>2</v>
      </c>
      <c r="H791" s="4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47"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8" t="n">
        <v>4.42</v>
      </c>
      <c r="G793" s="48" t="n">
        <v>2</v>
      </c>
      <c r="H793" s="4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47"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8" t="n">
        <v>26.91</v>
      </c>
      <c r="G795" s="48" t="n">
        <v>2</v>
      </c>
      <c r="H795" s="4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47"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8" t="n">
        <v>26.91</v>
      </c>
      <c r="G797" s="48" t="n">
        <v>2</v>
      </c>
      <c r="H797" s="4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47"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8" t="n">
        <v>7.8</v>
      </c>
      <c r="G799" s="48" t="n">
        <v>2</v>
      </c>
      <c r="H799" s="4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47"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8" t="n">
        <v>7.8</v>
      </c>
      <c r="G801" s="48" t="n">
        <v>2</v>
      </c>
      <c r="H801" s="4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47"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8" t="n">
        <v>26.91</v>
      </c>
      <c r="G803" s="48" t="n">
        <v>2</v>
      </c>
      <c r="H803" s="4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47"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8" t="n">
        <v>26.91</v>
      </c>
      <c r="G805" s="48" t="n">
        <v>2</v>
      </c>
      <c r="H805" s="4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47"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8" t="n">
        <v>26.91</v>
      </c>
      <c r="G807" s="48" t="n">
        <v>2</v>
      </c>
      <c r="H807" s="4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47"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8" t="n">
        <v>8.109999999999999</v>
      </c>
      <c r="G809" s="48" t="n">
        <v>2</v>
      </c>
      <c r="H809" s="4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47"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8" t="n">
        <v>53.82</v>
      </c>
      <c r="G811" s="48" t="n">
        <v>2</v>
      </c>
      <c r="H811" s="4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47"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8" t="n">
        <v>130</v>
      </c>
      <c r="G813" s="48" t="n">
        <v>2</v>
      </c>
      <c r="H813" s="4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47"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8" t="n">
        <v>130</v>
      </c>
      <c r="G815" s="48" t="n">
        <v>2</v>
      </c>
      <c r="H815" s="4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47"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8" t="n">
        <v>130</v>
      </c>
      <c r="G817" s="48" t="n">
        <v>2</v>
      </c>
      <c r="H817" s="4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47"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8" t="n">
        <v>130</v>
      </c>
      <c r="G819" s="48" t="n">
        <v>2</v>
      </c>
      <c r="H819" s="4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47"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8" t="n">
        <v>180</v>
      </c>
      <c r="G821" s="48" t="n">
        <v>2</v>
      </c>
      <c r="H821" s="4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47"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8" t="n">
        <v>1.82</v>
      </c>
      <c r="G823" s="48" t="n">
        <v>2</v>
      </c>
      <c r="H823" s="4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47"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8" t="n">
        <v>1.82</v>
      </c>
      <c r="G825" s="48" t="n">
        <v>2</v>
      </c>
      <c r="H825" s="4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47"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8" t="n">
        <v>80.73</v>
      </c>
      <c r="G827" s="48" t="n">
        <v>2</v>
      </c>
      <c r="H827" s="4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47"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8" t="n">
        <v>67.34</v>
      </c>
      <c r="G829" s="48" t="n">
        <v>2</v>
      </c>
      <c r="H829" s="4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47"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8" t="n">
        <v>269.1</v>
      </c>
      <c r="G831" s="48" t="n">
        <v>2</v>
      </c>
      <c r="H831" s="4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47"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8" t="n">
        <v>269.1</v>
      </c>
      <c r="G833" s="48" t="n">
        <v>2</v>
      </c>
      <c r="H833" s="4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47"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8" t="n">
        <v>161.46</v>
      </c>
      <c r="G835" s="48" t="n">
        <v>2</v>
      </c>
      <c r="H835" s="4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47"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8" t="n">
        <v>269.1</v>
      </c>
      <c r="G837" s="48" t="n">
        <v>2</v>
      </c>
      <c r="H837" s="4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47"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8" t="n">
        <v>167.7</v>
      </c>
      <c r="G839" s="48" t="n">
        <v>2</v>
      </c>
      <c r="H839" s="4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47"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8" t="n">
        <v>161.46</v>
      </c>
      <c r="G841" s="48" t="n">
        <v>2</v>
      </c>
      <c r="H841" s="4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47"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8" t="n">
        <v>60.58</v>
      </c>
      <c r="G843" s="48" t="n">
        <v>2</v>
      </c>
      <c r="H843" s="4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47"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8" t="n">
        <v>26.91</v>
      </c>
      <c r="G845" s="48" t="n">
        <v>2</v>
      </c>
      <c r="H845" s="4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47"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8" t="n">
        <v>13.52</v>
      </c>
      <c r="G847" s="48" t="n">
        <v>2</v>
      </c>
      <c r="H847" s="4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47"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8" t="n">
        <v>67.28</v>
      </c>
      <c r="G849" s="48" t="n">
        <v>2</v>
      </c>
      <c r="H849" s="4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47"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8" t="n">
        <v>15.37</v>
      </c>
      <c r="G851" s="48" t="n">
        <v>2</v>
      </c>
      <c r="H851" s="4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47"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8" t="n">
        <v>0.46</v>
      </c>
      <c r="G853" s="48" t="n">
        <v>2</v>
      </c>
      <c r="H853" s="4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47"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8" t="n">
        <v>35.88</v>
      </c>
      <c r="G855" s="48" t="n">
        <v>2</v>
      </c>
      <c r="H855" s="4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47"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8" t="n">
        <v>8.970000000000001</v>
      </c>
      <c r="G857" s="48" t="n">
        <v>2</v>
      </c>
      <c r="H857" s="4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47"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8" t="n">
        <v>17.94</v>
      </c>
      <c r="G859" s="48" t="n">
        <v>2</v>
      </c>
      <c r="H859" s="4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47" t="n">
        <v>17.94</v>
      </c>
    </row>
    <row r="861" ht="20" customHeight="1">
      <c r="A861" s="7" t="inlineStr">
        <is>
          <t>10_Steel_Work</t>
        </is>
      </c>
      <c r="B861" s="8" t="inlineStr">
        <is>
          <t>10.14.1</t>
        </is>
      </c>
      <c r="C861" s="7" t="inlineStr">
        <is>
          <t>Profile B</t>
        </is>
      </c>
      <c r="D861" s="8" t="inlineStr">
        <is>
          <t>5 metre</t>
        </is>
      </c>
      <c r="E861" s="7" t="inlineStr">
        <is>
          <t>Screws, nuts and bolts</t>
        </is>
      </c>
      <c r="F861" s="48" t="n">
        <v>35.88</v>
      </c>
      <c r="G861" s="48" t="n">
        <v>2</v>
      </c>
      <c r="H861" s="4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47"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8" t="n">
        <v>-20</v>
      </c>
      <c r="G863" s="48" t="n">
        <v>2</v>
      </c>
      <c r="H863" s="4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47"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8" t="n">
        <v>8.970000000000001</v>
      </c>
      <c r="G865" s="48" t="n">
        <v>2</v>
      </c>
      <c r="H865" s="4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47" t="n">
        <v>71.76000000000001</v>
      </c>
    </row>
    <row r="867" ht="20" customHeight="1">
      <c r="A867" s="7" t="inlineStr">
        <is>
          <t>10_Steel_Work</t>
        </is>
      </c>
      <c r="B867" s="8" t="inlineStr">
        <is>
          <t>10.14.2</t>
        </is>
      </c>
      <c r="C867" s="7" t="inlineStr">
        <is>
          <t>Profile C</t>
        </is>
      </c>
      <c r="D867" s="8" t="inlineStr">
        <is>
          <t>5 metre</t>
        </is>
      </c>
      <c r="E867" s="7" t="inlineStr">
        <is>
          <t>Sundries</t>
        </is>
      </c>
      <c r="F867" s="48" t="n">
        <v>8.970000000000001</v>
      </c>
      <c r="G867" s="48" t="n">
        <v>2</v>
      </c>
      <c r="H867" s="4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47"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8" t="n">
        <v>35.88</v>
      </c>
      <c r="G869" s="48" t="n">
        <v>2</v>
      </c>
      <c r="H869" s="4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47" t="n">
        <v>17.94</v>
      </c>
    </row>
    <row r="871" ht="20" customHeight="1">
      <c r="A871" s="7" t="inlineStr">
        <is>
          <t>10_Steel_Work</t>
        </is>
      </c>
      <c r="B871" s="8" t="inlineStr">
        <is>
          <t>10.14.3</t>
        </is>
      </c>
      <c r="C871" s="7" t="inlineStr">
        <is>
          <t>Profile E</t>
        </is>
      </c>
      <c r="D871" s="8" t="inlineStr">
        <is>
          <t>5 metre</t>
        </is>
      </c>
      <c r="E871" s="7" t="inlineStr">
        <is>
          <t>Screws, nuts and bolts</t>
        </is>
      </c>
      <c r="F871" s="48" t="n">
        <v>35.88</v>
      </c>
      <c r="G871" s="48" t="n">
        <v>2</v>
      </c>
      <c r="H871" s="4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47"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8" t="n">
        <v>-20</v>
      </c>
      <c r="G873" s="48" t="n">
        <v>2</v>
      </c>
      <c r="H873" s="4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47"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8" t="n">
        <v>8.970000000000001</v>
      </c>
      <c r="G875" s="48" t="n">
        <v>2</v>
      </c>
      <c r="H875" s="4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47"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8" t="n">
        <v>17.94</v>
      </c>
      <c r="G877" s="48" t="n">
        <v>2</v>
      </c>
      <c r="H877" s="4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47"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8" t="n">
        <v>35.88</v>
      </c>
      <c r="G879" s="48" t="n">
        <v>2</v>
      </c>
      <c r="H879" s="4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47"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8" t="n">
        <v>3.64</v>
      </c>
      <c r="G881" s="48" t="n">
        <v>2</v>
      </c>
      <c r="H881" s="4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47"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8" t="n">
        <v>80.73</v>
      </c>
      <c r="G883" s="48" t="n">
        <v>2</v>
      </c>
      <c r="H883" s="4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47"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8" t="n">
        <v>1.82</v>
      </c>
      <c r="G885" s="48" t="n">
        <v>2</v>
      </c>
      <c r="H885" s="4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47"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8" t="n">
        <v>4.55</v>
      </c>
      <c r="G887" s="48" t="n">
        <v>2</v>
      </c>
      <c r="H887" s="4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47"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8" t="n">
        <v>0.26</v>
      </c>
      <c r="G889" s="48" t="n">
        <v>2</v>
      </c>
      <c r="H889" s="4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47"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8" t="n">
        <v>4.55</v>
      </c>
      <c r="G891" s="48" t="n">
        <v>2</v>
      </c>
      <c r="H891" s="4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47"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8" t="n">
        <v>12.48</v>
      </c>
      <c r="G893" s="48" t="n">
        <v>2</v>
      </c>
      <c r="H893" s="4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47"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8" t="n">
        <v>10</v>
      </c>
      <c r="G895" s="48" t="n">
        <v>2</v>
      </c>
      <c r="H895" s="4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47"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8" t="n">
        <v>10</v>
      </c>
      <c r="G897" s="48" t="n">
        <v>2</v>
      </c>
      <c r="H897" s="4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47"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8" t="n">
        <v>10</v>
      </c>
      <c r="G899" s="48" t="n">
        <v>2</v>
      </c>
      <c r="H899" s="4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47"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8" t="n">
        <v>20</v>
      </c>
      <c r="G901" s="48" t="n">
        <v>2</v>
      </c>
      <c r="H901" s="4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47"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8" t="n">
        <v>19.76</v>
      </c>
      <c r="G903" s="48" t="n">
        <v>2</v>
      </c>
      <c r="H903" s="4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47"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8" t="n">
        <v>125.58</v>
      </c>
      <c r="G905" s="48" t="n">
        <v>2</v>
      </c>
      <c r="H905" s="4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47"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8" t="n">
        <v>17.94</v>
      </c>
      <c r="G907" s="48" t="n">
        <v>2</v>
      </c>
      <c r="H907" s="4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47"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8" t="n">
        <v>8.970000000000001</v>
      </c>
      <c r="G909" s="48" t="n">
        <v>2</v>
      </c>
      <c r="H909" s="4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47"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8" t="n">
        <v>53.82</v>
      </c>
      <c r="G911" s="48" t="n">
        <v>2</v>
      </c>
      <c r="H911" s="4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47"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8" t="n">
        <v>19.76</v>
      </c>
      <c r="G913" s="48" t="n">
        <v>2</v>
      </c>
      <c r="H913" s="4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47"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8" t="n">
        <v>13.52</v>
      </c>
      <c r="G915" s="48" t="n">
        <v>2</v>
      </c>
      <c r="H915" s="4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47"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8" t="n">
        <v>161.46</v>
      </c>
      <c r="G917" s="48" t="n">
        <v>2</v>
      </c>
      <c r="H917" s="4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47"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8" t="n">
        <v>134.55</v>
      </c>
      <c r="G919" s="48" t="n">
        <v>2</v>
      </c>
      <c r="H919" s="4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47"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8" t="n">
        <v>134.55</v>
      </c>
      <c r="G921" s="48" t="n">
        <v>2</v>
      </c>
      <c r="H921" s="4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47"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8" t="n">
        <v>134.55</v>
      </c>
      <c r="G923" s="48" t="n">
        <v>2</v>
      </c>
      <c r="H923" s="4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47"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8" t="n">
        <v>201.89</v>
      </c>
      <c r="G925" s="48" t="n">
        <v>2</v>
      </c>
      <c r="H925" s="4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47"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8" t="n">
        <v>-3.64</v>
      </c>
      <c r="G927" s="48" t="n">
        <v>2</v>
      </c>
      <c r="H927" s="4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47"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8" t="n">
        <v>134.55</v>
      </c>
      <c r="G929" s="48" t="n">
        <v>2</v>
      </c>
      <c r="H929" s="4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47"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8" t="n">
        <v>161.98</v>
      </c>
      <c r="G931" s="48" t="n">
        <v>2</v>
      </c>
      <c r="H931" s="4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47"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8" t="n">
        <v>161.98</v>
      </c>
      <c r="G933" s="48" t="n">
        <v>2</v>
      </c>
      <c r="H933" s="4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47"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8" t="n">
        <v>161.46</v>
      </c>
      <c r="G935" s="48" t="n">
        <v>2</v>
      </c>
      <c r="H935" s="4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47"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8" t="n">
        <v>161.46</v>
      </c>
      <c r="G937" s="48" t="n">
        <v>2</v>
      </c>
      <c r="H937" s="4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47"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8" t="n">
        <v>0</v>
      </c>
      <c r="G939" s="48" t="n">
        <v>2</v>
      </c>
      <c r="H939" s="4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47"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8" t="n">
        <v>0</v>
      </c>
      <c r="G941" s="48" t="n">
        <v>2</v>
      </c>
      <c r="H941" s="4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47"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8" t="n">
        <v>0</v>
      </c>
      <c r="G943" s="48" t="n">
        <v>2</v>
      </c>
      <c r="H943" s="4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47"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8" t="n">
        <v>40.43</v>
      </c>
      <c r="G945" s="48" t="n">
        <v>2</v>
      </c>
      <c r="H945" s="4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47"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8" t="n">
        <v>40.43</v>
      </c>
      <c r="G947" s="48" t="n">
        <v>2</v>
      </c>
      <c r="H947" s="4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47"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8" t="n">
        <v>25.35</v>
      </c>
      <c r="G949" s="48" t="n">
        <v>2</v>
      </c>
      <c r="H949" s="4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47"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8" t="n">
        <v>16.9</v>
      </c>
      <c r="G951" s="48" t="n">
        <v>2</v>
      </c>
      <c r="H951" s="4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47"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8" t="n">
        <v>134.55</v>
      </c>
      <c r="G953" s="48" t="n">
        <v>2</v>
      </c>
      <c r="H953" s="4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47"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8" t="n">
        <v>134.55</v>
      </c>
      <c r="G955" s="48" t="n">
        <v>2</v>
      </c>
      <c r="H955" s="4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47"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8" t="n">
        <v>134.55</v>
      </c>
      <c r="G957" s="48" t="n">
        <v>2</v>
      </c>
      <c r="H957" s="4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47"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8" t="n">
        <v>26.91</v>
      </c>
      <c r="G959" s="48" t="n">
        <v>2</v>
      </c>
      <c r="H959" s="4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47"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8" t="n">
        <v>174.98</v>
      </c>
      <c r="G961" s="48" t="n">
        <v>2</v>
      </c>
      <c r="H961" s="4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47"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8" t="n">
        <v>10.79</v>
      </c>
      <c r="G963" s="48" t="n">
        <v>2</v>
      </c>
      <c r="H963" s="4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47"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8" t="n">
        <v>26.91</v>
      </c>
      <c r="G965" s="48" t="n">
        <v>2</v>
      </c>
      <c r="H965" s="4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47"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8" t="n">
        <v>26.91</v>
      </c>
      <c r="G967" s="48" t="n">
        <v>2</v>
      </c>
      <c r="H967" s="4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47"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8" t="n">
        <v>26.91</v>
      </c>
      <c r="G969" s="48" t="n">
        <v>2</v>
      </c>
      <c r="H969" s="4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47"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8" t="n">
        <v>9.1</v>
      </c>
      <c r="G971" s="48" t="n">
        <v>2</v>
      </c>
      <c r="H971" s="4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47"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8" t="n">
        <v>26.91</v>
      </c>
      <c r="G973" s="48" t="n">
        <v>2</v>
      </c>
      <c r="H973" s="4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47"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8" t="n">
        <v>3.64</v>
      </c>
      <c r="G975" s="48" t="n">
        <v>2</v>
      </c>
      <c r="H975" s="4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47"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8" t="n">
        <v>20.2</v>
      </c>
      <c r="G977" s="48" t="n">
        <v>2</v>
      </c>
      <c r="H977" s="4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47"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8" t="n">
        <v>13.47</v>
      </c>
      <c r="G979" s="48" t="n">
        <v>2</v>
      </c>
      <c r="H979" s="4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47"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8" t="n">
        <v>13.47</v>
      </c>
      <c r="G981" s="48" t="n">
        <v>2</v>
      </c>
      <c r="H981" s="4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47"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8" t="n">
        <v>3.64</v>
      </c>
      <c r="G983" s="48" t="n">
        <v>2</v>
      </c>
      <c r="H983" s="4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47"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8" t="n">
        <v>3.64</v>
      </c>
      <c r="G985" s="48" t="n">
        <v>2</v>
      </c>
      <c r="H985" s="4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47"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8" t="n">
        <v>2.6</v>
      </c>
      <c r="G987" s="48" t="n">
        <v>2</v>
      </c>
      <c r="H987" s="4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47"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8" t="n">
        <v>2.6</v>
      </c>
      <c r="G989" s="48" t="n">
        <v>2</v>
      </c>
      <c r="H989" s="4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47"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8" t="n">
        <v>40.43</v>
      </c>
      <c r="G991" s="48" t="n">
        <v>2</v>
      </c>
      <c r="H991" s="4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47"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8" t="n">
        <v>40.43</v>
      </c>
      <c r="G993" s="48" t="n">
        <v>2</v>
      </c>
      <c r="H993" s="4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47"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8" t="n">
        <v>8.970000000000001</v>
      </c>
      <c r="G995" s="48" t="n">
        <v>2</v>
      </c>
      <c r="H995" s="4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47" t="n">
        <v>134.5</v>
      </c>
    </row>
    <row r="997" ht="20" customHeight="1">
      <c r="A997" s="7" t="inlineStr">
        <is>
          <t>11_Flooring</t>
        </is>
      </c>
      <c r="B997" s="8" t="inlineStr">
        <is>
          <t>2.27</t>
        </is>
      </c>
      <c r="C997" s="7" t="inlineStr">
        <is>
          <t>Rate as per Item No.2.27 of</t>
        </is>
      </c>
      <c r="D997" s="8" t="inlineStr">
        <is>
          <t>1 unit</t>
        </is>
      </c>
      <c r="E997" s="7" t="inlineStr">
        <is>
          <t>Sundries</t>
        </is>
      </c>
      <c r="F997" s="48" t="n">
        <v>50</v>
      </c>
      <c r="G997" s="48" t="n">
        <v>2</v>
      </c>
      <c r="H997" s="4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47"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8" t="n">
        <v>26.91</v>
      </c>
      <c r="G999" s="48" t="n">
        <v>2</v>
      </c>
      <c r="H999" s="4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47"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8" t="n">
        <v>26.91</v>
      </c>
      <c r="G1001" s="48" t="n">
        <v>2</v>
      </c>
      <c r="H1001" s="4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47"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8" t="n">
        <v>26.91</v>
      </c>
      <c r="G1003" s="48" t="n">
        <v>2</v>
      </c>
      <c r="H1003" s="4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47"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8" t="n">
        <v>26.91</v>
      </c>
      <c r="G1005" s="48" t="n">
        <v>2</v>
      </c>
      <c r="H1005" s="4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47"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8" t="n">
        <v>40.43</v>
      </c>
      <c r="G1007" s="48" t="n">
        <v>2</v>
      </c>
      <c r="H1007" s="4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47"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8" t="n">
        <v>26.91</v>
      </c>
      <c r="G1009" s="48" t="n">
        <v>2</v>
      </c>
      <c r="H1009" s="4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47"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8" t="n">
        <v>26.91</v>
      </c>
      <c r="G1011" s="48" t="n">
        <v>2</v>
      </c>
      <c r="H1011" s="4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47"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8" t="n">
        <v>5</v>
      </c>
      <c r="G1013" s="48" t="n">
        <v>2</v>
      </c>
      <c r="H1013" s="4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47"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8" t="n">
        <v>5</v>
      </c>
      <c r="G1015" s="48" t="n">
        <v>2</v>
      </c>
      <c r="H1015" s="4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47"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8" t="n">
        <v>26.91</v>
      </c>
      <c r="G1017" s="48" t="n">
        <v>2</v>
      </c>
      <c r="H1017" s="4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47"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8" t="n">
        <v>26.91</v>
      </c>
      <c r="G1019" s="48" t="n">
        <v>2</v>
      </c>
      <c r="H1019" s="4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47"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8" t="n">
        <v>3.12</v>
      </c>
      <c r="G1021" s="48" t="n">
        <v>2</v>
      </c>
      <c r="H1021" s="4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47"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8" t="n">
        <v>26.91</v>
      </c>
      <c r="G1023" s="48" t="n">
        <v>2</v>
      </c>
      <c r="H1023" s="4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47"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8" t="n">
        <v>26.91</v>
      </c>
      <c r="G1025" s="48" t="n">
        <v>2</v>
      </c>
      <c r="H1025" s="4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47"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8" t="n">
        <v>49.92</v>
      </c>
      <c r="G1027" s="48" t="n">
        <v>2</v>
      </c>
      <c r="H1027" s="4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47"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8" t="n">
        <v>490</v>
      </c>
      <c r="G1029" s="48" t="n">
        <v>2</v>
      </c>
      <c r="H1029" s="4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47"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8" t="n">
        <v>490</v>
      </c>
      <c r="G1031" s="48" t="n">
        <v>2</v>
      </c>
      <c r="H1031" s="4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47"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8" t="n">
        <v>25.35</v>
      </c>
      <c r="G1033" s="48" t="n">
        <v>2</v>
      </c>
      <c r="H1033" s="4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47"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8" t="n">
        <v>25.35</v>
      </c>
      <c r="G1035" s="48" t="n">
        <v>2</v>
      </c>
      <c r="H1035" s="4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47"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8" t="n">
        <v>53.82</v>
      </c>
      <c r="G1037" s="48" t="n">
        <v>2</v>
      </c>
      <c r="H1037" s="4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47"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8" t="n">
        <v>31.98</v>
      </c>
      <c r="G1039" s="48" t="n">
        <v>2</v>
      </c>
      <c r="H1039" s="4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47"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8" t="n">
        <v>53.82</v>
      </c>
      <c r="G1041" s="48" t="n">
        <v>2</v>
      </c>
      <c r="H1041" s="4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47"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8" t="n">
        <v>31.98</v>
      </c>
      <c r="G1043" s="48" t="n">
        <v>2</v>
      </c>
      <c r="H1043" s="4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47"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8" t="n">
        <v>53.82</v>
      </c>
      <c r="G1045" s="48" t="n">
        <v>2</v>
      </c>
      <c r="H1045" s="4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47"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8" t="n">
        <v>31.98</v>
      </c>
      <c r="G1047" s="48" t="n">
        <v>2</v>
      </c>
      <c r="H1047" s="4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47"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8" t="n">
        <v>13.52</v>
      </c>
      <c r="G1049" s="48" t="n">
        <v>2</v>
      </c>
      <c r="H1049" s="4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47"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8" t="n">
        <v>13.52</v>
      </c>
      <c r="G1051" s="48" t="n">
        <v>2</v>
      </c>
      <c r="H1051" s="4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47"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8" t="n">
        <v>5.33</v>
      </c>
      <c r="G1053" s="48" t="n">
        <v>2</v>
      </c>
      <c r="H1053" s="4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47"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8" t="n">
        <v>5.33</v>
      </c>
      <c r="G1055" s="48" t="n">
        <v>2</v>
      </c>
      <c r="H1055" s="4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47"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8" t="n">
        <v>39.52</v>
      </c>
      <c r="G1057" s="48" t="n">
        <v>2</v>
      </c>
      <c r="H1057" s="4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47"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8" t="n">
        <v>6.76</v>
      </c>
      <c r="G1059" s="48" t="n">
        <v>2</v>
      </c>
      <c r="H1059" s="4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47"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8" t="n">
        <v>7.15</v>
      </c>
      <c r="G1061" s="48" t="n">
        <v>2</v>
      </c>
      <c r="H1061" s="4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47"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8" t="n">
        <v>3.25</v>
      </c>
      <c r="G1063" s="48" t="n">
        <v>2</v>
      </c>
      <c r="H1063" s="4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47"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8" t="n">
        <v>3.25</v>
      </c>
      <c r="G1065" s="48" t="n">
        <v>2</v>
      </c>
      <c r="H1065" s="4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47"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8" t="n">
        <v>6.24</v>
      </c>
      <c r="G1067" s="48" t="n">
        <v>2</v>
      </c>
      <c r="H1067" s="4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47"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8" t="n">
        <v>10.79</v>
      </c>
      <c r="G1069" s="48" t="n">
        <v>2</v>
      </c>
      <c r="H1069" s="4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47"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8" t="n">
        <v>13.39</v>
      </c>
      <c r="G1071" s="48" t="n">
        <v>2</v>
      </c>
      <c r="H1071" s="4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47"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8" t="n">
        <v>13.52</v>
      </c>
      <c r="G1073" s="48" t="n">
        <v>2</v>
      </c>
      <c r="H1073" s="4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47"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8" t="n">
        <v>8.06</v>
      </c>
      <c r="G1075" s="48" t="n">
        <v>2</v>
      </c>
      <c r="H1075" s="4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47"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8" t="n">
        <v>5.33</v>
      </c>
      <c r="G1077" s="48" t="n">
        <v>2</v>
      </c>
      <c r="H1077" s="4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47"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8" t="n">
        <v>6.76</v>
      </c>
      <c r="G1079" s="48" t="n">
        <v>2</v>
      </c>
      <c r="H1079" s="4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47"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8" t="n">
        <v>1.82</v>
      </c>
      <c r="G1081" s="48" t="n">
        <v>2</v>
      </c>
      <c r="H1081" s="4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47"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8" t="n">
        <v>2.47</v>
      </c>
      <c r="G1083" s="48" t="n">
        <v>2</v>
      </c>
      <c r="H1083" s="4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47"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8" t="n">
        <v>5.07</v>
      </c>
      <c r="G1085" s="48" t="n">
        <v>2</v>
      </c>
      <c r="H1085" s="4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47"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8" t="n">
        <v>1.43</v>
      </c>
      <c r="G1087" s="48" t="n">
        <v>2</v>
      </c>
      <c r="H1087" s="4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47"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8" t="n">
        <v>0.13</v>
      </c>
      <c r="G1089" s="48" t="n">
        <v>2</v>
      </c>
      <c r="H1089" s="4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47"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8" t="n">
        <v>0.26</v>
      </c>
      <c r="G1091" s="48" t="n">
        <v>2</v>
      </c>
      <c r="H1091" s="4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47"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8" t="n">
        <v>16.12</v>
      </c>
      <c r="G1093" s="48" t="n">
        <v>2</v>
      </c>
      <c r="H1093" s="4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47"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8" t="n">
        <v>26.91</v>
      </c>
      <c r="G1095" s="48" t="n">
        <v>2</v>
      </c>
      <c r="H1095" s="4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47"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8" t="n">
        <v>31.07</v>
      </c>
      <c r="G1097" s="48" t="n">
        <v>2</v>
      </c>
      <c r="H1097" s="4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47"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8" t="n">
        <v>31.07</v>
      </c>
      <c r="G1099" s="48" t="n">
        <v>2</v>
      </c>
      <c r="H1099" s="4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47"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8" t="n">
        <v>26.91</v>
      </c>
      <c r="G1101" s="48" t="n">
        <v>2</v>
      </c>
      <c r="H1101" s="4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47"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8" t="n">
        <v>31.07</v>
      </c>
      <c r="G1103" s="48" t="n">
        <v>2</v>
      </c>
      <c r="H1103" s="4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47"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8" t="n">
        <v>31.07</v>
      </c>
      <c r="G1105" s="48" t="n">
        <v>2</v>
      </c>
      <c r="H1105" s="4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47"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8" t="n">
        <v>26.91</v>
      </c>
      <c r="G1107" s="48" t="n">
        <v>2</v>
      </c>
      <c r="H1107" s="4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47"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8" t="n">
        <v>31.07</v>
      </c>
      <c r="G1109" s="48" t="n">
        <v>2</v>
      </c>
      <c r="H1109" s="4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47"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8" t="n">
        <v>31.07</v>
      </c>
      <c r="G1111" s="48" t="n">
        <v>2</v>
      </c>
      <c r="H1111" s="4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47"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8" t="n">
        <v>7.8</v>
      </c>
      <c r="G1113" s="48" t="n">
        <v>2</v>
      </c>
      <c r="H1113" s="4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47"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8" t="n">
        <v>5.33</v>
      </c>
      <c r="G1115" s="48" t="n">
        <v>2</v>
      </c>
      <c r="H1115" s="4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47"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8" t="n">
        <v>6.11</v>
      </c>
      <c r="G1117" s="48" t="n">
        <v>2</v>
      </c>
      <c r="H1117" s="4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47" t="n">
        <v>21.58</v>
      </c>
    </row>
    <row r="1119" ht="20" customHeight="1">
      <c r="A1119" s="7" t="inlineStr">
        <is>
          <t>12_Roofing</t>
        </is>
      </c>
      <c r="B1119" s="8" t="inlineStr">
        <is>
          <t>12.27.3</t>
        </is>
      </c>
      <c r="C1119" s="7" t="inlineStr">
        <is>
          <t>White face insulating board:</t>
        </is>
      </c>
      <c r="D1119" s="8" t="inlineStr">
        <is>
          <t>15</t>
        </is>
      </c>
      <c r="E1119" s="7" t="inlineStr">
        <is>
          <t>Nails</t>
        </is>
      </c>
      <c r="F1119" s="48" t="n">
        <v>5.33</v>
      </c>
      <c r="G1119" s="48" t="n">
        <v>2</v>
      </c>
      <c r="H1119" s="4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47" t="n">
        <v>12.22</v>
      </c>
    </row>
    <row r="1121" ht="20" customHeight="1">
      <c r="A1121" s="7" t="inlineStr">
        <is>
          <t>12_Roofing</t>
        </is>
      </c>
      <c r="B1121" s="8" t="inlineStr">
        <is>
          <t>12.27.3</t>
        </is>
      </c>
      <c r="C1121" s="7" t="inlineStr">
        <is>
          <t>White face insulating board:</t>
        </is>
      </c>
      <c r="D1121" s="8" t="inlineStr">
        <is>
          <t>15</t>
        </is>
      </c>
      <c r="E1121" s="7" t="inlineStr">
        <is>
          <t>Sundries</t>
        </is>
      </c>
      <c r="F1121" s="48" t="n">
        <v>6.11</v>
      </c>
      <c r="G1121" s="48" t="n">
        <v>2</v>
      </c>
      <c r="H1121" s="4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47"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8" t="n">
        <v>5.33</v>
      </c>
      <c r="G1123" s="48" t="n">
        <v>2</v>
      </c>
      <c r="H1123" s="4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47"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8" t="n">
        <v>6.11</v>
      </c>
      <c r="G1125" s="48" t="n">
        <v>2</v>
      </c>
      <c r="H1125" s="4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47"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8" t="n">
        <v>5.33</v>
      </c>
      <c r="G1127" s="48" t="n">
        <v>2</v>
      </c>
      <c r="H1127" s="4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47"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8" t="n">
        <v>6.11</v>
      </c>
      <c r="G1129" s="48" t="n">
        <v>2</v>
      </c>
      <c r="H1129" s="4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47"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8" t="n">
        <v>5.33</v>
      </c>
      <c r="G1131" s="48" t="n">
        <v>2</v>
      </c>
      <c r="H1131" s="4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47"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8" t="n">
        <v>6.11</v>
      </c>
      <c r="G1133" s="48" t="n">
        <v>2</v>
      </c>
      <c r="H1133" s="4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47"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8" t="n">
        <v>83.98</v>
      </c>
      <c r="G1135" s="48" t="n">
        <v>2</v>
      </c>
      <c r="H1135" s="4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47"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8" t="n">
        <v>83.98</v>
      </c>
      <c r="G1137" s="48" t="n">
        <v>2</v>
      </c>
      <c r="H1137" s="4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47"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8" t="n">
        <v>13.52</v>
      </c>
      <c r="G1139" s="48" t="n">
        <v>2</v>
      </c>
      <c r="H1139" s="4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47"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8" t="n">
        <v>104</v>
      </c>
      <c r="G1141" s="48" t="n">
        <v>2</v>
      </c>
      <c r="H1141" s="4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47"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8" t="n">
        <v>52</v>
      </c>
      <c r="G1143" s="48" t="n">
        <v>2</v>
      </c>
      <c r="H1143" s="4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47"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8" t="n">
        <v>13</v>
      </c>
      <c r="G1145" s="48" t="n">
        <v>2</v>
      </c>
      <c r="H1145" s="4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47"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8" t="n">
        <v>5.33</v>
      </c>
      <c r="G1147" s="48" t="n">
        <v>2</v>
      </c>
      <c r="H1147" s="4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47"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8" t="n">
        <v>0.26</v>
      </c>
      <c r="G1149" s="48" t="n">
        <v>2</v>
      </c>
      <c r="H1149" s="4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47"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8" t="n">
        <v>0.13</v>
      </c>
      <c r="G1151" s="48" t="n">
        <v>2</v>
      </c>
      <c r="H1151" s="4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47"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8" t="n">
        <v>0.26</v>
      </c>
      <c r="G1153" s="48" t="n">
        <v>2</v>
      </c>
      <c r="H1153" s="4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47"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8" t="n">
        <v>0.13</v>
      </c>
      <c r="G1155" s="48" t="n">
        <v>2</v>
      </c>
      <c r="H1155" s="4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47"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8" t="n">
        <v>13.52</v>
      </c>
      <c r="G1157" s="48" t="n">
        <v>2</v>
      </c>
      <c r="H1157" s="4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47"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8" t="n">
        <v>18.59</v>
      </c>
      <c r="G1159" s="48" t="n">
        <v>2</v>
      </c>
      <c r="H1159" s="4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47"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8" t="n">
        <v>18.59</v>
      </c>
      <c r="G1161" s="48" t="n">
        <v>2</v>
      </c>
      <c r="H1161" s="4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47"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8" t="n">
        <v>2.73</v>
      </c>
      <c r="G1163" s="48" t="n">
        <v>2</v>
      </c>
      <c r="H1163" s="4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47"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8" t="n">
        <v>2.73</v>
      </c>
      <c r="G1165" s="48" t="n">
        <v>2</v>
      </c>
      <c r="H1165" s="4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47"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8" t="n">
        <v>2.73</v>
      </c>
      <c r="G1167" s="48" t="n">
        <v>2</v>
      </c>
      <c r="H1167" s="4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47"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8" t="n">
        <v>2.73</v>
      </c>
      <c r="G1169" s="48" t="n">
        <v>2</v>
      </c>
      <c r="H1169" s="4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47"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8" t="n">
        <v>0.91</v>
      </c>
      <c r="G1171" s="48" t="n">
        <v>2</v>
      </c>
      <c r="H1171" s="4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47"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8" t="n">
        <v>7.15</v>
      </c>
      <c r="G1173" s="48" t="n">
        <v>2</v>
      </c>
      <c r="H1173" s="4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47"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8" t="n">
        <v>3.9</v>
      </c>
      <c r="G1175" s="48" t="n">
        <v>2</v>
      </c>
      <c r="H1175" s="4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47"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8" t="n">
        <v>807.3</v>
      </c>
      <c r="G1177" s="48" t="n">
        <v>2</v>
      </c>
      <c r="H1177" s="4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47"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8" t="n">
        <v>807.3</v>
      </c>
      <c r="G1179" s="48" t="n">
        <v>2</v>
      </c>
      <c r="H1179" s="4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47"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8" t="n">
        <v>53.82</v>
      </c>
      <c r="G1181" s="48" t="n">
        <v>2</v>
      </c>
      <c r="H1181" s="4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47"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8" t="n">
        <v>2.6</v>
      </c>
      <c r="G1183" s="48" t="n">
        <v>2</v>
      </c>
      <c r="H1183" s="4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47"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8" t="n">
        <v>6.76</v>
      </c>
      <c r="G1185" s="48" t="n">
        <v>2</v>
      </c>
      <c r="H1185" s="4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47"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8" t="n">
        <v>6.24</v>
      </c>
      <c r="G1187" s="48" t="n">
        <v>2</v>
      </c>
      <c r="H1187" s="4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47"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8" t="n">
        <v>6.24</v>
      </c>
      <c r="G1189" s="48" t="n">
        <v>2</v>
      </c>
      <c r="H1189" s="4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47"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8" t="n">
        <v>12.61</v>
      </c>
      <c r="G1191" s="48" t="n">
        <v>2</v>
      </c>
      <c r="H1191" s="4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47"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8" t="n">
        <v>187.95</v>
      </c>
      <c r="G1193" s="48" t="n">
        <v>2</v>
      </c>
      <c r="H1193" s="4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47"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8" t="n">
        <v>187.95</v>
      </c>
      <c r="G1195" s="48" t="n">
        <v>2</v>
      </c>
      <c r="H1195" s="4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47"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8" t="n">
        <v>310.7</v>
      </c>
      <c r="G1197" s="48" t="n">
        <v>2</v>
      </c>
      <c r="H1197" s="4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47"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8" t="n">
        <v>188</v>
      </c>
      <c r="G1199" s="48" t="n">
        <v>2</v>
      </c>
      <c r="H1199" s="4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47"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8" t="n">
        <v>6.71</v>
      </c>
      <c r="G1201" s="48" t="n">
        <v>2</v>
      </c>
      <c r="H1201" s="4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47"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8" t="n">
        <v>44.67</v>
      </c>
      <c r="G1203" s="48" t="n">
        <v>2</v>
      </c>
      <c r="H1203" s="4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47"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8" t="n">
        <v>21.48</v>
      </c>
      <c r="G1205" s="48" t="n">
        <v>2</v>
      </c>
      <c r="H1205" s="4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47"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8" t="n">
        <v>53.69</v>
      </c>
      <c r="G1207" s="48" t="n">
        <v>2</v>
      </c>
      <c r="H1207" s="4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47"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8" t="n">
        <v>20</v>
      </c>
      <c r="G1209" s="48" t="n">
        <v>2</v>
      </c>
      <c r="H1209" s="4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47"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8" t="n">
        <v>187.95</v>
      </c>
      <c r="G1211" s="48" t="n">
        <v>2</v>
      </c>
      <c r="H1211" s="4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47"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8" t="n">
        <v>104</v>
      </c>
      <c r="G1213" s="48" t="n">
        <v>2</v>
      </c>
      <c r="H1213" s="4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47"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8" t="n">
        <v>52</v>
      </c>
      <c r="G1215" s="48" t="n">
        <v>2</v>
      </c>
      <c r="H1215" s="4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47"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8" t="n">
        <v>20</v>
      </c>
      <c r="G1217" s="48" t="n">
        <v>2</v>
      </c>
      <c r="H1217" s="4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47"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50" t="inlineStr">
        <is>
          <t>LEGEND:</t>
        </is>
      </c>
      <c r="B2" s="51" t="inlineStr">
        <is>
          <t>User Input (Editable)</t>
        </is>
      </c>
      <c r="C2" s="34" t="inlineStr">
        <is>
          <t>Auto Lookup from Rates_Master</t>
        </is>
      </c>
      <c r="D2" s="8" t="inlineStr">
        <is>
          <t>Calculated</t>
        </is>
      </c>
      <c r="E2" s="52" t="inlineStr">
        <is>
          <t>Resolved Rate</t>
        </is>
      </c>
      <c r="F2" s="53"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4" t="inlineStr">
        <is>
          <t>4.2.5</t>
        </is>
      </c>
      <c r="B7" s="20" t="inlineStr">
        <is>
          <t>04 Concrete Work (Vol.1)</t>
        </is>
      </c>
      <c r="C7" s="55" t="inlineStr">
        <is>
          <t>Providing and laying in position cement concrete of specified grade excluding the cost of centering and shuttering - 1:3:6 (1 cement : 3 coarse sand (zone-III) : 6 graded stone aggregate 20 mm nominal size)</t>
        </is>
      </c>
      <c r="D7" s="19" t="inlineStr">
        <is>
          <t>cum</t>
        </is>
      </c>
      <c r="E7" s="56" t="n">
        <v>1</v>
      </c>
      <c r="F7" s="57" t="n">
        <v>8025</v>
      </c>
      <c r="G7" s="58">
        <f>G44</f>
        <v/>
      </c>
      <c r="H7" s="54" t="inlineStr">
        <is>
          <t>XV_4_2_5</t>
        </is>
      </c>
      <c r="I7" s="24" t="inlineStr">
        <is>
          <t>Feeds resolved item 18.78 below (not a Vol.2 item - re-derived here so 18.78 is self-contained)</t>
        </is>
      </c>
    </row>
    <row r="8" ht="34" customHeight="1">
      <c r="A8" s="54" t="inlineStr">
        <is>
          <t>13.50.1</t>
        </is>
      </c>
      <c r="B8" s="20" t="inlineStr">
        <is>
          <t>13 Finishing (Vol.2)</t>
        </is>
      </c>
      <c r="C8" s="55" t="inlineStr">
        <is>
          <t>Applying priming coat with ready mixed pink or Grey primer of approved brand and manufacture on wood work (hard and soft wood)</t>
        </is>
      </c>
      <c r="D8" s="19" t="inlineStr">
        <is>
          <t>sqm</t>
        </is>
      </c>
      <c r="E8" s="56" t="n">
        <v>10</v>
      </c>
      <c r="F8" s="57" t="n">
        <v>57.05</v>
      </c>
      <c r="G8" s="58">
        <f>G66</f>
        <v/>
      </c>
      <c r="H8" s="54" t="inlineStr">
        <is>
          <t>XV_13_50_1</t>
        </is>
      </c>
      <c r="I8" s="24" t="inlineStr">
        <is>
          <t>09_Wood_and_PVC_Work (primer on wood work)</t>
        </is>
      </c>
    </row>
    <row r="9" ht="34" customHeight="1">
      <c r="A9" s="54" t="inlineStr">
        <is>
          <t>13.50.3</t>
        </is>
      </c>
      <c r="B9" s="20" t="inlineStr">
        <is>
          <t>13 Finishing (Vol.2)</t>
        </is>
      </c>
      <c r="C9" s="55" t="inlineStr">
        <is>
          <t>Applying priming coat with ready mixed red oxide zinc chromate primer of approved brand and manufacture on steel / iron work</t>
        </is>
      </c>
      <c r="D9" s="19" t="inlineStr">
        <is>
          <t>sqm</t>
        </is>
      </c>
      <c r="E9" s="56" t="n">
        <v>10</v>
      </c>
      <c r="F9" s="57" t="n">
        <v>50.7</v>
      </c>
      <c r="G9" s="58">
        <f>G86</f>
        <v/>
      </c>
      <c r="H9" s="54" t="inlineStr">
        <is>
          <t>XV_13_50_3</t>
        </is>
      </c>
      <c r="I9" s="24" t="inlineStr">
        <is>
          <t>10_Steel_Work (priming coat), 09_Wood_and_PVC_Work (steel fittings)</t>
        </is>
      </c>
    </row>
    <row r="10" ht="34" customHeight="1">
      <c r="A10" s="54" t="inlineStr">
        <is>
          <t>13.57.1</t>
        </is>
      </c>
      <c r="B10" s="20" t="inlineStr">
        <is>
          <t>13 Finishing (Vol.2)</t>
        </is>
      </c>
      <c r="C10" s="55" t="inlineStr">
        <is>
          <t>Painting with oil type wood preservative of approved brand and manufacture - new work (two or more coats)</t>
        </is>
      </c>
      <c r="D10" s="19" t="inlineStr">
        <is>
          <t>sqm</t>
        </is>
      </c>
      <c r="E10" s="56" t="n">
        <v>10</v>
      </c>
      <c r="F10" s="57" t="n">
        <v>44.5</v>
      </c>
      <c r="G10" s="58">
        <f>G107</f>
        <v/>
      </c>
      <c r="H10" s="54" t="inlineStr">
        <is>
          <t>XV_13_57_1</t>
        </is>
      </c>
      <c r="I10" s="24" t="inlineStr">
        <is>
          <t>09_Wood_and_PVC_Work (preservative treatment on timber)</t>
        </is>
      </c>
    </row>
    <row r="11" ht="34" customHeight="1">
      <c r="A11" s="54" t="inlineStr">
        <is>
          <t>18.78</t>
        </is>
      </c>
      <c r="B11" s="20" t="inlineStr">
        <is>
          <t>18 Water Supply (Vol.2)</t>
        </is>
      </c>
      <c r="C11" s="55" t="inlineStr">
        <is>
          <t>Making chases up to 7.5 x 7.5 cm in walls including making good and finishing the same with cement concrete 1:3:6</t>
        </is>
      </c>
      <c r="D11" s="19" t="inlineStr">
        <is>
          <t>metre</t>
        </is>
      </c>
      <c r="E11" s="56" t="n">
        <v>10</v>
      </c>
      <c r="F11" s="57" t="n">
        <v>154.15</v>
      </c>
      <c r="G11" s="58">
        <f>G126</f>
        <v/>
      </c>
      <c r="H11" s="54"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9"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6" t="n">
        <v>1</v>
      </c>
      <c r="C15" s="20" t="inlineStr">
        <is>
          <t>cum</t>
        </is>
      </c>
      <c r="D15" s="16" t="inlineStr">
        <is>
          <t>Consumed by:</t>
        </is>
      </c>
      <c r="E15" s="24" t="inlineStr">
        <is>
          <t>Feeds resolved item 18.78 below (not a Vol.2 item - re-derived here so 18.78 is self-contained)</t>
        </is>
      </c>
      <c r="F15" s="60" t="n"/>
      <c r="G15" s="60" t="n"/>
      <c r="H15" s="60" t="n"/>
      <c r="I15" s="60"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61" t="inlineStr">
        <is>
          <t>0295</t>
        </is>
      </c>
      <c r="C17" s="62">
        <f>IFERROR(INDEX(Rates_Master!$C:$C, MATCH(B17, Rates_Master!$A:$A, 0)), "Code not found in Rates_Master")</f>
        <v/>
      </c>
      <c r="D17" s="63">
        <f>IFERROR(INDEX(Rates_Master!$D:$D, MATCH(B17, Rates_Master!$A:$A, 0)), "")</f>
        <v/>
      </c>
      <c r="E17" s="64" t="n">
        <v>0.7</v>
      </c>
      <c r="F17" s="65">
        <f>IFERROR(INDEX(Rates_Master!$E:$E, MATCH(B17, Rates_Master!$A:$A, 0)), 0)</f>
        <v/>
      </c>
      <c r="G17" s="57">
        <f>ROUND(E17 * F17, 2)</f>
        <v/>
      </c>
      <c r="H17" s="24" t="inlineStr">
        <is>
          <t>Stone Aggregate (single size) 20 mm nominal size</t>
        </is>
      </c>
      <c r="I17" s="54" t="inlineStr"/>
    </row>
    <row r="18" ht="20" customHeight="1">
      <c r="A18" s="19" t="n">
        <v>2</v>
      </c>
      <c r="B18" s="61" t="inlineStr">
        <is>
          <t>0297</t>
        </is>
      </c>
      <c r="C18" s="62">
        <f>IFERROR(INDEX(Rates_Master!$C:$C, MATCH(B18, Rates_Master!$A:$A, 0)), "Code not found in Rates_Master")</f>
        <v/>
      </c>
      <c r="D18" s="63">
        <f>IFERROR(INDEX(Rates_Master!$D:$D, MATCH(B18, Rates_Master!$A:$A, 0)), "")</f>
        <v/>
      </c>
      <c r="E18" s="64" t="n">
        <v>0.24</v>
      </c>
      <c r="F18" s="65">
        <f>IFERROR(INDEX(Rates_Master!$E:$E, MATCH(B18, Rates_Master!$A:$A, 0)), 0)</f>
        <v/>
      </c>
      <c r="G18" s="57">
        <f>ROUND(E18 * F18, 2)</f>
        <v/>
      </c>
      <c r="H18" s="24" t="inlineStr">
        <is>
          <t>Stone Aggregate (single size) 10 mm nominal size</t>
        </is>
      </c>
      <c r="I18" s="54" t="inlineStr"/>
    </row>
    <row r="19" ht="20" customHeight="1">
      <c r="A19" s="19" t="n">
        <v>3</v>
      </c>
      <c r="B19" s="61" t="inlineStr">
        <is>
          <t>2202</t>
        </is>
      </c>
      <c r="C19" s="62">
        <f>IFERROR(INDEX(Rates_Master!$C:$C, MATCH(B19, Rates_Master!$A:$A, 0)), "Code not found in Rates_Master")</f>
        <v/>
      </c>
      <c r="D19" s="63">
        <f>IFERROR(INDEX(Rates_Master!$D:$D, MATCH(B19, Rates_Master!$A:$A, 0)), "")</f>
        <v/>
      </c>
      <c r="E19" s="64" t="n">
        <v>0.9399999999999999</v>
      </c>
      <c r="F19" s="65">
        <f>IFERROR(INDEX(Rates_Master!$E:$E, MATCH(B19, Rates_Master!$A:$A, 0)), 0)</f>
        <v/>
      </c>
      <c r="G19" s="57">
        <f>ROUND(E19 * F19, 2)</f>
        <v/>
      </c>
      <c r="H19" s="24" t="inlineStr">
        <is>
          <t>Carriage of Stone aggregate below 40 mm nominal size</t>
        </is>
      </c>
      <c r="I19" s="54" t="inlineStr"/>
    </row>
    <row r="20" ht="20" customHeight="1">
      <c r="A20" s="19" t="n">
        <v>4</v>
      </c>
      <c r="B20" s="61" t="inlineStr">
        <is>
          <t>0982</t>
        </is>
      </c>
      <c r="C20" s="62">
        <f>IFERROR(INDEX(Rates_Master!$C:$C, MATCH(B20, Rates_Master!$A:$A, 0)), "Code not found in Rates_Master")</f>
        <v/>
      </c>
      <c r="D20" s="63">
        <f>IFERROR(INDEX(Rates_Master!$D:$D, MATCH(B20, Rates_Master!$A:$A, 0)), "")</f>
        <v/>
      </c>
      <c r="E20" s="64" t="n">
        <v>0.47</v>
      </c>
      <c r="F20" s="65">
        <f>IFERROR(INDEX(Rates_Master!$E:$E, MATCH(B20, Rates_Master!$A:$A, 0)), 0)</f>
        <v/>
      </c>
      <c r="G20" s="57">
        <f>ROUND(E20 * F20, 2)</f>
        <v/>
      </c>
      <c r="H20" s="24" t="inlineStr">
        <is>
          <t>Coarse sand (zone III)</t>
        </is>
      </c>
      <c r="I20" s="54" t="inlineStr"/>
    </row>
    <row r="21" ht="20" customHeight="1">
      <c r="A21" s="19" t="n">
        <v>5</v>
      </c>
      <c r="B21" s="61" t="inlineStr">
        <is>
          <t>2203</t>
        </is>
      </c>
      <c r="C21" s="62">
        <f>IFERROR(INDEX(Rates_Master!$C:$C, MATCH(B21, Rates_Master!$A:$A, 0)), "Code not found in Rates_Master")</f>
        <v/>
      </c>
      <c r="D21" s="63">
        <f>IFERROR(INDEX(Rates_Master!$D:$D, MATCH(B21, Rates_Master!$A:$A, 0)), "")</f>
        <v/>
      </c>
      <c r="E21" s="64" t="n">
        <v>0.47</v>
      </c>
      <c r="F21" s="65">
        <f>IFERROR(INDEX(Rates_Master!$E:$E, MATCH(B21, Rates_Master!$A:$A, 0)), 0)</f>
        <v/>
      </c>
      <c r="G21" s="57">
        <f>ROUND(E21 * F21, 2)</f>
        <v/>
      </c>
      <c r="H21" s="24" t="inlineStr">
        <is>
          <t>Carriage of Coarse sand</t>
        </is>
      </c>
      <c r="I21" s="54" t="inlineStr"/>
    </row>
    <row r="22" ht="20" customHeight="1">
      <c r="A22" s="19" t="n">
        <v>6</v>
      </c>
      <c r="B22" s="61" t="inlineStr">
        <is>
          <t>0367</t>
        </is>
      </c>
      <c r="C22" s="62">
        <f>IFERROR(INDEX(Rates_Master!$C:$C, MATCH(B22, Rates_Master!$A:$A, 0)), "Code not found in Rates_Master")</f>
        <v/>
      </c>
      <c r="D22" s="63">
        <f>IFERROR(INDEX(Rates_Master!$D:$D, MATCH(B22, Rates_Master!$A:$A, 0)), "")</f>
        <v/>
      </c>
      <c r="E22" s="64" t="n">
        <v>0.22</v>
      </c>
      <c r="F22" s="65">
        <f>IFERROR(INDEX(Rates_Master!$E:$E, MATCH(B22, Rates_Master!$A:$A, 0)), 0)</f>
        <v/>
      </c>
      <c r="G22" s="57">
        <f>ROUND(E22 * F22, 2)</f>
        <v/>
      </c>
      <c r="H22" s="24" t="inlineStr">
        <is>
          <t>Portland Cement (0.15674 cum = 0.22 tonne)</t>
        </is>
      </c>
      <c r="I22" s="54" t="inlineStr"/>
    </row>
    <row r="23" ht="20" customHeight="1">
      <c r="A23" s="19" t="n">
        <v>7</v>
      </c>
      <c r="B23" s="61" t="inlineStr">
        <is>
          <t>2209</t>
        </is>
      </c>
      <c r="C23" s="62">
        <f>IFERROR(INDEX(Rates_Master!$C:$C, MATCH(B23, Rates_Master!$A:$A, 0)), "Code not found in Rates_Master")</f>
        <v/>
      </c>
      <c r="D23" s="63">
        <f>IFERROR(INDEX(Rates_Master!$D:$D, MATCH(B23, Rates_Master!$A:$A, 0)), "")</f>
        <v/>
      </c>
      <c r="E23" s="64" t="n">
        <v>0.22</v>
      </c>
      <c r="F23" s="65">
        <f>IFERROR(INDEX(Rates_Master!$E:$E, MATCH(B23, Rates_Master!$A:$A, 0)), 0)</f>
        <v/>
      </c>
      <c r="G23" s="57">
        <f>ROUND(E23 * F23, 2)</f>
        <v/>
      </c>
      <c r="H23" s="24" t="inlineStr">
        <is>
          <t>Carriage of Cement</t>
        </is>
      </c>
      <c r="I23" s="54" t="inlineStr"/>
    </row>
    <row r="24" ht="20" customHeight="1">
      <c r="A24" s="19" t="n">
        <v>8</v>
      </c>
      <c r="B24" s="61" t="inlineStr">
        <is>
          <t>0114</t>
        </is>
      </c>
      <c r="C24" s="62">
        <f>IFERROR(INDEX(Rates_Master!$C:$C, MATCH(B24, Rates_Master!$A:$A, 0)), "Code not found in Rates_Master")</f>
        <v/>
      </c>
      <c r="D24" s="63">
        <f>IFERROR(INDEX(Rates_Master!$D:$D, MATCH(B24, Rates_Master!$A:$A, 0)), "")</f>
        <v/>
      </c>
      <c r="E24" s="64" t="n">
        <v>0.9</v>
      </c>
      <c r="F24" s="65">
        <f>IFERROR(INDEX(Rates_Master!$E:$E, MATCH(B24, Rates_Master!$A:$A, 0)), 0)</f>
        <v/>
      </c>
      <c r="G24" s="57">
        <f>ROUND(E24 * F24, 2)</f>
        <v/>
      </c>
      <c r="H24" s="24" t="inlineStr">
        <is>
          <t>Beldar</t>
        </is>
      </c>
      <c r="I24" s="19" t="inlineStr"/>
    </row>
    <row r="25" ht="20" customHeight="1">
      <c r="A25" s="19" t="n">
        <v>9</v>
      </c>
      <c r="B25" s="61" t="inlineStr">
        <is>
          <t>0115</t>
        </is>
      </c>
      <c r="C25" s="62">
        <f>IFERROR(INDEX(Rates_Master!$C:$C, MATCH(B25, Rates_Master!$A:$A, 0)), "Code not found in Rates_Master")</f>
        <v/>
      </c>
      <c r="D25" s="63">
        <f>IFERROR(INDEX(Rates_Master!$D:$D, MATCH(B25, Rates_Master!$A:$A, 0)), "")</f>
        <v/>
      </c>
      <c r="E25" s="64" t="n">
        <v>0.78</v>
      </c>
      <c r="F25" s="65">
        <f>IFERROR(INDEX(Rates_Master!$E:$E, MATCH(B25, Rates_Master!$A:$A, 0)), 0)</f>
        <v/>
      </c>
      <c r="G25" s="57">
        <f>ROUND(E25 * F25, 2)</f>
        <v/>
      </c>
      <c r="H25" s="24" t="inlineStr">
        <is>
          <t>Coolie</t>
        </is>
      </c>
      <c r="I25" s="19" t="inlineStr"/>
    </row>
    <row r="26" ht="20" customHeight="1">
      <c r="A26" s="19" t="n">
        <v>10</v>
      </c>
      <c r="B26" s="61" t="inlineStr">
        <is>
          <t>0101</t>
        </is>
      </c>
      <c r="C26" s="62">
        <f>IFERROR(INDEX(Rates_Master!$C:$C, MATCH(B26, Rates_Master!$A:$A, 0)), "Code not found in Rates_Master")</f>
        <v/>
      </c>
      <c r="D26" s="63">
        <f>IFERROR(INDEX(Rates_Master!$D:$D, MATCH(B26, Rates_Master!$A:$A, 0)), "")</f>
        <v/>
      </c>
      <c r="E26" s="64" t="n">
        <v>0.7</v>
      </c>
      <c r="F26" s="65">
        <f>IFERROR(INDEX(Rates_Master!$E:$E, MATCH(B26, Rates_Master!$A:$A, 0)), 0)</f>
        <v/>
      </c>
      <c r="G26" s="57">
        <f>ROUND(E26 * F26, 2)</f>
        <v/>
      </c>
      <c r="H26" s="24" t="inlineStr">
        <is>
          <t>Bhisti</t>
        </is>
      </c>
      <c r="I26" s="19" t="inlineStr"/>
    </row>
    <row r="27" ht="20" customHeight="1">
      <c r="A27" s="19" t="n">
        <v>11</v>
      </c>
      <c r="B27" s="61" t="inlineStr">
        <is>
          <t>0123</t>
        </is>
      </c>
      <c r="C27" s="62">
        <f>IFERROR(INDEX(Rates_Master!$C:$C, MATCH(B27, Rates_Master!$A:$A, 0)), "Code not found in Rates_Master")</f>
        <v/>
      </c>
      <c r="D27" s="63">
        <f>IFERROR(INDEX(Rates_Master!$D:$D, MATCH(B27, Rates_Master!$A:$A, 0)), "")</f>
        <v/>
      </c>
      <c r="E27" s="64" t="n">
        <v>0.06</v>
      </c>
      <c r="F27" s="65">
        <f>IFERROR(INDEX(Rates_Master!$E:$E, MATCH(B27, Rates_Master!$A:$A, 0)), 0)</f>
        <v/>
      </c>
      <c r="G27" s="57">
        <f>ROUND(E27 * F27, 2)</f>
        <v/>
      </c>
      <c r="H27" s="24" t="inlineStr">
        <is>
          <t>Mason (brick layer) 1st class</t>
        </is>
      </c>
      <c r="I27" s="19" t="inlineStr"/>
    </row>
    <row r="28" ht="20" customHeight="1">
      <c r="A28" s="19" t="n">
        <v>12</v>
      </c>
      <c r="B28" s="61" t="inlineStr">
        <is>
          <t>0124</t>
        </is>
      </c>
      <c r="C28" s="62">
        <f>IFERROR(INDEX(Rates_Master!$C:$C, MATCH(B28, Rates_Master!$A:$A, 0)), "Code not found in Rates_Master")</f>
        <v/>
      </c>
      <c r="D28" s="63">
        <f>IFERROR(INDEX(Rates_Master!$D:$D, MATCH(B28, Rates_Master!$A:$A, 0)), "")</f>
        <v/>
      </c>
      <c r="E28" s="64" t="n">
        <v>0.06</v>
      </c>
      <c r="F28" s="65">
        <f>IFERROR(INDEX(Rates_Master!$E:$E, MATCH(B28, Rates_Master!$A:$A, 0)), 0)</f>
        <v/>
      </c>
      <c r="G28" s="57">
        <f>ROUND(E28 * F28, 2)</f>
        <v/>
      </c>
      <c r="H28" s="24" t="inlineStr">
        <is>
          <t>Mason (brick layer) 2nd class</t>
        </is>
      </c>
      <c r="I28" s="19" t="inlineStr"/>
    </row>
    <row r="29" ht="20" customHeight="1">
      <c r="A29" s="19" t="n">
        <v>13</v>
      </c>
      <c r="B29" s="61" t="inlineStr">
        <is>
          <t>0002</t>
        </is>
      </c>
      <c r="C29" s="62">
        <f>IFERROR(INDEX(Rates_Master!$C:$C, MATCH(B29, Rates_Master!$A:$A, 0)), "Code not found in Rates_Master")</f>
        <v/>
      </c>
      <c r="D29" s="63">
        <f>IFERROR(INDEX(Rates_Master!$D:$D, MATCH(B29, Rates_Master!$A:$A, 0)), "")</f>
        <v/>
      </c>
      <c r="E29" s="64" t="n">
        <v>0.07000000000000001</v>
      </c>
      <c r="F29" s="65">
        <f>IFERROR(INDEX(Rates_Master!$E:$E, MATCH(B29, Rates_Master!$A:$A, 0)), 0)</f>
        <v/>
      </c>
      <c r="G29" s="57">
        <f>ROUND(E29 * F29, 2)</f>
        <v/>
      </c>
      <c r="H29" s="24" t="inlineStr">
        <is>
          <t>Hire charges of Concrete Mixer 0.25 to 0.40 cum with hopper</t>
        </is>
      </c>
      <c r="I29" s="19" t="inlineStr"/>
    </row>
    <row r="30" ht="20" customHeight="1">
      <c r="A30" s="19" t="n">
        <v>14</v>
      </c>
      <c r="B30" s="61" t="inlineStr">
        <is>
          <t>0012</t>
        </is>
      </c>
      <c r="C30" s="62">
        <f>IFERROR(INDEX(Rates_Master!$C:$C, MATCH(B30, Rates_Master!$A:$A, 0)), "Code not found in Rates_Master")</f>
        <v/>
      </c>
      <c r="D30" s="63">
        <f>IFERROR(INDEX(Rates_Master!$D:$D, MATCH(B30, Rates_Master!$A:$A, 0)), "")</f>
        <v/>
      </c>
      <c r="E30" s="64" t="n">
        <v>0.07000000000000001</v>
      </c>
      <c r="F30" s="65">
        <f>IFERROR(INDEX(Rates_Master!$E:$E, MATCH(B30, Rates_Master!$A:$A, 0)), 0)</f>
        <v/>
      </c>
      <c r="G30" s="57">
        <f>ROUND(E30 * F30, 2)</f>
        <v/>
      </c>
      <c r="H30" s="24" t="inlineStr">
        <is>
          <t>Vibrator (needle type 40 mm)</t>
        </is>
      </c>
      <c r="I30" s="19" t="inlineStr"/>
    </row>
    <row r="31" ht="20" customHeight="1">
      <c r="A31" s="19" t="n">
        <v>15</v>
      </c>
      <c r="B31" s="61" t="inlineStr">
        <is>
          <t>0115</t>
        </is>
      </c>
      <c r="C31" s="62">
        <f>IFERROR(INDEX(Rates_Master!$C:$C, MATCH(B31, Rates_Master!$A:$A, 0)), "Code not found in Rates_Master")</f>
        <v/>
      </c>
      <c r="D31" s="63">
        <f>IFERROR(INDEX(Rates_Master!$D:$D, MATCH(B31, Rates_Master!$A:$A, 0)), "")</f>
        <v/>
      </c>
      <c r="E31" s="64" t="n">
        <v>1.88</v>
      </c>
      <c r="F31" s="65">
        <f>IFERROR(INDEX(Rates_Master!$E:$E, MATCH(B31, Rates_Master!$A:$A, 0)), 0)</f>
        <v/>
      </c>
      <c r="G31" s="57">
        <f>ROUND(E31 * F31, 2)</f>
        <v/>
      </c>
      <c r="H31" s="24" t="inlineStr">
        <is>
          <t>Coolie - extra labour lifting material upto floor V level (0.75 x 2.5 = 1.88)</t>
        </is>
      </c>
      <c r="I31" s="19" t="inlineStr"/>
    </row>
    <row r="32" ht="20" customHeight="1">
      <c r="A32" s="19" t="n">
        <v>16</v>
      </c>
      <c r="B32" s="54" t="inlineStr">
        <is>
          <t>9999</t>
        </is>
      </c>
      <c r="C32" s="20" t="inlineStr">
        <is>
          <t>Scaffolding (17.60 x 2.5 avg.)</t>
        </is>
      </c>
      <c r="D32" s="19" t="inlineStr">
        <is>
          <t>L.S.</t>
        </is>
      </c>
      <c r="E32" s="26" t="n">
        <v>114.4</v>
      </c>
      <c r="F32" s="66">
        <f>Factor_Sundries</f>
        <v/>
      </c>
      <c r="G32" s="57">
        <f>ROUND(E32 * F32, 2)</f>
        <v/>
      </c>
      <c r="H32" s="67" t="inlineStr">
        <is>
          <t>Base L.S. allowance x Cost Index Multiplier (Global_Factors)</t>
        </is>
      </c>
      <c r="I32" s="19" t="inlineStr"/>
    </row>
    <row r="33" ht="20" customHeight="1">
      <c r="A33" s="19" t="n">
        <v>17</v>
      </c>
      <c r="B33" s="54" t="inlineStr">
        <is>
          <t>9999</t>
        </is>
      </c>
      <c r="C33" s="20" t="inlineStr">
        <is>
          <t>Sundries</t>
        </is>
      </c>
      <c r="D33" s="19" t="inlineStr">
        <is>
          <t>L.S.</t>
        </is>
      </c>
      <c r="E33" s="26" t="n">
        <v>13.52</v>
      </c>
      <c r="F33" s="66">
        <f>Factor_Sundries</f>
        <v/>
      </c>
      <c r="G33" s="57">
        <f>ROUND(E33 * F33, 2)</f>
        <v/>
      </c>
      <c r="H33" s="67" t="inlineStr">
        <is>
          <t>Base L.S. allowance x Cost Index Multiplier (Global_Factors)</t>
        </is>
      </c>
      <c r="I33" s="19" t="inlineStr"/>
    </row>
    <row r="34">
      <c r="A34" s="68" t="inlineStr">
        <is>
          <t>TOTAL DIRECT COST "W" (all lines above):</t>
        </is>
      </c>
      <c r="B34" s="69" t="n"/>
      <c r="C34" s="69" t="n"/>
      <c r="D34" s="69" t="n"/>
      <c r="E34" s="69" t="n"/>
      <c r="F34" s="69" t="n"/>
      <c r="G34" s="47">
        <f>ROUND(SUM(G17:G33), 2)</f>
        <v/>
      </c>
      <c r="H34" s="70" t="inlineStr">
        <is>
          <t>Book value of W for item 4.2.5 = Rs 5,998.05</t>
        </is>
      </c>
      <c r="I34" s="69" t="n"/>
    </row>
    <row r="35" ht="28" customHeight="1">
      <c r="A35" s="68" t="inlineStr">
        <is>
          <t>Less "A" - imported lines already carrying statutory markups:</t>
        </is>
      </c>
      <c r="B35" s="69" t="n"/>
      <c r="C35" s="69" t="n"/>
      <c r="D35" s="69" t="n"/>
      <c r="E35" s="69" t="n"/>
      <c r="F35" s="69" t="n"/>
      <c r="G35" s="47">
        <f>ROUND(SUMIF($I$17:$I$33, "A", $G$17:$G$33), 2)</f>
        <v/>
      </c>
      <c r="H35" s="71" t="inlineStr">
        <is>
          <t>CPWD convention: markups are computed on (W-A), (X-A), (Y-A), (Z-A). A line tagged "A" is an imported rate that already includes Water, GST, CPOH and Cess.</t>
        </is>
      </c>
      <c r="I35" s="69" t="n"/>
    </row>
    <row r="36" ht="22" customHeight="1">
      <c r="A36" s="54" t="inlineStr">
        <is>
          <t>X1</t>
        </is>
      </c>
      <c r="B36" s="61" t="inlineStr">
        <is>
          <t>YES</t>
        </is>
      </c>
      <c r="C36" s="20" t="inlineStr">
        <is>
          <t>Add Water Charges on (W - A)</t>
        </is>
      </c>
      <c r="D36" s="60" t="n"/>
      <c r="E36" s="57">
        <f>G34 - G35</f>
        <v/>
      </c>
      <c r="F36" s="72">
        <f>Factor_Water</f>
        <v/>
      </c>
      <c r="G36" s="73">
        <f>IF(B36="YES", ROUND(E36 * F36, 2), 0)</f>
        <v/>
      </c>
      <c r="H36" s="24" t="inlineStr">
        <is>
          <t>CPWD: 1% water charges, computed on the direct cost net of A-tagged imports.</t>
        </is>
      </c>
      <c r="I36" s="60" t="n"/>
    </row>
    <row r="37" ht="22" customHeight="1">
      <c r="A37" s="2" t="inlineStr">
        <is>
          <t>X</t>
        </is>
      </c>
      <c r="B37" s="74" t="inlineStr">
        <is>
          <t>-</t>
        </is>
      </c>
      <c r="C37" s="75" t="inlineStr">
        <is>
          <t>Subtotal "X" (W + Water Charges)</t>
        </is>
      </c>
      <c r="D37" s="69" t="n"/>
      <c r="E37" s="69" t="n"/>
      <c r="F37" s="69" t="n"/>
      <c r="G37" s="47">
        <f>G34 + G36</f>
        <v/>
      </c>
      <c r="H37" s="71" t="inlineStr">
        <is>
          <t>Running compounded subtotal</t>
        </is>
      </c>
      <c r="I37" s="69" t="n"/>
    </row>
    <row r="38" ht="22" customHeight="1">
      <c r="A38" s="54" t="inlineStr">
        <is>
          <t>Y1</t>
        </is>
      </c>
      <c r="B38" s="61" t="inlineStr">
        <is>
          <t>YES</t>
        </is>
      </c>
      <c r="C38" s="20" t="inlineStr">
        <is>
          <t>Add GST on (X - A)</t>
        </is>
      </c>
      <c r="D38" s="60" t="n"/>
      <c r="E38" s="57">
        <f>G37 - G35</f>
        <v/>
      </c>
      <c r="F38" s="72">
        <f>Factor_GST</f>
        <v/>
      </c>
      <c r="G38" s="73">
        <f>IF(B38="YES", ROUND(E38 * F38, 2), 0)</f>
        <v/>
      </c>
      <c r="H38" s="24" t="inlineStr">
        <is>
          <t>CPWD DAR 2019 works contract multiplying factor 0.1405, net of A.</t>
        </is>
      </c>
      <c r="I38" s="60" t="n"/>
    </row>
    <row r="39" ht="22" customHeight="1">
      <c r="A39" s="2" t="inlineStr">
        <is>
          <t>Y</t>
        </is>
      </c>
      <c r="B39" s="74" t="inlineStr">
        <is>
          <t>-</t>
        </is>
      </c>
      <c r="C39" s="75" t="inlineStr">
        <is>
          <t>Subtotal "Y" (X + GST)</t>
        </is>
      </c>
      <c r="D39" s="69" t="n"/>
      <c r="E39" s="69" t="n"/>
      <c r="F39" s="69" t="n"/>
      <c r="G39" s="47">
        <f>G37 + G38</f>
        <v/>
      </c>
      <c r="H39" s="71" t="inlineStr">
        <is>
          <t>Running compounded subtotal</t>
        </is>
      </c>
      <c r="I39" s="69" t="n"/>
    </row>
    <row r="40" ht="22" customHeight="1">
      <c r="A40" s="54" t="inlineStr">
        <is>
          <t>Z1</t>
        </is>
      </c>
      <c r="B40" s="61" t="inlineStr">
        <is>
          <t>YES</t>
        </is>
      </c>
      <c r="C40" s="20" t="inlineStr">
        <is>
          <t>Add Contractor Profit &amp; Overheads on (Y - A)</t>
        </is>
      </c>
      <c r="D40" s="60" t="n"/>
      <c r="E40" s="57">
        <f>G39 - G35</f>
        <v/>
      </c>
      <c r="F40" s="72">
        <f>Factor_CPOH</f>
        <v/>
      </c>
      <c r="G40" s="73">
        <f>IF(B40="YES", ROUND(E40 * F40, 2), 0)</f>
        <v/>
      </c>
      <c r="H40" s="24" t="inlineStr">
        <is>
          <t>Standard 15% CPOH, net of A.</t>
        </is>
      </c>
      <c r="I40" s="60" t="n"/>
    </row>
    <row r="41" ht="22" customHeight="1">
      <c r="A41" s="2" t="inlineStr">
        <is>
          <t>Z</t>
        </is>
      </c>
      <c r="B41" s="74" t="inlineStr">
        <is>
          <t>-</t>
        </is>
      </c>
      <c r="C41" s="75" t="inlineStr">
        <is>
          <t>Subtotal "Z" (Y + CPOH)</t>
        </is>
      </c>
      <c r="D41" s="69" t="n"/>
      <c r="E41" s="69" t="n"/>
      <c r="F41" s="69" t="n"/>
      <c r="G41" s="47">
        <f>G39 + G40</f>
        <v/>
      </c>
      <c r="H41" s="71" t="inlineStr">
        <is>
          <t>Running compounded subtotal</t>
        </is>
      </c>
      <c r="I41" s="69" t="n"/>
    </row>
    <row r="42" ht="22" customHeight="1">
      <c r="A42" s="54" t="inlineStr">
        <is>
          <t>Z2</t>
        </is>
      </c>
      <c r="B42" s="61" t="inlineStr">
        <is>
          <t>YES</t>
        </is>
      </c>
      <c r="C42" s="20" t="inlineStr">
        <is>
          <t>Add BOCW Welfare Cess on (Z - A)</t>
        </is>
      </c>
      <c r="D42" s="60" t="n"/>
      <c r="E42" s="57">
        <f>G41 - G35</f>
        <v/>
      </c>
      <c r="F42" s="72">
        <f>Factor_Cess</f>
        <v/>
      </c>
      <c r="G42" s="73">
        <f>IF(B42="YES", ROUND(E42 * F42, 2), 0)</f>
        <v/>
      </c>
      <c r="H42" s="24" t="inlineStr">
        <is>
          <t>Statutory 1% BOCW Welfare Cess, net of A.</t>
        </is>
      </c>
      <c r="I42" s="60" t="n"/>
    </row>
    <row r="43">
      <c r="A43" s="76" t="inlineStr">
        <is>
          <t>Cost of 1.00 cum:</t>
        </is>
      </c>
      <c r="B43" s="77" t="n"/>
      <c r="C43" s="77" t="n"/>
      <c r="D43" s="77" t="n"/>
      <c r="E43" s="77" t="n"/>
      <c r="F43" s="77" t="n"/>
      <c r="G43" s="78">
        <f>ROUND(G41 + G42, 2)</f>
        <v/>
      </c>
      <c r="H43" s="77" t="n"/>
      <c r="I43" s="77" t="n"/>
    </row>
    <row r="44" ht="30" customHeight="1">
      <c r="A44" s="79" t="inlineStr">
        <is>
          <t>RESOLVED RATE per 1.00 cum  (SAY):</t>
        </is>
      </c>
      <c r="B44" s="80" t="n"/>
      <c r="C44" s="80" t="n"/>
      <c r="D44" s="80" t="n"/>
      <c r="E44" s="80" t="n"/>
      <c r="F44" s="80" t="n"/>
      <c r="G44" s="58">
        <f>MROUND(G43 / 1.0, 0.05)</f>
        <v/>
      </c>
      <c r="H44" s="81" t="inlineStr">
        <is>
          <t>CPWD DAR 2019 printed Say rate for this item = Rs 8,025.00 per cum. Rounded with MROUND(x, 0.05) because CPWD quotes every Say rate to the nearest 5 paise. Any difference means a Rates_Master rate has been edited away from the 2019 base.</t>
        </is>
      </c>
      <c r="I44" s="80" t="n"/>
    </row>
    <row r="45"/>
    <row r="46" ht="32" customHeight="1">
      <c r="A46" s="59" t="inlineStr">
        <is>
          <t>ITEM 13.50.1  -  13 Finishing (Vol.2)  -  Applying priming coat with ready mixed pink or Grey primer of approved brand and manufacture on wood work (hard and soft wood)</t>
        </is>
      </c>
    </row>
    <row r="47" ht="20" customHeight="1">
      <c r="A47" s="16" t="inlineStr">
        <is>
          <t>Basis:</t>
        </is>
      </c>
      <c r="B47" s="56" t="n">
        <v>10</v>
      </c>
      <c r="C47" s="20" t="inlineStr">
        <is>
          <t>sqm</t>
        </is>
      </c>
      <c r="D47" s="16" t="inlineStr">
        <is>
          <t>Consumed by:</t>
        </is>
      </c>
      <c r="E47" s="24" t="inlineStr">
        <is>
          <t>09_Wood_and_PVC_Work (primer on wood work)</t>
        </is>
      </c>
      <c r="F47" s="60" t="n"/>
      <c r="G47" s="60" t="n"/>
      <c r="H47" s="60" t="n"/>
      <c r="I47" s="60"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61" t="inlineStr">
        <is>
          <t>0823</t>
        </is>
      </c>
      <c r="C49" s="62">
        <f>IFERROR(INDEX(Rates_Master!$C:$C, MATCH(B49, Rates_Master!$A:$A, 0)), "Code not found in Rates_Master")</f>
        <v/>
      </c>
      <c r="D49" s="63">
        <f>IFERROR(INDEX(Rates_Master!$D:$D, MATCH(B49, Rates_Master!$A:$A, 0)), "")</f>
        <v/>
      </c>
      <c r="E49" s="64" t="n">
        <v>0.75</v>
      </c>
      <c r="F49" s="65">
        <f>IFERROR(INDEX(Rates_Master!$E:$E, MATCH(B49, Rates_Master!$A:$A, 0)), 0)</f>
        <v/>
      </c>
      <c r="G49" s="57">
        <f>ROUND(E49 * F49, 2)</f>
        <v/>
      </c>
      <c r="H49" s="24" t="inlineStr">
        <is>
          <t>Pink primer (for wood)</t>
        </is>
      </c>
      <c r="I49" s="54" t="inlineStr"/>
    </row>
    <row r="50" ht="20" customHeight="1">
      <c r="A50" s="19" t="n">
        <v>2</v>
      </c>
      <c r="B50" s="61" t="inlineStr">
        <is>
          <t>0131</t>
        </is>
      </c>
      <c r="C50" s="62">
        <f>IFERROR(INDEX(Rates_Master!$C:$C, MATCH(B50, Rates_Master!$A:$A, 0)), "Code not found in Rates_Master")</f>
        <v/>
      </c>
      <c r="D50" s="63">
        <f>IFERROR(INDEX(Rates_Master!$D:$D, MATCH(B50, Rates_Master!$A:$A, 0)), "")</f>
        <v/>
      </c>
      <c r="E50" s="64" t="n">
        <v>0.25</v>
      </c>
      <c r="F50" s="65">
        <f>IFERROR(INDEX(Rates_Master!$E:$E, MATCH(B50, Rates_Master!$A:$A, 0)), 0)</f>
        <v/>
      </c>
      <c r="G50" s="57">
        <f>ROUND(E50 * F50, 2)</f>
        <v/>
      </c>
      <c r="H50" s="24" t="inlineStr">
        <is>
          <t>Painter</t>
        </is>
      </c>
      <c r="I50" s="19" t="inlineStr"/>
    </row>
    <row r="51" ht="20" customHeight="1">
      <c r="A51" s="19" t="n">
        <v>3</v>
      </c>
      <c r="B51" s="61" t="inlineStr">
        <is>
          <t>0115</t>
        </is>
      </c>
      <c r="C51" s="62">
        <f>IFERROR(INDEX(Rates_Master!$C:$C, MATCH(B51, Rates_Master!$A:$A, 0)), "Code not found in Rates_Master")</f>
        <v/>
      </c>
      <c r="D51" s="63">
        <f>IFERROR(INDEX(Rates_Master!$D:$D, MATCH(B51, Rates_Master!$A:$A, 0)), "")</f>
        <v/>
      </c>
      <c r="E51" s="64" t="n">
        <v>0.25</v>
      </c>
      <c r="F51" s="65">
        <f>IFERROR(INDEX(Rates_Master!$E:$E, MATCH(B51, Rates_Master!$A:$A, 0)), 0)</f>
        <v/>
      </c>
      <c r="G51" s="57">
        <f>ROUND(E51 * F51, 2)</f>
        <v/>
      </c>
      <c r="H51" s="24" t="inlineStr">
        <is>
          <t>Coolie</t>
        </is>
      </c>
      <c r="I51" s="19" t="inlineStr"/>
    </row>
    <row r="52" ht="20" customHeight="1">
      <c r="A52" s="19" t="n">
        <v>4</v>
      </c>
      <c r="B52" s="54" t="inlineStr">
        <is>
          <t>9999</t>
        </is>
      </c>
      <c r="C52" s="20" t="inlineStr">
        <is>
          <t>Putty</t>
        </is>
      </c>
      <c r="D52" s="19" t="inlineStr">
        <is>
          <t>L.S.</t>
        </is>
      </c>
      <c r="E52" s="26" t="n">
        <v>2.73</v>
      </c>
      <c r="F52" s="66">
        <f>Factor_Sundries</f>
        <v/>
      </c>
      <c r="G52" s="57">
        <f>ROUND(E52 * F52, 2)</f>
        <v/>
      </c>
      <c r="H52" s="67" t="inlineStr">
        <is>
          <t>Base L.S. allowance x Cost Index Multiplier (Global_Factors)</t>
        </is>
      </c>
      <c r="I52" s="19" t="inlineStr"/>
    </row>
    <row r="53" ht="20" customHeight="1">
      <c r="A53" s="19" t="n">
        <v>5</v>
      </c>
      <c r="B53" s="54" t="inlineStr">
        <is>
          <t>9999</t>
        </is>
      </c>
      <c r="C53" s="20" t="inlineStr">
        <is>
          <t>Carriage of material</t>
        </is>
      </c>
      <c r="D53" s="19" t="inlineStr">
        <is>
          <t>L.S.</t>
        </is>
      </c>
      <c r="E53" s="26" t="n">
        <v>0.39</v>
      </c>
      <c r="F53" s="66">
        <f>Factor_Sundries</f>
        <v/>
      </c>
      <c r="G53" s="57">
        <f>ROUND(E53 * F53, 2)</f>
        <v/>
      </c>
      <c r="H53" s="67" t="inlineStr">
        <is>
          <t>Base L.S. allowance x Cost Index Multiplier (Global_Factors)</t>
        </is>
      </c>
      <c r="I53" s="19" t="inlineStr"/>
    </row>
    <row r="54" ht="20" customHeight="1">
      <c r="A54" s="19" t="n">
        <v>6</v>
      </c>
      <c r="B54" s="54" t="inlineStr">
        <is>
          <t>9999</t>
        </is>
      </c>
      <c r="C54" s="20" t="inlineStr">
        <is>
          <t>Brushes, sand paper etc.</t>
        </is>
      </c>
      <c r="D54" s="19" t="inlineStr">
        <is>
          <t>L.S.</t>
        </is>
      </c>
      <c r="E54" s="26" t="n">
        <v>5.33</v>
      </c>
      <c r="F54" s="66">
        <f>Factor_Sundries</f>
        <v/>
      </c>
      <c r="G54" s="57">
        <f>ROUND(E54 * F54, 2)</f>
        <v/>
      </c>
      <c r="H54" s="67" t="inlineStr">
        <is>
          <t>Base L.S. allowance x Cost Index Multiplier (Global_Factors)</t>
        </is>
      </c>
      <c r="I54" s="19" t="inlineStr"/>
    </row>
    <row r="55" ht="20" customHeight="1">
      <c r="A55" s="19" t="n">
        <v>7</v>
      </c>
      <c r="B55" s="54" t="inlineStr">
        <is>
          <t>9999</t>
        </is>
      </c>
      <c r="C55" s="20" t="inlineStr">
        <is>
          <t>Sundries</t>
        </is>
      </c>
      <c r="D55" s="19" t="inlineStr">
        <is>
          <t>L.S.</t>
        </is>
      </c>
      <c r="E55" s="26" t="n">
        <v>10.79</v>
      </c>
      <c r="F55" s="66">
        <f>Factor_Sundries</f>
        <v/>
      </c>
      <c r="G55" s="57">
        <f>ROUND(E55 * F55, 2)</f>
        <v/>
      </c>
      <c r="H55" s="67" t="inlineStr">
        <is>
          <t>Base L.S. allowance x Cost Index Multiplier (Global_Factors)</t>
        </is>
      </c>
      <c r="I55" s="19" t="inlineStr"/>
    </row>
    <row r="56">
      <c r="A56" s="68" t="inlineStr">
        <is>
          <t>TOTAL DIRECT COST "W" (all lines above):</t>
        </is>
      </c>
      <c r="B56" s="69" t="n"/>
      <c r="C56" s="69" t="n"/>
      <c r="D56" s="69" t="n"/>
      <c r="E56" s="69" t="n"/>
      <c r="F56" s="69" t="n"/>
      <c r="G56" s="47">
        <f>ROUND(SUM(G49:G55), 2)</f>
        <v/>
      </c>
      <c r="H56" s="70" t="inlineStr">
        <is>
          <t>Book value of W for item 13.50.1 = Rs 426.48</t>
        </is>
      </c>
      <c r="I56" s="69" t="n"/>
    </row>
    <row r="57" ht="28" customHeight="1">
      <c r="A57" s="68" t="inlineStr">
        <is>
          <t>Less "A" - imported lines already carrying statutory markups:</t>
        </is>
      </c>
      <c r="B57" s="69" t="n"/>
      <c r="C57" s="69" t="n"/>
      <c r="D57" s="69" t="n"/>
      <c r="E57" s="69" t="n"/>
      <c r="F57" s="69" t="n"/>
      <c r="G57" s="47">
        <f>ROUND(SUMIF($I$49:$I$55, "A", $G$49:$G$55), 2)</f>
        <v/>
      </c>
      <c r="H57" s="71" t="inlineStr">
        <is>
          <t>CPWD convention: markups are computed on (W-A), (X-A), (Y-A), (Z-A). A line tagged "A" is an imported rate that already includes Water, GST, CPOH and Cess.</t>
        </is>
      </c>
      <c r="I57" s="69" t="n"/>
    </row>
    <row r="58" ht="22" customHeight="1">
      <c r="A58" s="54" t="inlineStr">
        <is>
          <t>X1</t>
        </is>
      </c>
      <c r="B58" s="61" t="inlineStr">
        <is>
          <t>YES</t>
        </is>
      </c>
      <c r="C58" s="20" t="inlineStr">
        <is>
          <t>Add Water Charges on (W - A)</t>
        </is>
      </c>
      <c r="D58" s="60" t="n"/>
      <c r="E58" s="57">
        <f>G56 - G57</f>
        <v/>
      </c>
      <c r="F58" s="72">
        <f>Factor_Water</f>
        <v/>
      </c>
      <c r="G58" s="73">
        <f>IF(B58="YES", ROUND(E58 * F58, 2), 0)</f>
        <v/>
      </c>
      <c r="H58" s="24" t="inlineStr">
        <is>
          <t>CPWD: 1% water charges, computed on the direct cost net of A-tagged imports.</t>
        </is>
      </c>
      <c r="I58" s="60" t="n"/>
    </row>
    <row r="59" ht="22" customHeight="1">
      <c r="A59" s="2" t="inlineStr">
        <is>
          <t>X</t>
        </is>
      </c>
      <c r="B59" s="74" t="inlineStr">
        <is>
          <t>-</t>
        </is>
      </c>
      <c r="C59" s="75" t="inlineStr">
        <is>
          <t>Subtotal "X" (W + Water Charges)</t>
        </is>
      </c>
      <c r="D59" s="69" t="n"/>
      <c r="E59" s="69" t="n"/>
      <c r="F59" s="69" t="n"/>
      <c r="G59" s="47">
        <f>G56 + G58</f>
        <v/>
      </c>
      <c r="H59" s="71" t="inlineStr">
        <is>
          <t>Running compounded subtotal</t>
        </is>
      </c>
      <c r="I59" s="69" t="n"/>
    </row>
    <row r="60" ht="22" customHeight="1">
      <c r="A60" s="54" t="inlineStr">
        <is>
          <t>Y1</t>
        </is>
      </c>
      <c r="B60" s="61" t="inlineStr">
        <is>
          <t>YES</t>
        </is>
      </c>
      <c r="C60" s="20" t="inlineStr">
        <is>
          <t>Add GST on (X - A)</t>
        </is>
      </c>
      <c r="D60" s="60" t="n"/>
      <c r="E60" s="57">
        <f>G59 - G57</f>
        <v/>
      </c>
      <c r="F60" s="72">
        <f>Factor_GST</f>
        <v/>
      </c>
      <c r="G60" s="73">
        <f>IF(B60="YES", ROUND(E60 * F60, 2), 0)</f>
        <v/>
      </c>
      <c r="H60" s="24" t="inlineStr">
        <is>
          <t>CPWD DAR 2019 works contract multiplying factor 0.1405, net of A.</t>
        </is>
      </c>
      <c r="I60" s="60" t="n"/>
    </row>
    <row r="61" ht="22" customHeight="1">
      <c r="A61" s="2" t="inlineStr">
        <is>
          <t>Y</t>
        </is>
      </c>
      <c r="B61" s="74" t="inlineStr">
        <is>
          <t>-</t>
        </is>
      </c>
      <c r="C61" s="75" t="inlineStr">
        <is>
          <t>Subtotal "Y" (X + GST)</t>
        </is>
      </c>
      <c r="D61" s="69" t="n"/>
      <c r="E61" s="69" t="n"/>
      <c r="F61" s="69" t="n"/>
      <c r="G61" s="47">
        <f>G59 + G60</f>
        <v/>
      </c>
      <c r="H61" s="71" t="inlineStr">
        <is>
          <t>Running compounded subtotal</t>
        </is>
      </c>
      <c r="I61" s="69" t="n"/>
    </row>
    <row r="62" ht="22" customHeight="1">
      <c r="A62" s="54" t="inlineStr">
        <is>
          <t>Z1</t>
        </is>
      </c>
      <c r="B62" s="61" t="inlineStr">
        <is>
          <t>YES</t>
        </is>
      </c>
      <c r="C62" s="20" t="inlineStr">
        <is>
          <t>Add Contractor Profit &amp; Overheads on (Y - A)</t>
        </is>
      </c>
      <c r="D62" s="60" t="n"/>
      <c r="E62" s="57">
        <f>G61 - G57</f>
        <v/>
      </c>
      <c r="F62" s="72">
        <f>Factor_CPOH</f>
        <v/>
      </c>
      <c r="G62" s="73">
        <f>IF(B62="YES", ROUND(E62 * F62, 2), 0)</f>
        <v/>
      </c>
      <c r="H62" s="24" t="inlineStr">
        <is>
          <t>Standard 15% CPOH, net of A.</t>
        </is>
      </c>
      <c r="I62" s="60" t="n"/>
    </row>
    <row r="63" ht="22" customHeight="1">
      <c r="A63" s="2" t="inlineStr">
        <is>
          <t>Z</t>
        </is>
      </c>
      <c r="B63" s="74" t="inlineStr">
        <is>
          <t>-</t>
        </is>
      </c>
      <c r="C63" s="75" t="inlineStr">
        <is>
          <t>Subtotal "Z" (Y + CPOH)</t>
        </is>
      </c>
      <c r="D63" s="69" t="n"/>
      <c r="E63" s="69" t="n"/>
      <c r="F63" s="69" t="n"/>
      <c r="G63" s="47">
        <f>G61 + G62</f>
        <v/>
      </c>
      <c r="H63" s="71" t="inlineStr">
        <is>
          <t>Running compounded subtotal</t>
        </is>
      </c>
      <c r="I63" s="69" t="n"/>
    </row>
    <row r="64" ht="22" customHeight="1">
      <c r="A64" s="54" t="inlineStr">
        <is>
          <t>Z2</t>
        </is>
      </c>
      <c r="B64" s="61" t="inlineStr">
        <is>
          <t>YES</t>
        </is>
      </c>
      <c r="C64" s="20" t="inlineStr">
        <is>
          <t>Add BOCW Welfare Cess on (Z - A)</t>
        </is>
      </c>
      <c r="D64" s="60" t="n"/>
      <c r="E64" s="57">
        <f>G63 - G57</f>
        <v/>
      </c>
      <c r="F64" s="72">
        <f>Factor_Cess</f>
        <v/>
      </c>
      <c r="G64" s="73">
        <f>IF(B64="YES", ROUND(E64 * F64, 2), 0)</f>
        <v/>
      </c>
      <c r="H64" s="24" t="inlineStr">
        <is>
          <t>Statutory 1% BOCW Welfare Cess, net of A.</t>
        </is>
      </c>
      <c r="I64" s="60" t="n"/>
    </row>
    <row r="65">
      <c r="A65" s="76" t="inlineStr">
        <is>
          <t>Cost of 10.00 sqm:</t>
        </is>
      </c>
      <c r="B65" s="77" t="n"/>
      <c r="C65" s="77" t="n"/>
      <c r="D65" s="77" t="n"/>
      <c r="E65" s="77" t="n"/>
      <c r="F65" s="77" t="n"/>
      <c r="G65" s="78">
        <f>ROUND(G63 + G64, 2)</f>
        <v/>
      </c>
      <c r="H65" s="77" t="n"/>
      <c r="I65" s="77" t="n"/>
    </row>
    <row r="66" ht="30" customHeight="1">
      <c r="A66" s="79" t="inlineStr">
        <is>
          <t>RESOLVED RATE per 1.00 sqm  (SAY):</t>
        </is>
      </c>
      <c r="B66" s="80" t="n"/>
      <c r="C66" s="80" t="n"/>
      <c r="D66" s="80" t="n"/>
      <c r="E66" s="80" t="n"/>
      <c r="F66" s="80" t="n"/>
      <c r="G66" s="58">
        <f>MROUND(G65 / 10.0, 0.05)</f>
        <v/>
      </c>
      <c r="H66" s="81" t="inlineStr">
        <is>
          <t>CPWD DAR 2019 printed Say rate for this item = Rs 57.05 per sqm. Rounded with MROUND(x, 0.05) because CPWD quotes every Say rate to the nearest 5 paise. Any difference means a Rates_Master rate has been edited away from the 2019 base.</t>
        </is>
      </c>
      <c r="I66" s="80" t="n"/>
    </row>
    <row r="67"/>
    <row r="68" ht="32" customHeight="1">
      <c r="A68" s="59" t="inlineStr">
        <is>
          <t>ITEM 13.50.3  -  13 Finishing (Vol.2)  -  Applying priming coat with ready mixed red oxide zinc chromate primer of approved brand and manufacture on steel / iron work</t>
        </is>
      </c>
    </row>
    <row r="69" ht="20" customHeight="1">
      <c r="A69" s="16" t="inlineStr">
        <is>
          <t>Basis:</t>
        </is>
      </c>
      <c r="B69" s="56" t="n">
        <v>10</v>
      </c>
      <c r="C69" s="20" t="inlineStr">
        <is>
          <t>sqm</t>
        </is>
      </c>
      <c r="D69" s="16" t="inlineStr">
        <is>
          <t>Consumed by:</t>
        </is>
      </c>
      <c r="E69" s="24" t="inlineStr">
        <is>
          <t>10_Steel_Work (priming coat), 09_Wood_and_PVC_Work (steel fittings)</t>
        </is>
      </c>
      <c r="F69" s="60" t="n"/>
      <c r="G69" s="60" t="n"/>
      <c r="H69" s="60" t="n"/>
      <c r="I69" s="60"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61" t="inlineStr">
        <is>
          <t>4202</t>
        </is>
      </c>
      <c r="C71" s="62">
        <f>IFERROR(INDEX(Rates_Master!$C:$C, MATCH(B71, Rates_Master!$A:$A, 0)), "Code not found in Rates_Master")</f>
        <v/>
      </c>
      <c r="D71" s="63">
        <f>IFERROR(INDEX(Rates_Master!$D:$D, MATCH(B71, Rates_Master!$A:$A, 0)), "")</f>
        <v/>
      </c>
      <c r="E71" s="64" t="n">
        <v>0.54</v>
      </c>
      <c r="F71" s="65">
        <f>IFERROR(INDEX(Rates_Master!$E:$E, MATCH(B71, Rates_Master!$A:$A, 0)), 0)</f>
        <v/>
      </c>
      <c r="G71" s="57">
        <f>ROUND(E71 * F71, 2)</f>
        <v/>
      </c>
      <c r="H71" s="24" t="inlineStr">
        <is>
          <t>Red oxide zinc chromate primer</t>
        </is>
      </c>
      <c r="I71" s="54" t="inlineStr"/>
    </row>
    <row r="72" ht="20" customHeight="1">
      <c r="A72" s="19" t="n">
        <v>2</v>
      </c>
      <c r="B72" s="61" t="inlineStr">
        <is>
          <t>0131</t>
        </is>
      </c>
      <c r="C72" s="62">
        <f>IFERROR(INDEX(Rates_Master!$C:$C, MATCH(B72, Rates_Master!$A:$A, 0)), "Code not found in Rates_Master")</f>
        <v/>
      </c>
      <c r="D72" s="63">
        <f>IFERROR(INDEX(Rates_Master!$D:$D, MATCH(B72, Rates_Master!$A:$A, 0)), "")</f>
        <v/>
      </c>
      <c r="E72" s="64" t="n">
        <v>0.24</v>
      </c>
      <c r="F72" s="65">
        <f>IFERROR(INDEX(Rates_Master!$E:$E, MATCH(B72, Rates_Master!$A:$A, 0)), 0)</f>
        <v/>
      </c>
      <c r="G72" s="57">
        <f>ROUND(E72 * F72, 2)</f>
        <v/>
      </c>
      <c r="H72" s="24" t="inlineStr">
        <is>
          <t>Painter</t>
        </is>
      </c>
      <c r="I72" s="19" t="inlineStr"/>
    </row>
    <row r="73" ht="20" customHeight="1">
      <c r="A73" s="19" t="n">
        <v>3</v>
      </c>
      <c r="B73" s="61" t="inlineStr">
        <is>
          <t>0115</t>
        </is>
      </c>
      <c r="C73" s="62">
        <f>IFERROR(INDEX(Rates_Master!$C:$C, MATCH(B73, Rates_Master!$A:$A, 0)), "Code not found in Rates_Master")</f>
        <v/>
      </c>
      <c r="D73" s="63">
        <f>IFERROR(INDEX(Rates_Master!$D:$D, MATCH(B73, Rates_Master!$A:$A, 0)), "")</f>
        <v/>
      </c>
      <c r="E73" s="64" t="n">
        <v>0.24</v>
      </c>
      <c r="F73" s="65">
        <f>IFERROR(INDEX(Rates_Master!$E:$E, MATCH(B73, Rates_Master!$A:$A, 0)), 0)</f>
        <v/>
      </c>
      <c r="G73" s="57">
        <f>ROUND(E73 * F73, 2)</f>
        <v/>
      </c>
      <c r="H73" s="24" t="inlineStr">
        <is>
          <t>Coolie</t>
        </is>
      </c>
      <c r="I73" s="19" t="inlineStr"/>
    </row>
    <row r="74" ht="20" customHeight="1">
      <c r="A74" s="19" t="n">
        <v>4</v>
      </c>
      <c r="B74" s="54" t="inlineStr">
        <is>
          <t>9999</t>
        </is>
      </c>
      <c r="C74" s="20" t="inlineStr">
        <is>
          <t>Carriage of material</t>
        </is>
      </c>
      <c r="D74" s="19" t="inlineStr">
        <is>
          <t>L.S.</t>
        </is>
      </c>
      <c r="E74" s="26" t="n">
        <v>0.52</v>
      </c>
      <c r="F74" s="66">
        <f>Factor_Sundries</f>
        <v/>
      </c>
      <c r="G74" s="57">
        <f>ROUND(E74 * F74, 2)</f>
        <v/>
      </c>
      <c r="H74" s="67" t="inlineStr">
        <is>
          <t>Base L.S. allowance x Cost Index Multiplier (Global_Factors)</t>
        </is>
      </c>
      <c r="I74" s="19" t="inlineStr"/>
    </row>
    <row r="75" ht="20" customHeight="1">
      <c r="A75" s="19" t="n">
        <v>5</v>
      </c>
      <c r="B75" s="54" t="inlineStr">
        <is>
          <t>9999</t>
        </is>
      </c>
      <c r="C75" s="20" t="inlineStr">
        <is>
          <t>Brushes, sand paper including sundries</t>
        </is>
      </c>
      <c r="D75" s="19" t="inlineStr">
        <is>
          <t>L.S.</t>
        </is>
      </c>
      <c r="E75" s="26" t="n">
        <v>10.79</v>
      </c>
      <c r="F75" s="66">
        <f>Factor_Sundries</f>
        <v/>
      </c>
      <c r="G75" s="57">
        <f>ROUND(E75 * F75, 2)</f>
        <v/>
      </c>
      <c r="H75" s="67" t="inlineStr">
        <is>
          <t>Base L.S. allowance x Cost Index Multiplier (Global_Factors)</t>
        </is>
      </c>
      <c r="I75" s="19" t="inlineStr"/>
    </row>
    <row r="76">
      <c r="A76" s="68" t="inlineStr">
        <is>
          <t>TOTAL DIRECT COST "W" (all lines above):</t>
        </is>
      </c>
      <c r="B76" s="69" t="n"/>
      <c r="C76" s="69" t="n"/>
      <c r="D76" s="69" t="n"/>
      <c r="E76" s="69" t="n"/>
      <c r="F76" s="69" t="n"/>
      <c r="G76" s="47">
        <f>ROUND(SUM(G71:G75), 2)</f>
        <v/>
      </c>
      <c r="H76" s="70" t="inlineStr">
        <is>
          <t>Book value of W for item 13.50.3 = Rs 378.90</t>
        </is>
      </c>
      <c r="I76" s="69" t="n"/>
    </row>
    <row r="77" ht="28" customHeight="1">
      <c r="A77" s="68" t="inlineStr">
        <is>
          <t>Less "A" - imported lines already carrying statutory markups:</t>
        </is>
      </c>
      <c r="B77" s="69" t="n"/>
      <c r="C77" s="69" t="n"/>
      <c r="D77" s="69" t="n"/>
      <c r="E77" s="69" t="n"/>
      <c r="F77" s="69" t="n"/>
      <c r="G77" s="47">
        <f>ROUND(SUMIF($I$71:$I$75, "A", $G$71:$G$75), 2)</f>
        <v/>
      </c>
      <c r="H77" s="71" t="inlineStr">
        <is>
          <t>CPWD convention: markups are computed on (W-A), (X-A), (Y-A), (Z-A). A line tagged "A" is an imported rate that already includes Water, GST, CPOH and Cess.</t>
        </is>
      </c>
      <c r="I77" s="69" t="n"/>
    </row>
    <row r="78" ht="22" customHeight="1">
      <c r="A78" s="54" t="inlineStr">
        <is>
          <t>X1</t>
        </is>
      </c>
      <c r="B78" s="61" t="inlineStr">
        <is>
          <t>YES</t>
        </is>
      </c>
      <c r="C78" s="20" t="inlineStr">
        <is>
          <t>Add Water Charges on (W - A)</t>
        </is>
      </c>
      <c r="D78" s="60" t="n"/>
      <c r="E78" s="57">
        <f>G76 - G77</f>
        <v/>
      </c>
      <c r="F78" s="72">
        <f>Factor_Water</f>
        <v/>
      </c>
      <c r="G78" s="73">
        <f>IF(B78="YES", ROUND(E78 * F78, 2), 0)</f>
        <v/>
      </c>
      <c r="H78" s="24" t="inlineStr">
        <is>
          <t>CPWD: 1% water charges, computed on the direct cost net of A-tagged imports.</t>
        </is>
      </c>
      <c r="I78" s="60" t="n"/>
    </row>
    <row r="79" ht="22" customHeight="1">
      <c r="A79" s="2" t="inlineStr">
        <is>
          <t>X</t>
        </is>
      </c>
      <c r="B79" s="74" t="inlineStr">
        <is>
          <t>-</t>
        </is>
      </c>
      <c r="C79" s="75" t="inlineStr">
        <is>
          <t>Subtotal "X" (W + Water Charges)</t>
        </is>
      </c>
      <c r="D79" s="69" t="n"/>
      <c r="E79" s="69" t="n"/>
      <c r="F79" s="69" t="n"/>
      <c r="G79" s="47">
        <f>G76 + G78</f>
        <v/>
      </c>
      <c r="H79" s="71" t="inlineStr">
        <is>
          <t>Running compounded subtotal</t>
        </is>
      </c>
      <c r="I79" s="69" t="n"/>
    </row>
    <row r="80" ht="22" customHeight="1">
      <c r="A80" s="54" t="inlineStr">
        <is>
          <t>Y1</t>
        </is>
      </c>
      <c r="B80" s="61" t="inlineStr">
        <is>
          <t>YES</t>
        </is>
      </c>
      <c r="C80" s="20" t="inlineStr">
        <is>
          <t>Add GST on (X - A)</t>
        </is>
      </c>
      <c r="D80" s="60" t="n"/>
      <c r="E80" s="57">
        <f>G79 - G77</f>
        <v/>
      </c>
      <c r="F80" s="72">
        <f>Factor_GST</f>
        <v/>
      </c>
      <c r="G80" s="73">
        <f>IF(B80="YES", ROUND(E80 * F80, 2), 0)</f>
        <v/>
      </c>
      <c r="H80" s="24" t="inlineStr">
        <is>
          <t>CPWD DAR 2019 works contract multiplying factor 0.1405, net of A.</t>
        </is>
      </c>
      <c r="I80" s="60" t="n"/>
    </row>
    <row r="81" ht="22" customHeight="1">
      <c r="A81" s="2" t="inlineStr">
        <is>
          <t>Y</t>
        </is>
      </c>
      <c r="B81" s="74" t="inlineStr">
        <is>
          <t>-</t>
        </is>
      </c>
      <c r="C81" s="75" t="inlineStr">
        <is>
          <t>Subtotal "Y" (X + GST)</t>
        </is>
      </c>
      <c r="D81" s="69" t="n"/>
      <c r="E81" s="69" t="n"/>
      <c r="F81" s="69" t="n"/>
      <c r="G81" s="47">
        <f>G79 + G80</f>
        <v/>
      </c>
      <c r="H81" s="71" t="inlineStr">
        <is>
          <t>Running compounded subtotal</t>
        </is>
      </c>
      <c r="I81" s="69" t="n"/>
    </row>
    <row r="82" ht="22" customHeight="1">
      <c r="A82" s="54" t="inlineStr">
        <is>
          <t>Z1</t>
        </is>
      </c>
      <c r="B82" s="61" t="inlineStr">
        <is>
          <t>YES</t>
        </is>
      </c>
      <c r="C82" s="20" t="inlineStr">
        <is>
          <t>Add Contractor Profit &amp; Overheads on (Y - A)</t>
        </is>
      </c>
      <c r="D82" s="60" t="n"/>
      <c r="E82" s="57">
        <f>G81 - G77</f>
        <v/>
      </c>
      <c r="F82" s="72">
        <f>Factor_CPOH</f>
        <v/>
      </c>
      <c r="G82" s="73">
        <f>IF(B82="YES", ROUND(E82 * F82, 2), 0)</f>
        <v/>
      </c>
      <c r="H82" s="24" t="inlineStr">
        <is>
          <t>Standard 15% CPOH, net of A.</t>
        </is>
      </c>
      <c r="I82" s="60" t="n"/>
    </row>
    <row r="83" ht="22" customHeight="1">
      <c r="A83" s="2" t="inlineStr">
        <is>
          <t>Z</t>
        </is>
      </c>
      <c r="B83" s="74" t="inlineStr">
        <is>
          <t>-</t>
        </is>
      </c>
      <c r="C83" s="75" t="inlineStr">
        <is>
          <t>Subtotal "Z" (Y + CPOH)</t>
        </is>
      </c>
      <c r="D83" s="69" t="n"/>
      <c r="E83" s="69" t="n"/>
      <c r="F83" s="69" t="n"/>
      <c r="G83" s="47">
        <f>G81 + G82</f>
        <v/>
      </c>
      <c r="H83" s="71" t="inlineStr">
        <is>
          <t>Running compounded subtotal</t>
        </is>
      </c>
      <c r="I83" s="69" t="n"/>
    </row>
    <row r="84" ht="22" customHeight="1">
      <c r="A84" s="54" t="inlineStr">
        <is>
          <t>Z2</t>
        </is>
      </c>
      <c r="B84" s="61" t="inlineStr">
        <is>
          <t>YES</t>
        </is>
      </c>
      <c r="C84" s="20" t="inlineStr">
        <is>
          <t>Add BOCW Welfare Cess on (Z - A)</t>
        </is>
      </c>
      <c r="D84" s="60" t="n"/>
      <c r="E84" s="57">
        <f>G83 - G77</f>
        <v/>
      </c>
      <c r="F84" s="72">
        <f>Factor_Cess</f>
        <v/>
      </c>
      <c r="G84" s="73">
        <f>IF(B84="YES", ROUND(E84 * F84, 2), 0)</f>
        <v/>
      </c>
      <c r="H84" s="24" t="inlineStr">
        <is>
          <t>Statutory 1% BOCW Welfare Cess, net of A.</t>
        </is>
      </c>
      <c r="I84" s="60" t="n"/>
    </row>
    <row r="85">
      <c r="A85" s="76" t="inlineStr">
        <is>
          <t>Cost of 10.00 sqm:</t>
        </is>
      </c>
      <c r="B85" s="77" t="n"/>
      <c r="C85" s="77" t="n"/>
      <c r="D85" s="77" t="n"/>
      <c r="E85" s="77" t="n"/>
      <c r="F85" s="77" t="n"/>
      <c r="G85" s="78">
        <f>ROUND(G83 + G84, 2)</f>
        <v/>
      </c>
      <c r="H85" s="77" t="n"/>
      <c r="I85" s="77" t="n"/>
    </row>
    <row r="86" ht="30" customHeight="1">
      <c r="A86" s="79" t="inlineStr">
        <is>
          <t>RESOLVED RATE per 1.00 sqm  (SAY):</t>
        </is>
      </c>
      <c r="B86" s="80" t="n"/>
      <c r="C86" s="80" t="n"/>
      <c r="D86" s="80" t="n"/>
      <c r="E86" s="80" t="n"/>
      <c r="F86" s="80" t="n"/>
      <c r="G86" s="58">
        <f>MROUND(G85 / 10.0, 0.05)</f>
        <v/>
      </c>
      <c r="H86" s="81" t="inlineStr">
        <is>
          <t>CPWD DAR 2019 printed Say rate for this item = Rs 50.70 per sqm. Rounded with MROUND(x, 0.05) because CPWD quotes every Say rate to the nearest 5 paise. Any difference means a Rates_Master rate has been edited away from the 2019 base.</t>
        </is>
      </c>
      <c r="I86" s="80" t="n"/>
    </row>
    <row r="87"/>
    <row r="88" ht="32" customHeight="1">
      <c r="A88" s="59" t="inlineStr">
        <is>
          <t>ITEM 13.57.1  -  13 Finishing (Vol.2)  -  Painting with oil type wood preservative of approved brand and manufacture - new work (two or more coats)</t>
        </is>
      </c>
    </row>
    <row r="89" ht="20" customHeight="1">
      <c r="A89" s="16" t="inlineStr">
        <is>
          <t>Basis:</t>
        </is>
      </c>
      <c r="B89" s="56" t="n">
        <v>10</v>
      </c>
      <c r="C89" s="20" t="inlineStr">
        <is>
          <t>sqm</t>
        </is>
      </c>
      <c r="D89" s="16" t="inlineStr">
        <is>
          <t>Consumed by:</t>
        </is>
      </c>
      <c r="E89" s="24" t="inlineStr">
        <is>
          <t>09_Wood_and_PVC_Work (preservative treatment on timber)</t>
        </is>
      </c>
      <c r="F89" s="60" t="n"/>
      <c r="G89" s="60" t="n"/>
      <c r="H89" s="60" t="n"/>
      <c r="I89" s="60"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61" t="inlineStr">
        <is>
          <t>0859</t>
        </is>
      </c>
      <c r="C91" s="62">
        <f>IFERROR(INDEX(Rates_Master!$C:$C, MATCH(B91, Rates_Master!$A:$A, 0)), "Code not found in Rates_Master")</f>
        <v/>
      </c>
      <c r="D91" s="63">
        <f>IFERROR(INDEX(Rates_Master!$D:$D, MATCH(B91, Rates_Master!$A:$A, 0)), "")</f>
        <v/>
      </c>
      <c r="E91" s="64" t="n">
        <v>1</v>
      </c>
      <c r="F91" s="65">
        <f>IFERROR(INDEX(Rates_Master!$E:$E, MATCH(B91, Rates_Master!$A:$A, 0)), 0)</f>
        <v/>
      </c>
      <c r="G91" s="57">
        <f>ROUND(E91 * F91, 2)</f>
        <v/>
      </c>
      <c r="H91" s="24" t="inlineStr">
        <is>
          <t>Oil type wood preservative</t>
        </is>
      </c>
      <c r="I91" s="54" t="inlineStr"/>
    </row>
    <row r="92" ht="20" customHeight="1">
      <c r="A92" s="19" t="n">
        <v>2</v>
      </c>
      <c r="B92" s="61" t="inlineStr">
        <is>
          <t>0131</t>
        </is>
      </c>
      <c r="C92" s="62">
        <f>IFERROR(INDEX(Rates_Master!$C:$C, MATCH(B92, Rates_Master!$A:$A, 0)), "Code not found in Rates_Master")</f>
        <v/>
      </c>
      <c r="D92" s="63">
        <f>IFERROR(INDEX(Rates_Master!$D:$D, MATCH(B92, Rates_Master!$A:$A, 0)), "")</f>
        <v/>
      </c>
      <c r="E92" s="64" t="n">
        <v>0.15</v>
      </c>
      <c r="F92" s="65">
        <f>IFERROR(INDEX(Rates_Master!$E:$E, MATCH(B92, Rates_Master!$A:$A, 0)), 0)</f>
        <v/>
      </c>
      <c r="G92" s="57">
        <f>ROUND(E92 * F92, 2)</f>
        <v/>
      </c>
      <c r="H92" s="24" t="inlineStr">
        <is>
          <t>Painter</t>
        </is>
      </c>
      <c r="I92" s="19" t="inlineStr"/>
    </row>
    <row r="93" ht="20" customHeight="1">
      <c r="A93" s="19" t="n">
        <v>3</v>
      </c>
      <c r="B93" s="61" t="inlineStr">
        <is>
          <t>0115</t>
        </is>
      </c>
      <c r="C93" s="62">
        <f>IFERROR(INDEX(Rates_Master!$C:$C, MATCH(B93, Rates_Master!$A:$A, 0)), "Code not found in Rates_Master")</f>
        <v/>
      </c>
      <c r="D93" s="63">
        <f>IFERROR(INDEX(Rates_Master!$D:$D, MATCH(B93, Rates_Master!$A:$A, 0)), "")</f>
        <v/>
      </c>
      <c r="E93" s="64" t="n">
        <v>0.15</v>
      </c>
      <c r="F93" s="65">
        <f>IFERROR(INDEX(Rates_Master!$E:$E, MATCH(B93, Rates_Master!$A:$A, 0)), 0)</f>
        <v/>
      </c>
      <c r="G93" s="57">
        <f>ROUND(E93 * F93, 2)</f>
        <v/>
      </c>
      <c r="H93" s="24" t="inlineStr">
        <is>
          <t>Coolie</t>
        </is>
      </c>
      <c r="I93" s="19" t="inlineStr"/>
    </row>
    <row r="94" ht="20" customHeight="1">
      <c r="A94" s="19" t="n">
        <v>4</v>
      </c>
      <c r="B94" s="54" t="inlineStr">
        <is>
          <t>9999</t>
        </is>
      </c>
      <c r="C94" s="20" t="inlineStr">
        <is>
          <t>Carriage of material</t>
        </is>
      </c>
      <c r="D94" s="19" t="inlineStr">
        <is>
          <t>L.S.</t>
        </is>
      </c>
      <c r="E94" s="26" t="n">
        <v>0.52</v>
      </c>
      <c r="F94" s="66">
        <f>Factor_Sundries</f>
        <v/>
      </c>
      <c r="G94" s="57">
        <f>ROUND(E94 * F94, 2)</f>
        <v/>
      </c>
      <c r="H94" s="67" t="inlineStr">
        <is>
          <t>Base L.S. allowance x Cost Index Multiplier (Global_Factors)</t>
        </is>
      </c>
      <c r="I94" s="19" t="inlineStr"/>
    </row>
    <row r="95" ht="20" customHeight="1">
      <c r="A95" s="19" t="n">
        <v>5</v>
      </c>
      <c r="B95" s="54" t="inlineStr">
        <is>
          <t>9999</t>
        </is>
      </c>
      <c r="C95" s="20" t="inlineStr">
        <is>
          <t>Brushes etc.</t>
        </is>
      </c>
      <c r="D95" s="19" t="inlineStr">
        <is>
          <t>L.S.</t>
        </is>
      </c>
      <c r="E95" s="26" t="n">
        <v>4.16</v>
      </c>
      <c r="F95" s="66">
        <f>Factor_Sundries</f>
        <v/>
      </c>
      <c r="G95" s="57">
        <f>ROUND(E95 * F95, 2)</f>
        <v/>
      </c>
      <c r="H95" s="67" t="inlineStr">
        <is>
          <t>Base L.S. allowance x Cost Index Multiplier (Global_Factors)</t>
        </is>
      </c>
      <c r="I95" s="19" t="inlineStr"/>
    </row>
    <row r="96" ht="20" customHeight="1">
      <c r="A96" s="19" t="n">
        <v>6</v>
      </c>
      <c r="B96" s="54" t="inlineStr">
        <is>
          <t>9999</t>
        </is>
      </c>
      <c r="C96" s="20" t="inlineStr">
        <is>
          <t>Sundries</t>
        </is>
      </c>
      <c r="D96" s="19" t="inlineStr">
        <is>
          <t>L.S.</t>
        </is>
      </c>
      <c r="E96" s="26" t="n">
        <v>3.9</v>
      </c>
      <c r="F96" s="66">
        <f>Factor_Sundries</f>
        <v/>
      </c>
      <c r="G96" s="57">
        <f>ROUND(E96 * F96, 2)</f>
        <v/>
      </c>
      <c r="H96" s="67" t="inlineStr">
        <is>
          <t>Base L.S. allowance x Cost Index Multiplier (Global_Factors)</t>
        </is>
      </c>
      <c r="I96" s="19" t="inlineStr"/>
    </row>
    <row r="97">
      <c r="A97" s="68" t="inlineStr">
        <is>
          <t>TOTAL DIRECT COST "W" (all lines above):</t>
        </is>
      </c>
      <c r="B97" s="69" t="n"/>
      <c r="C97" s="69" t="n"/>
      <c r="D97" s="69" t="n"/>
      <c r="E97" s="69" t="n"/>
      <c r="F97" s="69" t="n"/>
      <c r="G97" s="47">
        <f>ROUND(SUM(G91:G96), 2)</f>
        <v/>
      </c>
      <c r="H97" s="70" t="inlineStr">
        <is>
          <t>Book value of W for item 13.57.1 = Rs 332.71</t>
        </is>
      </c>
      <c r="I97" s="69" t="n"/>
    </row>
    <row r="98" ht="28" customHeight="1">
      <c r="A98" s="68" t="inlineStr">
        <is>
          <t>Less "A" - imported lines already carrying statutory markups:</t>
        </is>
      </c>
      <c r="B98" s="69" t="n"/>
      <c r="C98" s="69" t="n"/>
      <c r="D98" s="69" t="n"/>
      <c r="E98" s="69" t="n"/>
      <c r="F98" s="69" t="n"/>
      <c r="G98" s="47">
        <f>ROUND(SUMIF($I$91:$I$96, "A", $G$91:$G$96), 2)</f>
        <v/>
      </c>
      <c r="H98" s="71" t="inlineStr">
        <is>
          <t>CPWD convention: markups are computed on (W-A), (X-A), (Y-A), (Z-A). A line tagged "A" is an imported rate that already includes Water, GST, CPOH and Cess.</t>
        </is>
      </c>
      <c r="I98" s="69" t="n"/>
    </row>
    <row r="99" ht="22" customHeight="1">
      <c r="A99" s="54" t="inlineStr">
        <is>
          <t>X1</t>
        </is>
      </c>
      <c r="B99" s="61" t="inlineStr">
        <is>
          <t>YES</t>
        </is>
      </c>
      <c r="C99" s="20" t="inlineStr">
        <is>
          <t>Add Water Charges on (W - A)</t>
        </is>
      </c>
      <c r="D99" s="60" t="n"/>
      <c r="E99" s="57">
        <f>G97 - G98</f>
        <v/>
      </c>
      <c r="F99" s="72">
        <f>Factor_Water</f>
        <v/>
      </c>
      <c r="G99" s="73">
        <f>IF(B99="YES", ROUND(E99 * F99, 2), 0)</f>
        <v/>
      </c>
      <c r="H99" s="24" t="inlineStr">
        <is>
          <t>CPWD: 1% water charges, computed on the direct cost net of A-tagged imports.</t>
        </is>
      </c>
      <c r="I99" s="60" t="n"/>
    </row>
    <row r="100" ht="22" customHeight="1">
      <c r="A100" s="2" t="inlineStr">
        <is>
          <t>X</t>
        </is>
      </c>
      <c r="B100" s="74" t="inlineStr">
        <is>
          <t>-</t>
        </is>
      </c>
      <c r="C100" s="75" t="inlineStr">
        <is>
          <t>Subtotal "X" (W + Water Charges)</t>
        </is>
      </c>
      <c r="D100" s="69" t="n"/>
      <c r="E100" s="69" t="n"/>
      <c r="F100" s="69" t="n"/>
      <c r="G100" s="47">
        <f>G97 + G99</f>
        <v/>
      </c>
      <c r="H100" s="71" t="inlineStr">
        <is>
          <t>Running compounded subtotal</t>
        </is>
      </c>
      <c r="I100" s="69" t="n"/>
    </row>
    <row r="101" ht="22" customHeight="1">
      <c r="A101" s="54" t="inlineStr">
        <is>
          <t>Y1</t>
        </is>
      </c>
      <c r="B101" s="61" t="inlineStr">
        <is>
          <t>YES</t>
        </is>
      </c>
      <c r="C101" s="20" t="inlineStr">
        <is>
          <t>Add GST on (X - A)</t>
        </is>
      </c>
      <c r="D101" s="60" t="n"/>
      <c r="E101" s="57">
        <f>G100 - G98</f>
        <v/>
      </c>
      <c r="F101" s="72">
        <f>Factor_GST</f>
        <v/>
      </c>
      <c r="G101" s="73">
        <f>IF(B101="YES", ROUND(E101 * F101, 2), 0)</f>
        <v/>
      </c>
      <c r="H101" s="24" t="inlineStr">
        <is>
          <t>CPWD DAR 2019 works contract multiplying factor 0.1405, net of A.</t>
        </is>
      </c>
      <c r="I101" s="60" t="n"/>
    </row>
    <row r="102" ht="22" customHeight="1">
      <c r="A102" s="2" t="inlineStr">
        <is>
          <t>Y</t>
        </is>
      </c>
      <c r="B102" s="74" t="inlineStr">
        <is>
          <t>-</t>
        </is>
      </c>
      <c r="C102" s="75" t="inlineStr">
        <is>
          <t>Subtotal "Y" (X + GST)</t>
        </is>
      </c>
      <c r="D102" s="69" t="n"/>
      <c r="E102" s="69" t="n"/>
      <c r="F102" s="69" t="n"/>
      <c r="G102" s="47">
        <f>G100 + G101</f>
        <v/>
      </c>
      <c r="H102" s="71" t="inlineStr">
        <is>
          <t>Running compounded subtotal</t>
        </is>
      </c>
      <c r="I102" s="69" t="n"/>
    </row>
    <row r="103" ht="22" customHeight="1">
      <c r="A103" s="54" t="inlineStr">
        <is>
          <t>Z1</t>
        </is>
      </c>
      <c r="B103" s="61" t="inlineStr">
        <is>
          <t>YES</t>
        </is>
      </c>
      <c r="C103" s="20" t="inlineStr">
        <is>
          <t>Add Contractor Profit &amp; Overheads on (Y - A)</t>
        </is>
      </c>
      <c r="D103" s="60" t="n"/>
      <c r="E103" s="57">
        <f>G102 - G98</f>
        <v/>
      </c>
      <c r="F103" s="72">
        <f>Factor_CPOH</f>
        <v/>
      </c>
      <c r="G103" s="73">
        <f>IF(B103="YES", ROUND(E103 * F103, 2), 0)</f>
        <v/>
      </c>
      <c r="H103" s="24" t="inlineStr">
        <is>
          <t>Standard 15% CPOH, net of A.</t>
        </is>
      </c>
      <c r="I103" s="60" t="n"/>
    </row>
    <row r="104" ht="22" customHeight="1">
      <c r="A104" s="2" t="inlineStr">
        <is>
          <t>Z</t>
        </is>
      </c>
      <c r="B104" s="74" t="inlineStr">
        <is>
          <t>-</t>
        </is>
      </c>
      <c r="C104" s="75" t="inlineStr">
        <is>
          <t>Subtotal "Z" (Y + CPOH)</t>
        </is>
      </c>
      <c r="D104" s="69" t="n"/>
      <c r="E104" s="69" t="n"/>
      <c r="F104" s="69" t="n"/>
      <c r="G104" s="47">
        <f>G102 + G103</f>
        <v/>
      </c>
      <c r="H104" s="71" t="inlineStr">
        <is>
          <t>Running compounded subtotal</t>
        </is>
      </c>
      <c r="I104" s="69" t="n"/>
    </row>
    <row r="105" ht="22" customHeight="1">
      <c r="A105" s="54" t="inlineStr">
        <is>
          <t>Z2</t>
        </is>
      </c>
      <c r="B105" s="61" t="inlineStr">
        <is>
          <t>YES</t>
        </is>
      </c>
      <c r="C105" s="20" t="inlineStr">
        <is>
          <t>Add BOCW Welfare Cess on (Z - A)</t>
        </is>
      </c>
      <c r="D105" s="60" t="n"/>
      <c r="E105" s="57">
        <f>G104 - G98</f>
        <v/>
      </c>
      <c r="F105" s="72">
        <f>Factor_Cess</f>
        <v/>
      </c>
      <c r="G105" s="73">
        <f>IF(B105="YES", ROUND(E105 * F105, 2), 0)</f>
        <v/>
      </c>
      <c r="H105" s="24" t="inlineStr">
        <is>
          <t>Statutory 1% BOCW Welfare Cess, net of A.</t>
        </is>
      </c>
      <c r="I105" s="60" t="n"/>
    </row>
    <row r="106">
      <c r="A106" s="76" t="inlineStr">
        <is>
          <t>Cost of 10.00 sqm:</t>
        </is>
      </c>
      <c r="B106" s="77" t="n"/>
      <c r="C106" s="77" t="n"/>
      <c r="D106" s="77" t="n"/>
      <c r="E106" s="77" t="n"/>
      <c r="F106" s="77" t="n"/>
      <c r="G106" s="78">
        <f>ROUND(G104 + G105, 2)</f>
        <v/>
      </c>
      <c r="H106" s="77" t="n"/>
      <c r="I106" s="77" t="n"/>
    </row>
    <row r="107" ht="30" customHeight="1">
      <c r="A107" s="79" t="inlineStr">
        <is>
          <t>RESOLVED RATE per 1.00 sqm  (SAY):</t>
        </is>
      </c>
      <c r="B107" s="80" t="n"/>
      <c r="C107" s="80" t="n"/>
      <c r="D107" s="80" t="n"/>
      <c r="E107" s="80" t="n"/>
      <c r="F107" s="80" t="n"/>
      <c r="G107" s="58">
        <f>MROUND(G106 / 10.0, 0.05)</f>
        <v/>
      </c>
      <c r="H107" s="81" t="inlineStr">
        <is>
          <t>CPWD DAR 2019 printed Say rate for this item = Rs 44.50 per sqm. Rounded with MROUND(x, 0.05) because CPWD quotes every Say rate to the nearest 5 paise. Any difference means a Rates_Master rate has been edited away from the 2019 base.</t>
        </is>
      </c>
      <c r="I107" s="80" t="n"/>
    </row>
    <row r="108"/>
    <row r="109" ht="32" customHeight="1">
      <c r="A109" s="59" t="inlineStr">
        <is>
          <t>ITEM 18.78  -  18 Water Supply (Vol.2)  -  Making chases up to 7.5 x 7.5 cm in walls including making good and finishing the same with cement concrete 1:3:6</t>
        </is>
      </c>
    </row>
    <row r="110" ht="20" customHeight="1">
      <c r="A110" s="16" t="inlineStr">
        <is>
          <t>Basis:</t>
        </is>
      </c>
      <c r="B110" s="56" t="n">
        <v>10</v>
      </c>
      <c r="C110" s="20" t="inlineStr">
        <is>
          <t>metre</t>
        </is>
      </c>
      <c r="D110" s="16" t="inlineStr">
        <is>
          <t>Consumed by:</t>
        </is>
      </c>
      <c r="E110" s="24" t="inlineStr">
        <is>
          <t>08_Cladding_Work (chase cutting for concealed fixings / services)</t>
        </is>
      </c>
      <c r="F110" s="60" t="n"/>
      <c r="G110" s="60" t="n"/>
      <c r="H110" s="60" t="n"/>
      <c r="I110" s="60"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61" t="inlineStr">
        <is>
          <t>4.2.5</t>
        </is>
      </c>
      <c r="C112" s="82" t="inlineStr">
        <is>
          <t>Rate as per resolved item no. 4.2.5 above</t>
        </is>
      </c>
      <c r="D112" s="63" t="inlineStr">
        <is>
          <t>cum</t>
        </is>
      </c>
      <c r="E112" s="64" t="n">
        <v>0.04</v>
      </c>
      <c r="F112" s="65">
        <f>'Resolved_Cross_Volume_Items'!$G$44</f>
        <v/>
      </c>
      <c r="G112" s="57">
        <f>ROUND(E112 * F112, 2)</f>
        <v/>
      </c>
      <c r="H112" s="24" t="inlineStr">
        <is>
          <t>Cement concrete 1:3:6 - 0.075 x 0.075 x 10 m = 0.05625 cum, less 33% for pipe = 0.03769 cum, say 0.04 cum. Rate resolved above.</t>
        </is>
      </c>
      <c r="I112" s="52" t="inlineStr">
        <is>
          <t>A</t>
        </is>
      </c>
    </row>
    <row r="113" ht="20" customHeight="1">
      <c r="A113" s="19" t="n">
        <v>2</v>
      </c>
      <c r="B113" s="61" t="inlineStr">
        <is>
          <t>0123</t>
        </is>
      </c>
      <c r="C113" s="62">
        <f>IFERROR(INDEX(Rates_Master!$C:$C, MATCH(B113, Rates_Master!$A:$A, 0)), "Code not found in Rates_Master")</f>
        <v/>
      </c>
      <c r="D113" s="63">
        <f>IFERROR(INDEX(Rates_Master!$D:$D, MATCH(B113, Rates_Master!$A:$A, 0)), "")</f>
        <v/>
      </c>
      <c r="E113" s="64" t="n">
        <v>0.25</v>
      </c>
      <c r="F113" s="65">
        <f>IFERROR(INDEX(Rates_Master!$E:$E, MATCH(B113, Rates_Master!$A:$A, 0)), 0)</f>
        <v/>
      </c>
      <c r="G113" s="57">
        <f>ROUND(E113 * F113, 2)</f>
        <v/>
      </c>
      <c r="H113" s="24" t="inlineStr">
        <is>
          <t>Mason (brick layer) 1st class</t>
        </is>
      </c>
      <c r="I113" s="19" t="inlineStr"/>
    </row>
    <row r="114" ht="20" customHeight="1">
      <c r="A114" s="19" t="n">
        <v>3</v>
      </c>
      <c r="B114" s="61" t="inlineStr">
        <is>
          <t>0124</t>
        </is>
      </c>
      <c r="C114" s="62">
        <f>IFERROR(INDEX(Rates_Master!$C:$C, MATCH(B114, Rates_Master!$A:$A, 0)), "Code not found in Rates_Master")</f>
        <v/>
      </c>
      <c r="D114" s="63">
        <f>IFERROR(INDEX(Rates_Master!$D:$D, MATCH(B114, Rates_Master!$A:$A, 0)), "")</f>
        <v/>
      </c>
      <c r="E114" s="64" t="n">
        <v>0.25</v>
      </c>
      <c r="F114" s="65">
        <f>IFERROR(INDEX(Rates_Master!$E:$E, MATCH(B114, Rates_Master!$A:$A, 0)), 0)</f>
        <v/>
      </c>
      <c r="G114" s="57">
        <f>ROUND(E114 * F114, 2)</f>
        <v/>
      </c>
      <c r="H114" s="24" t="inlineStr">
        <is>
          <t>Mason (brick layer) 2nd class</t>
        </is>
      </c>
      <c r="I114" s="19" t="inlineStr"/>
    </row>
    <row r="115" ht="20" customHeight="1">
      <c r="A115" s="19" t="n">
        <v>4</v>
      </c>
      <c r="B115" s="61" t="inlineStr">
        <is>
          <t>0114</t>
        </is>
      </c>
      <c r="C115" s="62">
        <f>IFERROR(INDEX(Rates_Master!$C:$C, MATCH(B115, Rates_Master!$A:$A, 0)), "Code not found in Rates_Master")</f>
        <v/>
      </c>
      <c r="D115" s="63">
        <f>IFERROR(INDEX(Rates_Master!$D:$D, MATCH(B115, Rates_Master!$A:$A, 0)), "")</f>
        <v/>
      </c>
      <c r="E115" s="64" t="n">
        <v>1</v>
      </c>
      <c r="F115" s="65">
        <f>IFERROR(INDEX(Rates_Master!$E:$E, MATCH(B115, Rates_Master!$A:$A, 0)), 0)</f>
        <v/>
      </c>
      <c r="G115" s="57">
        <f>ROUND(E115 * F115, 2)</f>
        <v/>
      </c>
      <c r="H115" s="24" t="inlineStr">
        <is>
          <t>Beldar</t>
        </is>
      </c>
      <c r="I115" s="19" t="inlineStr"/>
    </row>
    <row r="116">
      <c r="A116" s="68" t="inlineStr">
        <is>
          <t>TOTAL DIRECT COST "W" (all lines above):</t>
        </is>
      </c>
      <c r="B116" s="69" t="n"/>
      <c r="C116" s="69" t="n"/>
      <c r="D116" s="69" t="n"/>
      <c r="E116" s="69" t="n"/>
      <c r="F116" s="69" t="n"/>
      <c r="G116" s="47">
        <f>ROUND(SUM(G112:G115), 2)</f>
        <v/>
      </c>
      <c r="H116" s="70" t="inlineStr">
        <is>
          <t>Book value of W for item 18.78 = Rs 1,233.25</t>
        </is>
      </c>
      <c r="I116" s="69" t="n"/>
    </row>
    <row r="117" ht="28" customHeight="1">
      <c r="A117" s="68" t="inlineStr">
        <is>
          <t>Less "A" - imported lines already carrying statutory markups:</t>
        </is>
      </c>
      <c r="B117" s="69" t="n"/>
      <c r="C117" s="69" t="n"/>
      <c r="D117" s="69" t="n"/>
      <c r="E117" s="69" t="n"/>
      <c r="F117" s="69" t="n"/>
      <c r="G117" s="47">
        <f>ROUND(SUMIF($I$112:$I$115, "A", $G$112:$G$115), 2)</f>
        <v/>
      </c>
      <c r="H117" s="71" t="inlineStr">
        <is>
          <t>CPWD convention: markups are computed on (W-A), (X-A), (Y-A), (Z-A). A line tagged "A" is an imported rate that already includes Water, GST, CPOH and Cess.</t>
        </is>
      </c>
      <c r="I117" s="69" t="n"/>
    </row>
    <row r="118" ht="22" customHeight="1">
      <c r="A118" s="54" t="inlineStr">
        <is>
          <t>X1</t>
        </is>
      </c>
      <c r="B118" s="61" t="inlineStr">
        <is>
          <t>YES</t>
        </is>
      </c>
      <c r="C118" s="20" t="inlineStr">
        <is>
          <t>Add Water Charges on (W - A)</t>
        </is>
      </c>
      <c r="D118" s="60" t="n"/>
      <c r="E118" s="57">
        <f>G116 - G117</f>
        <v/>
      </c>
      <c r="F118" s="72">
        <f>Factor_Water</f>
        <v/>
      </c>
      <c r="G118" s="73">
        <f>IF(B118="YES", ROUND(E118 * F118, 2), 0)</f>
        <v/>
      </c>
      <c r="H118" s="24" t="inlineStr">
        <is>
          <t>CPWD: 1% water charges, computed on the direct cost net of A-tagged imports.</t>
        </is>
      </c>
      <c r="I118" s="60" t="n"/>
    </row>
    <row r="119" ht="22" customHeight="1">
      <c r="A119" s="2" t="inlineStr">
        <is>
          <t>X</t>
        </is>
      </c>
      <c r="B119" s="74" t="inlineStr">
        <is>
          <t>-</t>
        </is>
      </c>
      <c r="C119" s="75" t="inlineStr">
        <is>
          <t>Subtotal "X" (W + Water Charges)</t>
        </is>
      </c>
      <c r="D119" s="69" t="n"/>
      <c r="E119" s="69" t="n"/>
      <c r="F119" s="69" t="n"/>
      <c r="G119" s="47">
        <f>G116 + G118</f>
        <v/>
      </c>
      <c r="H119" s="71" t="inlineStr">
        <is>
          <t>Running compounded subtotal</t>
        </is>
      </c>
      <c r="I119" s="69" t="n"/>
    </row>
    <row r="120" ht="22" customHeight="1">
      <c r="A120" s="54" t="inlineStr">
        <is>
          <t>Y1</t>
        </is>
      </c>
      <c r="B120" s="61" t="inlineStr">
        <is>
          <t>YES</t>
        </is>
      </c>
      <c r="C120" s="20" t="inlineStr">
        <is>
          <t>Add GST on (X - A)</t>
        </is>
      </c>
      <c r="D120" s="60" t="n"/>
      <c r="E120" s="57">
        <f>G119 - G117</f>
        <v/>
      </c>
      <c r="F120" s="72">
        <f>Factor_GST</f>
        <v/>
      </c>
      <c r="G120" s="73">
        <f>IF(B120="YES", ROUND(E120 * F120, 2), 0)</f>
        <v/>
      </c>
      <c r="H120" s="24" t="inlineStr">
        <is>
          <t>CPWD DAR 2019 works contract multiplying factor 0.1405, net of A.</t>
        </is>
      </c>
      <c r="I120" s="60" t="n"/>
    </row>
    <row r="121" ht="22" customHeight="1">
      <c r="A121" s="2" t="inlineStr">
        <is>
          <t>Y</t>
        </is>
      </c>
      <c r="B121" s="74" t="inlineStr">
        <is>
          <t>-</t>
        </is>
      </c>
      <c r="C121" s="75" t="inlineStr">
        <is>
          <t>Subtotal "Y" (X + GST)</t>
        </is>
      </c>
      <c r="D121" s="69" t="n"/>
      <c r="E121" s="69" t="n"/>
      <c r="F121" s="69" t="n"/>
      <c r="G121" s="47">
        <f>G119 + G120</f>
        <v/>
      </c>
      <c r="H121" s="71" t="inlineStr">
        <is>
          <t>Running compounded subtotal</t>
        </is>
      </c>
      <c r="I121" s="69" t="n"/>
    </row>
    <row r="122" ht="22" customHeight="1">
      <c r="A122" s="54" t="inlineStr">
        <is>
          <t>Z1</t>
        </is>
      </c>
      <c r="B122" s="61" t="inlineStr">
        <is>
          <t>YES</t>
        </is>
      </c>
      <c r="C122" s="20" t="inlineStr">
        <is>
          <t>Add Contractor Profit &amp; Overheads on (Y - A)</t>
        </is>
      </c>
      <c r="D122" s="60" t="n"/>
      <c r="E122" s="57">
        <f>G121 - G117</f>
        <v/>
      </c>
      <c r="F122" s="72">
        <f>Factor_CPOH</f>
        <v/>
      </c>
      <c r="G122" s="73">
        <f>IF(B122="YES", ROUND(E122 * F122, 2), 0)</f>
        <v/>
      </c>
      <c r="H122" s="24" t="inlineStr">
        <is>
          <t>Standard 15% CPOH, net of A.</t>
        </is>
      </c>
      <c r="I122" s="60" t="n"/>
    </row>
    <row r="123" ht="22" customHeight="1">
      <c r="A123" s="2" t="inlineStr">
        <is>
          <t>Z</t>
        </is>
      </c>
      <c r="B123" s="74" t="inlineStr">
        <is>
          <t>-</t>
        </is>
      </c>
      <c r="C123" s="75" t="inlineStr">
        <is>
          <t>Subtotal "Z" (Y + CPOH)</t>
        </is>
      </c>
      <c r="D123" s="69" t="n"/>
      <c r="E123" s="69" t="n"/>
      <c r="F123" s="69" t="n"/>
      <c r="G123" s="47">
        <f>G121 + G122</f>
        <v/>
      </c>
      <c r="H123" s="71" t="inlineStr">
        <is>
          <t>Running compounded subtotal</t>
        </is>
      </c>
      <c r="I123" s="69" t="n"/>
    </row>
    <row r="124" ht="22" customHeight="1">
      <c r="A124" s="54" t="inlineStr">
        <is>
          <t>Z2</t>
        </is>
      </c>
      <c r="B124" s="61" t="inlineStr">
        <is>
          <t>YES</t>
        </is>
      </c>
      <c r="C124" s="20" t="inlineStr">
        <is>
          <t>Add BOCW Welfare Cess on (Z - A)</t>
        </is>
      </c>
      <c r="D124" s="60" t="n"/>
      <c r="E124" s="57">
        <f>G123 - G117</f>
        <v/>
      </c>
      <c r="F124" s="72">
        <f>Factor_Cess</f>
        <v/>
      </c>
      <c r="G124" s="73">
        <f>IF(B124="YES", ROUND(E124 * F124, 2), 0)</f>
        <v/>
      </c>
      <c r="H124" s="24" t="inlineStr">
        <is>
          <t>Statutory 1% BOCW Welfare Cess, net of A.</t>
        </is>
      </c>
      <c r="I124" s="60" t="n"/>
    </row>
    <row r="125">
      <c r="A125" s="76" t="inlineStr">
        <is>
          <t>Cost of 10.00 metre:</t>
        </is>
      </c>
      <c r="B125" s="77" t="n"/>
      <c r="C125" s="77" t="n"/>
      <c r="D125" s="77" t="n"/>
      <c r="E125" s="77" t="n"/>
      <c r="F125" s="77" t="n"/>
      <c r="G125" s="78">
        <f>ROUND(G123 + G124, 2)</f>
        <v/>
      </c>
      <c r="H125" s="77" t="n"/>
      <c r="I125" s="77" t="n"/>
    </row>
    <row r="126" ht="30" customHeight="1">
      <c r="A126" s="79" t="inlineStr">
        <is>
          <t>RESOLVED RATE per 1.00 metre  (SAY):</t>
        </is>
      </c>
      <c r="B126" s="80" t="n"/>
      <c r="C126" s="80" t="n"/>
      <c r="D126" s="80" t="n"/>
      <c r="E126" s="80" t="n"/>
      <c r="F126" s="80" t="n"/>
      <c r="G126" s="58">
        <f>MROUND(G125 / 10.0, 0.05)</f>
        <v/>
      </c>
      <c r="H126" s="81" t="inlineStr">
        <is>
          <t>CPWD DAR 2019 printed Say rate for this item = Rs 154.15 per metre. Rounded with MROUND(x, 0.05) because CPWD quotes every Say rate to the nearest 5 paise. Any difference means a Rates_Master rate has been edited away from the 2019 base.</t>
        </is>
      </c>
      <c r="I126" s="80"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0"/>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0" t="inlineStr">
        <is>
          <t>CPWD DAR 2019 — SUB-HEAD 01: CARRIAGE OF MATERIALS (ANALYTICAL SIMULATOR &amp; BENCHMARKS)</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ht="8" customHeight="1"/>
    <row r="8" ht="24" customHeight="1">
      <c r="A8" s="32" t="inlineStr">
        <is>
          <t>PANEL 1 - SCOPE &amp; SPECIFICATION  (what is being moved, and under what contract scope)</t>
        </is>
      </c>
    </row>
    <row r="9" ht="26" customHeight="1">
      <c r="A9" s="1" t="inlineStr">
        <is>
          <t>Parameter</t>
        </is>
      </c>
      <c r="B9" s="1" t="inlineStr">
        <is>
          <t>Value</t>
        </is>
      </c>
      <c r="C9" s="1" t="inlineStr">
        <is>
          <t>Unit</t>
        </is>
      </c>
      <c r="D9" s="1" t="inlineStr">
        <is>
          <t>Cell Role</t>
        </is>
      </c>
      <c r="E9" s="1" t="inlineStr">
        <is>
          <t>Where this value comes from, and the CPWD DAR 2019 basis for it</t>
        </is>
      </c>
      <c r="F9" s="85" t="n"/>
      <c r="G9" s="85" t="n"/>
      <c r="H9" s="85" t="n"/>
      <c r="I9" s="86" t="n"/>
    </row>
    <row r="10" ht="30" customHeight="1">
      <c r="A10" s="87" t="inlineStr">
        <is>
          <t>Custom item code</t>
        </is>
      </c>
      <c r="B10" s="61" t="inlineStr">
        <is>
          <t>1.1.CUSTOM</t>
        </is>
      </c>
      <c r="C10" s="28" t="inlineStr">
        <is>
          <t>-</t>
        </is>
      </c>
      <c r="D10" s="51" t="inlineStr">
        <is>
          <t>INPUT</t>
        </is>
      </c>
      <c r="E10" s="24" t="inlineStr">
        <is>
          <t>Your reference for this analysis. Pick a DAR item number from the dropdown to base it on a printed item, or type your own code for a genuinely non-DSR item.</t>
        </is>
      </c>
      <c r="F10" s="60" t="n"/>
      <c r="G10" s="60" t="n"/>
      <c r="H10" s="60" t="n"/>
      <c r="I10" s="60" t="n"/>
    </row>
    <row r="11" ht="30" customHeight="1">
      <c r="A11" s="87" t="inlineStr">
        <is>
          <t>Material commodity</t>
        </is>
      </c>
      <c r="B11" s="88" t="inlineStr">
        <is>
          <t>R.C.C. / C.I. / steel pipes 1000, 1100 &amp; 1200 mm dia</t>
        </is>
      </c>
      <c r="C11" s="28" t="inlineStr">
        <is>
          <t>-</t>
        </is>
      </c>
      <c r="D11" s="51" t="inlineStr">
        <is>
          <t>INPUT</t>
        </is>
      </c>
      <c r="E11" s="24" t="inlineStr">
        <is>
          <t>DRIVES COST. Sets the truck payload, the net payable quantity and the billing unit, all looked up from Table 1.1 below. Choose from the dropdown so the lookups resolve.</t>
        </is>
      </c>
      <c r="F11" s="60" t="n"/>
      <c r="G11" s="60" t="n"/>
      <c r="H11" s="60" t="n"/>
      <c r="I11" s="60" t="n"/>
    </row>
    <row r="12" ht="30" customHeight="1">
      <c r="A12" s="87" t="inlineStr">
        <is>
          <t>Handling scope</t>
        </is>
      </c>
      <c r="B12" s="88" t="inlineStr">
        <is>
          <t>including loading, transporting, unloading and stacking</t>
        </is>
      </c>
      <c r="C12" s="28" t="inlineStr">
        <is>
          <t>-</t>
        </is>
      </c>
      <c r="D12" s="51" t="inlineStr">
        <is>
          <t>INPUT</t>
        </is>
      </c>
      <c r="E12" s="24" t="inlineStr">
        <is>
          <t>DRIVES COST. Sets the Beldar gang on the resource schedule below: 6 for full turnkey handling, 5 without stacking, 3 when machine-loaded, 3.75 at a railway siding, 0 for pure haulage. See the scope table at the bottom of this sheet.</t>
        </is>
      </c>
      <c r="F12" s="60" t="n"/>
      <c r="G12" s="60" t="n"/>
      <c r="H12" s="60" t="n"/>
      <c r="I12" s="60" t="n"/>
    </row>
    <row r="13" ht="30" customHeight="1">
      <c r="A13" s="87" t="inlineStr">
        <is>
          <t>Lift condition</t>
        </is>
      </c>
      <c r="B13" s="61" t="inlineStr">
        <is>
          <t>for all lifts</t>
        </is>
      </c>
      <c r="C13" s="28" t="inlineStr">
        <is>
          <t>-</t>
        </is>
      </c>
      <c r="D13" s="51" t="inlineStr">
        <is>
          <t>INPUT</t>
        </is>
      </c>
      <c r="E13" s="24" t="inlineStr">
        <is>
          <t>NOMENCLATURE ONLY. The DAR quotes one carriage rate whatever the lift, so this changes the wording of the item and nothing in the cost.</t>
        </is>
      </c>
      <c r="F13" s="60" t="n"/>
      <c r="G13" s="60" t="n"/>
      <c r="H13" s="60" t="n"/>
      <c r="I13" s="60" t="n"/>
    </row>
    <row r="14" ht="30" customHeight="1">
      <c r="A14" s="87" t="inlineStr">
        <is>
          <t>Municipal gate / tipping fee</t>
        </is>
      </c>
      <c r="B14" s="89" t="n">
        <v>0</v>
      </c>
      <c r="C14" s="28" t="inlineStr">
        <is>
          <t>Rs per billing unit</t>
        </is>
      </c>
      <c r="D14" s="51" t="inlineStr">
        <is>
          <t>INPUT</t>
        </is>
      </c>
      <c r="E14" s="24" t="inlineStr">
        <is>
          <t>USER-SUPPLIED COST. The DAR carries no tipping or gate fee anywhere in Sub-Head 01, so there is no figure to look up. It is added AFTER the markup chain and is therefore NOT subject to the 15% CPOH - it is a reimbursable disbursement, not contractor cost.</t>
        </is>
      </c>
      <c r="F14" s="60" t="n"/>
      <c r="G14" s="60" t="n"/>
      <c r="H14" s="60" t="n"/>
      <c r="I14" s="60" t="n"/>
    </row>
    <row r="15" ht="30" customHeight="1">
      <c r="A15" s="87" t="inlineStr">
        <is>
          <t>Nomenclature override</t>
        </is>
      </c>
      <c r="B15" s="90" t="n"/>
      <c r="C15" s="28" t="inlineStr">
        <is>
          <t>-</t>
        </is>
      </c>
      <c r="D15" s="84" t="inlineStr">
        <is>
          <t>OVERRIDE</t>
        </is>
      </c>
      <c r="E15" s="24" t="inlineStr">
        <is>
          <t>Leave blank and the item description below writes itself from your Panel 1 choices. Type here only when you want to word the item yourself.</t>
        </is>
      </c>
      <c r="F15" s="60" t="n"/>
      <c r="G15" s="60" t="n"/>
      <c r="H15" s="60" t="n"/>
      <c r="I15" s="60" t="n"/>
    </row>
    <row r="16" ht="40" customHeight="1">
      <c r="A16" s="16" t="inlineStr">
        <is>
          <t>Assembled item nomenclature</t>
        </is>
      </c>
      <c r="B16" s="91">
        <f>IF(B15&lt;&gt;"", B15, "Carriage of " &amp; B11 &amp; " by mechanical transport " &amp; B12 &amp; " for lead upto " &amp; TEXT(B20, "0.00") &amp; " km " &amp; B13 &amp; IF(B14&gt;0, ", including municipal tipping / gate fee of Rs " &amp; TEXT(B14, "0.00") &amp; " per " &amp; B41, "") &amp; ", complete as per directions of Engineer-in-charge.")</f>
        <v/>
      </c>
      <c r="C16" s="60" t="n"/>
      <c r="D16" s="60" t="n"/>
      <c r="E16" s="60" t="n"/>
      <c r="F16" s="60" t="n"/>
      <c r="G16" s="60" t="n"/>
      <c r="H16" s="60" t="n"/>
      <c r="I16" s="60" t="n"/>
    </row>
    <row r="17" ht="8" customHeight="1"/>
    <row r="18" ht="24" customHeight="1">
      <c r="A18" s="32" t="inlineStr">
        <is>
          <t>PANEL 2 - ROUTE &amp; TRIP DYNAMICS  (how far, how fast, how many trips a shift)</t>
        </is>
      </c>
    </row>
    <row r="19" ht="26" customHeight="1">
      <c r="A19" s="1" t="inlineStr">
        <is>
          <t>Parameter</t>
        </is>
      </c>
      <c r="B19" s="1" t="inlineStr">
        <is>
          <t>Value</t>
        </is>
      </c>
      <c r="C19" s="1" t="inlineStr">
        <is>
          <t>Unit</t>
        </is>
      </c>
      <c r="D19" s="1" t="inlineStr">
        <is>
          <t>Cell Role</t>
        </is>
      </c>
      <c r="E19" s="1" t="inlineStr">
        <is>
          <t>Where this value comes from, and the CPWD DAR 2019 basis for it</t>
        </is>
      </c>
      <c r="F19" s="85" t="n"/>
      <c r="G19" s="85" t="n"/>
      <c r="H19" s="85" t="n"/>
      <c r="I19" s="86" t="n"/>
    </row>
    <row r="20" ht="30" customHeight="1">
      <c r="A20" s="87" t="inlineStr">
        <is>
          <t>Lead distance (L)</t>
        </is>
      </c>
      <c r="B20" s="92" t="n">
        <v>26</v>
      </c>
      <c r="C20" s="28" t="inlineStr">
        <is>
          <t>km</t>
        </is>
      </c>
      <c r="D20" s="51" t="inlineStr">
        <is>
          <t>INPUT</t>
        </is>
      </c>
      <c r="E20" s="24" t="inlineStr">
        <is>
          <t>DRIVES COST. One-way haul distance. Everything below - speed, trips, fuel - follows from it.</t>
        </is>
      </c>
      <c r="F20" s="60" t="n"/>
      <c r="G20" s="60" t="n"/>
      <c r="H20" s="60" t="n"/>
      <c r="I20" s="60" t="n"/>
    </row>
    <row r="21" ht="30" customHeight="1">
      <c r="A21" s="87" t="inlineStr">
        <is>
          <t>Benchmark average speed at this lead</t>
        </is>
      </c>
      <c r="B21" s="93">
        <f>IFERROR(INDEX($B$103:$B$132, MATCH(B20, $A$103:$A$132, 1)), 16)</f>
        <v/>
      </c>
      <c r="C21" s="28" t="inlineStr">
        <is>
          <t>km/h</t>
        </is>
      </c>
      <c r="D21" s="35" t="inlineStr">
        <is>
          <t>LOOKUP</t>
        </is>
      </c>
      <c r="E21" s="24" t="inlineStr">
        <is>
          <t>Read off CPWD Data Sheet No. 1 (section 5A below) for the lead above: 16 km/h at 1 km rising to 31 km/h at 30 km. Beyond 30 km the last tabulated row is used.</t>
        </is>
      </c>
      <c r="F21" s="60" t="n"/>
      <c r="G21" s="60" t="n"/>
      <c r="H21" s="60" t="n"/>
      <c r="I21" s="60" t="n"/>
    </row>
    <row r="22" ht="30" customHeight="1">
      <c r="A22" s="87" t="inlineStr">
        <is>
          <t>Speed override</t>
        </is>
      </c>
      <c r="B22" s="94" t="n"/>
      <c r="C22" s="28" t="inlineStr">
        <is>
          <t>km/h</t>
        </is>
      </c>
      <c r="D22" s="84" t="inlineStr">
        <is>
          <t>OVERRIDE</t>
        </is>
      </c>
      <c r="E22" s="24" t="inlineStr">
        <is>
          <t>Leave blank to use the Data Sheet 1 benchmark above. Fill it in only when site conditions genuinely differ, and record why - departing from the benchmark is what makes a rate non-DSR.</t>
        </is>
      </c>
      <c r="F22" s="60" t="n"/>
      <c r="G22" s="60" t="n"/>
      <c r="H22" s="60" t="n"/>
      <c r="I22" s="60" t="n"/>
    </row>
    <row r="23" ht="30" customHeight="1">
      <c r="A23" s="87" t="inlineStr">
        <is>
          <t>Effective average speed (S)</t>
        </is>
      </c>
      <c r="B23" s="95">
        <f>IF(B22&lt;&gt;"", B22, B21)</f>
        <v/>
      </c>
      <c r="C23" s="28" t="inlineStr">
        <is>
          <t>km/h</t>
        </is>
      </c>
      <c r="D23" s="6" t="inlineStr">
        <is>
          <t>DERIVED</t>
        </is>
      </c>
      <c r="E23" s="24" t="inlineStr">
        <is>
          <t>The override if you gave one, otherwise the benchmark. This is the S used in the trips formula.</t>
        </is>
      </c>
      <c r="F23" s="60" t="n"/>
      <c r="G23" s="60" t="n"/>
      <c r="H23" s="60" t="n"/>
      <c r="I23" s="60" t="n"/>
    </row>
    <row r="24" ht="30" customHeight="1">
      <c r="A24" s="87" t="inlineStr">
        <is>
          <t>Turnaround time (T)</t>
        </is>
      </c>
      <c r="B24" s="92" t="n">
        <v>1</v>
      </c>
      <c r="C24" s="28" t="inlineStr">
        <is>
          <t>hours per trip</t>
        </is>
      </c>
      <c r="D24" s="51" t="inlineStr">
        <is>
          <t>INPUT</t>
        </is>
      </c>
      <c r="E24" s="24" t="inlineStr">
        <is>
          <t>Loading plus unloading plus waiting per round trip. CPWD Data Sheet 1 uses 1.00 hour.</t>
        </is>
      </c>
      <c r="F24" s="60" t="n"/>
      <c r="G24" s="60" t="n"/>
      <c r="H24" s="60" t="n"/>
      <c r="I24" s="60" t="n"/>
    </row>
    <row r="25" ht="30" customHeight="1">
      <c r="A25" s="87" t="inlineStr">
        <is>
          <t>Operational mode</t>
        </is>
      </c>
      <c r="B25" s="61" t="inlineStr">
        <is>
          <t>STANDARD (DAYTIME)</t>
        </is>
      </c>
      <c r="C25" s="28" t="inlineStr">
        <is>
          <t>-</t>
        </is>
      </c>
      <c r="D25" s="51" t="inlineStr">
        <is>
          <t>INPUT</t>
        </is>
      </c>
      <c r="E25" s="24"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25" s="60" t="n"/>
      <c r="G25" s="60" t="n"/>
      <c r="H25" s="60" t="n"/>
      <c r="I25" s="60" t="n"/>
    </row>
    <row r="26" ht="30" customHeight="1">
      <c r="A26" s="87" t="inlineStr">
        <is>
          <t>Trip count basis</t>
        </is>
      </c>
      <c r="B26" s="88" t="inlineStr">
        <is>
          <t>CPWD FRACTIONAL (Data Sheet 1 basis)</t>
        </is>
      </c>
      <c r="C26" s="28" t="inlineStr">
        <is>
          <t>-</t>
        </is>
      </c>
      <c r="D26" s="51" t="inlineStr">
        <is>
          <t>INPUT</t>
        </is>
      </c>
      <c r="E26" s="24"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26" s="60" t="n"/>
      <c r="G26" s="60" t="n"/>
      <c r="H26" s="60" t="n"/>
      <c r="I26" s="60" t="n"/>
    </row>
    <row r="27" ht="30" customHeight="1">
      <c r="A27" s="87" t="inlineStr">
        <is>
          <t>Trips override</t>
        </is>
      </c>
      <c r="B27" s="96" t="n"/>
      <c r="C27" s="28" t="inlineStr">
        <is>
          <t>trips per shift</t>
        </is>
      </c>
      <c r="D27" s="84" t="inlineStr">
        <is>
          <t>OVERRIDE</t>
        </is>
      </c>
      <c r="E27" s="24" t="inlineStr">
        <is>
          <t>Leave blank to use the calculated trips below. Fill it in to force a trip count - this is how a restricted-hours item is priced. It is honoured in any mode.</t>
        </is>
      </c>
      <c r="F27" s="60" t="n"/>
      <c r="G27" s="60" t="n"/>
      <c r="H27" s="60" t="n"/>
      <c r="I27" s="60" t="n"/>
    </row>
    <row r="28" ht="30" customHeight="1">
      <c r="A28" s="87" t="inlineStr">
        <is>
          <t>Daily trips achieved (N)</t>
        </is>
      </c>
      <c r="B28" s="97">
        <f>IF(B27&lt;&gt;"", B27, IF(B26="WHOLE TRIPS (round down to integer)", IFERROR(INT(8 / ((2 * B20 / B23) + B24)), 0), IFERROR(ROUND(8 / ((2 * B20 / B23) + B24), 2), 0)))</f>
        <v/>
      </c>
      <c r="C28" s="28" t="inlineStr">
        <is>
          <t>trips per shift</t>
        </is>
      </c>
      <c r="D28" s="6" t="inlineStr">
        <is>
          <t>DERIVED</t>
        </is>
      </c>
      <c r="E28" s="24" t="inlineStr">
        <is>
          <t>N = 8 / ((2L / S) + T) - an 8-hour shift divided by one round trip. The Trips override wins if it is filled; otherwise the Trip count basis decides whether the result keeps its decimals (CPWD) or is rounded down to a whole trip.</t>
        </is>
      </c>
      <c r="F28" s="60" t="n"/>
      <c r="G28" s="60" t="n"/>
      <c r="H28" s="60" t="n"/>
      <c r="I28" s="60" t="n"/>
    </row>
    <row r="29" ht="30" customHeight="1">
      <c r="A29" s="87" t="inlineStr">
        <is>
          <t>Distance / fuel basis</t>
        </is>
      </c>
      <c r="B29" s="61" t="inlineStr">
        <is>
          <t>DIRECT ROUTE (2NL + 6)</t>
        </is>
      </c>
      <c r="C29" s="28" t="inlineStr">
        <is>
          <t>-</t>
        </is>
      </c>
      <c r="D29" s="51" t="inlineStr">
        <is>
          <t>INPUT</t>
        </is>
      </c>
      <c r="E29" s="24"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29" s="60" t="n"/>
      <c r="G29" s="60" t="n"/>
      <c r="H29" s="60" t="n"/>
      <c r="I29" s="60" t="n"/>
    </row>
    <row r="30" ht="30" customHeight="1">
      <c r="A30" s="87" t="inlineStr">
        <is>
          <t>Distance travelled per shift</t>
        </is>
      </c>
      <c r="B30" s="97">
        <f>IF(B29="CPWD PRO-RATA (Data Sheet 1)", IFERROR(ROUND(INDEX($D$103:$D$132, MATCH(B20, $A$103:$A$132, 1)) * (B28 / INDEX($C$103:$C$132, MATCH(B20, $A$103:$A$132, 1))), 2), 0), IFERROR(ROUND((2 * B28 * B20) + 6, 2), 0))</f>
        <v/>
      </c>
      <c r="C30" s="28" t="inlineStr">
        <is>
          <t>km</t>
        </is>
      </c>
      <c r="D30" s="6" t="inlineStr">
        <is>
          <t>DERIVED</t>
        </is>
      </c>
      <c r="E30" s="24" t="inlineStr">
        <is>
          <t>Follows the basis selected above.</t>
        </is>
      </c>
      <c r="F30" s="60" t="n"/>
      <c r="G30" s="60" t="n"/>
      <c r="H30" s="60" t="n"/>
      <c r="I30" s="60" t="n"/>
    </row>
    <row r="31" ht="30" customHeight="1">
      <c r="A31" s="87" t="inlineStr">
        <is>
          <t>Diesel consumed per shift</t>
        </is>
      </c>
      <c r="B31" s="97">
        <f>ROUND(B30 / 5, 2)</f>
        <v/>
      </c>
      <c r="C31" s="28" t="inlineStr">
        <is>
          <t>litres</t>
        </is>
      </c>
      <c r="D31" s="6" t="inlineStr">
        <is>
          <t>DERIVED</t>
        </is>
      </c>
      <c r="E31" s="24" t="inlineStr">
        <is>
          <t>CPWD Note 3: distance travelled / 5.0 km per litre.</t>
        </is>
      </c>
      <c r="F31" s="60" t="n"/>
      <c r="G31" s="60" t="n"/>
      <c r="H31" s="60" t="n"/>
      <c r="I31" s="60" t="n"/>
    </row>
    <row r="32" ht="30" customHeight="1">
      <c r="A32" s="87" t="inlineStr">
        <is>
          <t>Mobil oil consumed per shift</t>
        </is>
      </c>
      <c r="B32" s="98">
        <f>ROUND(B30 / 140, 3)</f>
        <v/>
      </c>
      <c r="C32" s="28" t="inlineStr">
        <is>
          <t>litres</t>
        </is>
      </c>
      <c r="D32" s="6" t="inlineStr">
        <is>
          <t>DERIVED</t>
        </is>
      </c>
      <c r="E32" s="24" t="inlineStr">
        <is>
          <t>CPWD Note 4: distance travelled / 140.0 km per litre.</t>
        </is>
      </c>
      <c r="F32" s="60" t="n"/>
      <c r="G32" s="60" t="n"/>
      <c r="H32" s="60" t="n"/>
      <c r="I32" s="60" t="n"/>
    </row>
    <row r="33" ht="8" customHeight="1"/>
    <row r="34" ht="24" customHeight="1">
      <c r="A34" s="32" t="inlineStr">
        <is>
          <t>PANEL 3 - PAYLOAD &amp; BILLING BASIS  (how much is actually paid for per trip)</t>
        </is>
      </c>
    </row>
    <row r="35" ht="26" customHeight="1">
      <c r="A35" s="1" t="inlineStr">
        <is>
          <t>Parameter</t>
        </is>
      </c>
      <c r="B35" s="1" t="inlineStr">
        <is>
          <t>Value</t>
        </is>
      </c>
      <c r="C35" s="1" t="inlineStr">
        <is>
          <t>Unit</t>
        </is>
      </c>
      <c r="D35" s="1" t="inlineStr">
        <is>
          <t>Cell Role</t>
        </is>
      </c>
      <c r="E35" s="1" t="inlineStr">
        <is>
          <t>Where this value comes from, and the CPWD DAR 2019 basis for it</t>
        </is>
      </c>
      <c r="F35" s="85" t="n"/>
      <c r="G35" s="85" t="n"/>
      <c r="H35" s="85" t="n"/>
      <c r="I35" s="86" t="n"/>
    </row>
    <row r="36" ht="30" customHeight="1">
      <c r="A36" s="87" t="inlineStr">
        <is>
          <t>Table 1.1 row for this material</t>
        </is>
      </c>
      <c r="B36" s="99">
        <f>IFERROR(MATCH(B11, $B$137:$B$173, 0), "")</f>
        <v/>
      </c>
      <c r="C36" s="28" t="inlineStr">
        <is>
          <t>row index</t>
        </is>
      </c>
      <c r="D36" s="6" t="inlineStr">
        <is>
          <t>DERIVED</t>
        </is>
      </c>
      <c r="E36" s="24" t="inlineStr">
        <is>
          <t>Which row of Table 1.1 (section 5B) the material commodity matches. Everything below, and the published DAR rate in Section 2, reads that row. Shows #N/A if the material is not one of the book's - use the overrides in that case.</t>
        </is>
      </c>
      <c r="F36" s="60" t="n"/>
      <c r="G36" s="60" t="n"/>
      <c r="H36" s="60" t="n"/>
      <c r="I36" s="60" t="n"/>
    </row>
    <row r="37" ht="30" customHeight="1">
      <c r="A37" s="87" t="inlineStr">
        <is>
          <t>Gross truck payload per trip</t>
        </is>
      </c>
      <c r="B37" s="100">
        <f>IFERROR(INDEX($C$137:$C$173, B36), "")</f>
        <v/>
      </c>
      <c r="C37" s="28" t="inlineStr">
        <is>
          <t>per Table 1.1</t>
        </is>
      </c>
      <c r="D37" s="35" t="inlineStr">
        <is>
          <t>LOOKUP</t>
        </is>
      </c>
      <c r="E37" s="24" t="inlineStr">
        <is>
          <t>What physically goes on the truck, from Table 1.1 below. Shown for information only - it is NOT what the rate is divided by.</t>
        </is>
      </c>
      <c r="F37" s="60" t="n"/>
      <c r="G37" s="60" t="n"/>
      <c r="H37" s="60" t="n"/>
      <c r="I37" s="60" t="n"/>
    </row>
    <row r="38" ht="30" customHeight="1">
      <c r="A38" s="87" t="inlineStr">
        <is>
          <t>Net payable quantity per trip</t>
        </is>
      </c>
      <c r="B38" s="100">
        <f>IFERROR(INDEX($D$137:$D$173, B36), "")</f>
        <v/>
      </c>
      <c r="C38" s="28" t="inlineStr">
        <is>
          <t>per Table 1.1</t>
        </is>
      </c>
      <c r="D38" s="35" t="inlineStr">
        <is>
          <t>LOOKUP</t>
        </is>
      </c>
      <c r="E38" s="24" t="inlineStr">
        <is>
          <t>THIS is the divisor CPWD uses. Loose materials are paid on a reduced quantity: earth less 20%, excavated rock less 50%, soling stone less 15%, 40 mm aggregate and manure less 8%. Using the gross payload instead understates the rate by that percentage.</t>
        </is>
      </c>
      <c r="F38" s="60" t="n"/>
      <c r="G38" s="60" t="n"/>
      <c r="H38" s="60" t="n"/>
      <c r="I38" s="60" t="n"/>
    </row>
    <row r="39" ht="30" customHeight="1">
      <c r="A39" s="87" t="inlineStr">
        <is>
          <t>Payable quantity override</t>
        </is>
      </c>
      <c r="B39" s="96" t="n"/>
      <c r="C39" s="28" t="inlineStr">
        <is>
          <t>per Table 1.1</t>
        </is>
      </c>
      <c r="D39" s="84" t="inlineStr">
        <is>
          <t>OVERRIDE</t>
        </is>
      </c>
      <c r="E39" s="24" t="inlineStr">
        <is>
          <t>Leave blank to use the net payable quantity above. Fill it in for a material that is not in Table 1.1, or when a site measurement justifies a different figure.</t>
        </is>
      </c>
      <c r="F39" s="60" t="n"/>
      <c r="G39" s="60" t="n"/>
      <c r="H39" s="60" t="n"/>
      <c r="I39" s="60" t="n"/>
    </row>
    <row r="40" ht="30" customHeight="1">
      <c r="A40" s="87" t="inlineStr">
        <is>
          <t>Effective payable quantity per trip</t>
        </is>
      </c>
      <c r="B40" s="97">
        <f>IF(B39&lt;&gt;"", B39, IF(B38="", 0, B38))</f>
        <v/>
      </c>
      <c r="C40" s="28" t="inlineStr">
        <is>
          <t>per Table 1.1</t>
        </is>
      </c>
      <c r="D40" s="6" t="inlineStr">
        <is>
          <t>DERIVED</t>
        </is>
      </c>
      <c r="E40" s="24" t="inlineStr">
        <is>
          <t>The override if given, otherwise the net payable quantity.</t>
        </is>
      </c>
      <c r="F40" s="60" t="n"/>
      <c r="G40" s="60" t="n"/>
      <c r="H40" s="60" t="n"/>
      <c r="I40" s="60" t="n"/>
    </row>
    <row r="41" ht="30" customHeight="1">
      <c r="A41" s="87" t="inlineStr">
        <is>
          <t>Schedule billing unit</t>
        </is>
      </c>
      <c r="B41" s="35">
        <f>IFERROR(INDEX($E$137:$E$173, B36), "cum")</f>
        <v/>
      </c>
      <c r="C41" s="28" t="inlineStr">
        <is>
          <t>-</t>
        </is>
      </c>
      <c r="D41" s="35" t="inlineStr">
        <is>
          <t>LOOKUP</t>
        </is>
      </c>
      <c r="E41" s="24" t="inlineStr">
        <is>
          <t>The unit the DAR bills this material in, from Table 1.1. Bulk materials in cum, cement and steel in tonne, bricks per 1000 Nos, pipes per 100 m.</t>
        </is>
      </c>
      <c r="F41" s="60" t="n"/>
      <c r="G41" s="60" t="n"/>
      <c r="H41" s="60" t="n"/>
      <c r="I41" s="60" t="n"/>
    </row>
    <row r="42" ht="30" customHeight="1">
      <c r="A42" s="87" t="inlineStr">
        <is>
          <t>Schedule unit scale factor</t>
        </is>
      </c>
      <c r="B42" s="99">
        <f>IF(B41="1000 Nos", 1000, IF(B41="100 m", 100, 1))</f>
        <v/>
      </c>
      <c r="C42" s="28" t="inlineStr">
        <is>
          <t>multiplier</t>
        </is>
      </c>
      <c r="D42" s="6" t="inlineStr">
        <is>
          <t>DERIVED</t>
        </is>
      </c>
      <c r="E42" s="24" t="inlineStr">
        <is>
          <t>The rate is first derived per single unit (per cum, per metre, per brick) and then multiplied by this factor to reach the schedule unit: 1000 for "1000 Nos", 100 for "100 m", otherwise 1.</t>
        </is>
      </c>
      <c r="F42" s="60" t="n"/>
      <c r="G42" s="60" t="n"/>
      <c r="H42" s="60" t="n"/>
      <c r="I42" s="60" t="n"/>
    </row>
    <row r="43" ht="30" customHeight="1">
      <c r="A43" s="87" t="inlineStr">
        <is>
          <t>Total payable output per shift</t>
        </is>
      </c>
      <c r="B43" s="101">
        <f>ROUND(B28 * B40, 4)</f>
        <v/>
      </c>
      <c r="C43" s="28" t="inlineStr">
        <is>
          <t>per Table 1.1</t>
        </is>
      </c>
      <c r="D43" s="30" t="inlineStr">
        <is>
          <t>RESULT</t>
        </is>
      </c>
      <c r="E43" s="24" t="inlineStr">
        <is>
          <t>Trips x effective payable quantity. This is what the shift cost is divided by.</t>
        </is>
      </c>
      <c r="F43" s="60" t="n"/>
      <c r="G43" s="60" t="n"/>
      <c r="H43" s="60" t="n"/>
      <c r="I43" s="60" t="n"/>
    </row>
    <row r="44" ht="8" customHeight="1"/>
    <row r="45" ht="22" customHeight="1">
      <c r="A45" s="102" t="inlineStr">
        <is>
          <t>AUDIT STATUS:</t>
        </is>
      </c>
      <c r="B45" s="103">
        <f>IF(AND(D45="OK", F45="OK", H45="OK"), "[PASS] ALL CHECKS OK", "[ALERT] CHECKS FAILED")</f>
        <v/>
      </c>
      <c r="C45" s="104" t="inlineStr">
        <is>
          <t>Trips:</t>
        </is>
      </c>
      <c r="D45" s="54">
        <f>IF(B28&gt;0, "OK", "ERR: N&lt;=0")</f>
        <v/>
      </c>
      <c r="E45" s="104" t="inlineStr">
        <is>
          <t>Payable output:</t>
        </is>
      </c>
      <c r="F45" s="54">
        <f>IF(B43&gt;0, "OK", "ERR: no payable qty - pick a Table 1.1 material or set the override")</f>
        <v/>
      </c>
      <c r="G45" s="104" t="inlineStr">
        <is>
          <t>Direct cost:</t>
        </is>
      </c>
      <c r="H45" s="54">
        <f>IF(G57&gt;0, "OK", "ERR: W&lt;=0")</f>
        <v/>
      </c>
      <c r="I45" s="54">
        <f>IF(NOT(AND(ISNUMBER(G76), G76&gt;0)), "ERR: rate not resolved", IF(G75="", "n/a - custom material", IF(ABS(G75)&lt;0.05, "matches book exactly", IF(ABS(G75)/G74&lt;=0.02, "within book band tolerance", "CHECK: over 2% from book"))))</f>
        <v/>
      </c>
    </row>
    <row r="46" ht="8" customHeight="1"/>
    <row r="47" ht="24" customHeight="1">
      <c r="A47" s="32" t="inlineStr">
        <is>
          <t>SECTION 1 - MECHANICAL TRANSPORT RESOURCE SCHEDULE FOR ONE 8-HOUR SHIFT  (truck hire + labour gang + fuel)</t>
        </is>
      </c>
    </row>
    <row r="48" ht="24" customHeight="1">
      <c r="A48" s="1" t="inlineStr">
        <is>
          <t>Line</t>
        </is>
      </c>
      <c r="B48" s="1" t="inlineStr">
        <is>
          <t>Code / Source</t>
        </is>
      </c>
      <c r="C48" s="1" t="inlineStr">
        <is>
          <t>Resource / Fuel Description</t>
        </is>
      </c>
      <c r="D48" s="1" t="inlineStr">
        <is>
          <t>Unit</t>
        </is>
      </c>
      <c r="E48" s="1" t="inlineStr">
        <is>
          <t>Quantity / Coeff</t>
        </is>
      </c>
      <c r="F48" s="1" t="inlineStr">
        <is>
          <t>Basic Rate (Rs)</t>
        </is>
      </c>
      <c r="G48" s="1" t="inlineStr">
        <is>
          <t>Amount (Rs)</t>
        </is>
      </c>
      <c r="H48" s="1" t="inlineStr">
        <is>
          <t>Source Reference / CPWD Note</t>
        </is>
      </c>
      <c r="I48" s="1" t="inlineStr">
        <is>
          <t>Cell Role</t>
        </is>
      </c>
    </row>
    <row r="49" ht="26" customHeight="1">
      <c r="A49" s="19" t="n">
        <v>1</v>
      </c>
      <c r="B49" s="61" t="inlineStr">
        <is>
          <t>0084</t>
        </is>
      </c>
      <c r="C49" s="62">
        <f>IF(B49="","", IFERROR(INDEX(Rates_Master!$C:$C, MATCH(B49, Rates_Master!$A:$A, 0)), "Code not in Rates_Master"))</f>
        <v/>
      </c>
      <c r="D49" s="63">
        <f>IF(B49="","", IFERROR(INDEX(Rates_Master!$D:$D, MATCH(B49, Rates_Master!$A:$A, 0)), ""))</f>
        <v/>
      </c>
      <c r="E49" s="105" t="n">
        <v>1</v>
      </c>
      <c r="F49" s="65">
        <f>IF(B49="","", IFERROR(INDEX(Rates_Master!$E:$E, MATCH(B49, Rates_Master!$A:$A, 0)), 0))</f>
        <v/>
      </c>
      <c r="G49" s="57">
        <f>IF(OR(B49="", E49=""), 0, ROUND(E49 * F49, 2))</f>
        <v/>
      </c>
      <c r="H49" s="24" t="inlineStr">
        <is>
          <t>CPWD Note 5: hire of a 9-tonne diesel truck for one 8-hour shift, excluding diesel and mobil oil (those are the two rows below).</t>
        </is>
      </c>
      <c r="I49" s="106" t="inlineStr">
        <is>
          <t>INPUT</t>
        </is>
      </c>
    </row>
    <row r="50" ht="26" customHeight="1">
      <c r="A50" s="19" t="n">
        <v>2</v>
      </c>
      <c r="B50" s="61" t="inlineStr">
        <is>
          <t>0114</t>
        </is>
      </c>
      <c r="C50" s="62">
        <f>IF(B50="","", IFERROR(INDEX(Rates_Master!$C:$C, MATCH(B50, Rates_Master!$A:$A, 0)), "Code not in Rates_Master"))</f>
        <v/>
      </c>
      <c r="D50" s="63">
        <f>IF(B50="","", IFERROR(INDEX(Rates_Master!$D:$D, MATCH(B50, Rates_Master!$A:$A, 0)), ""))</f>
        <v/>
      </c>
      <c r="E50" s="107">
        <f>IF(ISNUMBER(SEARCH("transporting only", B12)), 0, IF(ISNUMBER(SEARCH("machine loaded", B12)), 3, IF(ISNUMBER(SEARCH("excluding loading", B12)), 3, IF(ISNUMBER(SEARCH("railway siding", B12)), 3.75, IF(ISNUMBER(SEARCH("excluding stacking", B12)), 5, 6)))))</f>
        <v/>
      </c>
      <c r="F50" s="65">
        <f>IF(B50="","", IFERROR(INDEX(Rates_Master!$E:$E, MATCH(B50, Rates_Master!$A:$A, 0)), 0))</f>
        <v/>
      </c>
      <c r="G50" s="57">
        <f>IF(OR(B50="", E50=""), 0, ROUND(E50 * F50, 2))</f>
        <v/>
      </c>
      <c r="H50" s="24" t="inlineStr">
        <is>
          <t>Gang size follows the Handling Scope you chose in Panel 1: 6 turnkey / 5 no stacking / 3 machine-loaded / 3.75 railway siding / 0 haulage only. See section 5D below.</t>
        </is>
      </c>
      <c r="I50" s="108" t="inlineStr">
        <is>
          <t>DERIVED</t>
        </is>
      </c>
    </row>
    <row r="51" ht="26" customHeight="1">
      <c r="A51" s="19" t="n">
        <v>3</v>
      </c>
      <c r="B51" s="61" t="inlineStr">
        <is>
          <t>1235</t>
        </is>
      </c>
      <c r="C51" s="62">
        <f>IF(B51="","", IFERROR(INDEX(Rates_Master!$C:$C, MATCH(B51, Rates_Master!$A:$A, 0)), "Code not in Rates_Master"))</f>
        <v/>
      </c>
      <c r="D51" s="63">
        <f>IF(B51="","", IFERROR(INDEX(Rates_Master!$D:$D, MATCH(B51, Rates_Master!$A:$A, 0)), ""))</f>
        <v/>
      </c>
      <c r="E51" s="107">
        <f>B31</f>
        <v/>
      </c>
      <c r="F51" s="65">
        <f>IF(B51="","", IFERROR(INDEX(Rates_Master!$E:$E, MATCH(B51, Rates_Master!$A:$A, 0)), 0))</f>
        <v/>
      </c>
      <c r="G51" s="57">
        <f>IF(OR(B51="", E51=""), 0, ROUND(E51 * F51, 2))</f>
        <v/>
      </c>
      <c r="H51" s="24" t="inlineStr">
        <is>
          <t>CPWD Note 3: litres from Panel 2 (distance / 5.0 km per litre).</t>
        </is>
      </c>
      <c r="I51" s="108" t="inlineStr">
        <is>
          <t>DERIVED</t>
        </is>
      </c>
    </row>
    <row r="52" ht="26" customHeight="1">
      <c r="A52" s="19" t="n">
        <v>4</v>
      </c>
      <c r="B52" s="61" t="inlineStr">
        <is>
          <t>5001</t>
        </is>
      </c>
      <c r="C52" s="62">
        <f>IF(B52="","", IFERROR(INDEX(Rates_Master!$C:$C, MATCH(B52, Rates_Master!$A:$A, 0)), "Code not in Rates_Master"))</f>
        <v/>
      </c>
      <c r="D52" s="63">
        <f>IF(B52="","", IFERROR(INDEX(Rates_Master!$D:$D, MATCH(B52, Rates_Master!$A:$A, 0)), ""))</f>
        <v/>
      </c>
      <c r="E52" s="107">
        <f>B32</f>
        <v/>
      </c>
      <c r="F52" s="65">
        <f>IF(B52="","", IFERROR(INDEX(Rates_Master!$E:$E, MATCH(B52, Rates_Master!$A:$A, 0)), 0))</f>
        <v/>
      </c>
      <c r="G52" s="57">
        <f>IF(OR(B52="", E52=""), 0, ROUND(E52 * F52, 2))</f>
        <v/>
      </c>
      <c r="H52" s="24" t="inlineStr">
        <is>
          <t>CPWD Note 4: litres from Panel 2 (distance / 140.0 km per litre).</t>
        </is>
      </c>
      <c r="I52" s="108" t="inlineStr">
        <is>
          <t>DERIVED</t>
        </is>
      </c>
    </row>
    <row r="53" ht="26" customHeight="1">
      <c r="A53" s="19" t="n">
        <v>5</v>
      </c>
      <c r="B53" s="61" t="inlineStr"/>
      <c r="C53" s="62">
        <f>IF(B53="","", IFERROR(INDEX(Rates_Master!$C:$C, MATCH(B53, Rates_Master!$A:$A, 0)), "Code not in Rates_Master"))</f>
        <v/>
      </c>
      <c r="D53" s="63">
        <f>IF(B53="","", IFERROR(INDEX(Rates_Master!$D:$D, MATCH(B53, Rates_Master!$A:$A, 0)), ""))</f>
        <v/>
      </c>
      <c r="E53" s="105" t="n"/>
      <c r="F53" s="65">
        <f>IF(B53="","", IFERROR(INDEX(Rates_Master!$E:$E, MATCH(B53, Rates_Master!$A:$A, 0)), 0))</f>
        <v/>
      </c>
      <c r="G53" s="57">
        <f>IF(OR(B53="", E53=""), 0, ROUND(E53 * F53, 2))</f>
        <v/>
      </c>
      <c r="H53" s="24" t="inlineStr"/>
      <c r="I53" s="106" t="inlineStr">
        <is>
          <t>INPUT</t>
        </is>
      </c>
    </row>
    <row r="54" ht="26" customHeight="1">
      <c r="A54" s="19" t="n">
        <v>6</v>
      </c>
      <c r="B54" s="61" t="inlineStr"/>
      <c r="C54" s="62">
        <f>IF(B54="","", IFERROR(INDEX(Rates_Master!$C:$C, MATCH(B54, Rates_Master!$A:$A, 0)), "Code not in Rates_Master"))</f>
        <v/>
      </c>
      <c r="D54" s="63">
        <f>IF(B54="","", IFERROR(INDEX(Rates_Master!$D:$D, MATCH(B54, Rates_Master!$A:$A, 0)), ""))</f>
        <v/>
      </c>
      <c r="E54" s="105" t="n"/>
      <c r="F54" s="65">
        <f>IF(B54="","", IFERROR(INDEX(Rates_Master!$E:$E, MATCH(B54, Rates_Master!$A:$A, 0)), 0))</f>
        <v/>
      </c>
      <c r="G54" s="57">
        <f>IF(OR(B54="", E54=""), 0, ROUND(E54 * F54, 2))</f>
        <v/>
      </c>
      <c r="H54" s="24" t="inlineStr"/>
      <c r="I54" s="106" t="inlineStr">
        <is>
          <t>INPUT</t>
        </is>
      </c>
    </row>
    <row r="55" ht="26" customHeight="1">
      <c r="A55" s="19" t="n">
        <v>7</v>
      </c>
      <c r="B55" s="61" t="inlineStr"/>
      <c r="C55" s="62">
        <f>IF(B55="","", IFERROR(INDEX(Rates_Master!$C:$C, MATCH(B55, Rates_Master!$A:$A, 0)), "Code not in Rates_Master"))</f>
        <v/>
      </c>
      <c r="D55" s="63">
        <f>IF(B55="","", IFERROR(INDEX(Rates_Master!$D:$D, MATCH(B55, Rates_Master!$A:$A, 0)), ""))</f>
        <v/>
      </c>
      <c r="E55" s="105" t="n"/>
      <c r="F55" s="65">
        <f>IF(B55="","", IFERROR(INDEX(Rates_Master!$E:$E, MATCH(B55, Rates_Master!$A:$A, 0)), 0))</f>
        <v/>
      </c>
      <c r="G55" s="57">
        <f>IF(OR(B55="", E55=""), 0, ROUND(E55 * F55, 2))</f>
        <v/>
      </c>
      <c r="H55" s="24" t="inlineStr"/>
      <c r="I55" s="106" t="inlineStr">
        <is>
          <t>INPUT</t>
        </is>
      </c>
    </row>
    <row r="56" ht="26" customHeight="1">
      <c r="A56" s="19" t="n">
        <v>8</v>
      </c>
      <c r="B56" s="61" t="inlineStr"/>
      <c r="C56" s="62">
        <f>IF(B56="","", IFERROR(INDEX(Rates_Master!$C:$C, MATCH(B56, Rates_Master!$A:$A, 0)), "Code not in Rates_Master"))</f>
        <v/>
      </c>
      <c r="D56" s="63">
        <f>IF(B56="","", IFERROR(INDEX(Rates_Master!$D:$D, MATCH(B56, Rates_Master!$A:$A, 0)), ""))</f>
        <v/>
      </c>
      <c r="E56" s="105" t="n"/>
      <c r="F56" s="65">
        <f>IF(B56="","", IFERROR(INDEX(Rates_Master!$E:$E, MATCH(B56, Rates_Master!$A:$A, 0)), 0))</f>
        <v/>
      </c>
      <c r="G56" s="57">
        <f>IF(OR(B56="", E56=""), 0, ROUND(E56 * F56, 2))</f>
        <v/>
      </c>
      <c r="H56" s="24" t="inlineStr"/>
      <c r="I56" s="106" t="inlineStr">
        <is>
          <t>INPUT</t>
        </is>
      </c>
    </row>
    <row r="57" ht="24" customHeight="1">
      <c r="A57" s="109" t="inlineStr">
        <is>
          <t>Direct operating cost of one 8-hour shift, W (Rs):</t>
        </is>
      </c>
      <c r="B57" s="110" t="n"/>
      <c r="C57" s="110" t="n"/>
      <c r="D57" s="110" t="n"/>
      <c r="E57" s="110" t="n"/>
      <c r="F57" s="110" t="n"/>
      <c r="G57" s="111">
        <f>SUM(G49:G56)</f>
        <v/>
      </c>
      <c r="H57" s="112" t="inlineStr">
        <is>
          <t>Compare against the "Total Shift Cost" column of Data Sheet 1 below for the same lead - they should agree.</t>
        </is>
      </c>
      <c r="I57" s="110" t="n"/>
    </row>
    <row r="58" ht="22" customHeight="1">
      <c r="A58" s="113" t="inlineStr">
        <is>
          <t>Direct operating cost per round trip (Rs):</t>
        </is>
      </c>
      <c r="B58" s="60" t="n"/>
      <c r="C58" s="60" t="n"/>
      <c r="D58" s="60" t="n"/>
      <c r="E58" s="60" t="n"/>
      <c r="F58" s="60" t="n"/>
      <c r="G58" s="73">
        <f>IFERROR(ROUND(G57 / B28, 2), 0)</f>
        <v/>
      </c>
      <c r="H58" s="67" t="inlineStr">
        <is>
          <t>W divided by the trips in Panel 2.</t>
        </is>
      </c>
      <c r="I58" s="60" t="n"/>
    </row>
    <row r="59" ht="8" customHeight="1"/>
    <row r="60" ht="24" customHeight="1">
      <c r="A60" s="32" t="inlineStr">
        <is>
          <t>SECTION 2 - STATUTORY MARKUPS &amp; RATE DERIVATION  (CPWD carriage convention: 15% CPOH only)</t>
        </is>
      </c>
    </row>
    <row r="61" ht="24" customHeight="1">
      <c r="A61" s="1" t="inlineStr">
        <is>
          <t>Step</t>
        </is>
      </c>
      <c r="B61" s="1" t="inlineStr">
        <is>
          <t>Description / Stage</t>
        </is>
      </c>
      <c r="C61" s="1" t="inlineStr">
        <is>
          <t>Apply? (YES/NO)</t>
        </is>
      </c>
      <c r="D61" s="1" t="inlineStr">
        <is>
          <t>Basis Applied</t>
        </is>
      </c>
      <c r="E61" s="1" t="inlineStr">
        <is>
          <t>Base Amount (Rs)</t>
        </is>
      </c>
      <c r="F61" s="1" t="inlineStr">
        <is>
          <t>Factor / %</t>
        </is>
      </c>
      <c r="G61" s="1" t="inlineStr">
        <is>
          <t>Amount (Rs)</t>
        </is>
      </c>
      <c r="H61" s="1" t="inlineStr">
        <is>
          <t>CPWD Statutory Rule &amp; Guidance Note</t>
        </is>
      </c>
      <c r="I61" s="1" t="inlineStr">
        <is>
          <t>Cell Role</t>
        </is>
      </c>
    </row>
    <row r="62" ht="26" customHeight="1">
      <c r="A62" s="2" t="inlineStr">
        <is>
          <t>W</t>
        </is>
      </c>
      <c r="B62" s="75" t="inlineStr">
        <is>
          <t>Direct operating cost of the shift (truck + labour + fuel)</t>
        </is>
      </c>
      <c r="C62" s="74" t="inlineStr">
        <is>
          <t>-</t>
        </is>
      </c>
      <c r="D62" s="74" t="inlineStr">
        <is>
          <t>Direct sum</t>
        </is>
      </c>
      <c r="E62" s="114" t="inlineStr">
        <is>
          <t>-</t>
        </is>
      </c>
      <c r="F62" s="114" t="inlineStr">
        <is>
          <t>-</t>
        </is>
      </c>
      <c r="G62" s="47">
        <f>G57</f>
        <v/>
      </c>
      <c r="H62" s="71" t="inlineStr">
        <is>
          <t>Carried straight down from Section 1.</t>
        </is>
      </c>
      <c r="I62" s="108" t="inlineStr">
        <is>
          <t>DERIVED</t>
        </is>
      </c>
    </row>
    <row r="63" ht="26" customHeight="1">
      <c r="A63" s="54" t="inlineStr">
        <is>
          <t>X1</t>
        </is>
      </c>
      <c r="B63" s="20" t="inlineStr">
        <is>
          <t>Add Water Charges</t>
        </is>
      </c>
      <c r="C63" s="61" t="inlineStr">
        <is>
          <t>NO</t>
        </is>
      </c>
      <c r="D63" s="19" t="inlineStr">
        <is>
          <t>On W</t>
        </is>
      </c>
      <c r="E63" s="57">
        <f>G62</f>
        <v/>
      </c>
      <c r="F63" s="72">
        <f>Factor_Water</f>
        <v/>
      </c>
      <c r="G63" s="73">
        <f>IF(C63="YES", ROUND(E63 * F63, 2), 0)</f>
        <v/>
      </c>
      <c r="H63" s="24" t="inlineStr">
        <is>
          <t>CPWD RULE: switched off for carriage - no water is consumed in haulage. DAR item 1.1.18 goes straight from TOTAL to "Add 15% CPOH".</t>
        </is>
      </c>
      <c r="I63" s="106" t="inlineStr">
        <is>
          <t>INPUT</t>
        </is>
      </c>
    </row>
    <row r="64" ht="26" customHeight="1">
      <c r="A64" s="2" t="inlineStr">
        <is>
          <t>X</t>
        </is>
      </c>
      <c r="B64" s="75" t="inlineStr">
        <is>
          <t>Subtotal X (W + Water)</t>
        </is>
      </c>
      <c r="C64" s="74" t="inlineStr">
        <is>
          <t>-</t>
        </is>
      </c>
      <c r="D64" s="74" t="inlineStr">
        <is>
          <t>W + Water</t>
        </is>
      </c>
      <c r="E64" s="114" t="inlineStr">
        <is>
          <t>-</t>
        </is>
      </c>
      <c r="F64" s="114" t="inlineStr">
        <is>
          <t>-</t>
        </is>
      </c>
      <c r="G64" s="47">
        <f>G62 + G63</f>
        <v/>
      </c>
      <c r="H64" s="71" t="inlineStr">
        <is>
          <t>Running subtotal.</t>
        </is>
      </c>
      <c r="I64" s="108" t="inlineStr">
        <is>
          <t>DERIVED</t>
        </is>
      </c>
    </row>
    <row r="65" ht="26" customHeight="1">
      <c r="A65" s="54" t="inlineStr">
        <is>
          <t>Y1</t>
        </is>
      </c>
      <c r="B65" s="20" t="inlineStr">
        <is>
          <t>Add GST on works contract</t>
        </is>
      </c>
      <c r="C65" s="61" t="inlineStr">
        <is>
          <t>NO</t>
        </is>
      </c>
      <c r="D65" s="19" t="inlineStr">
        <is>
          <t>On X</t>
        </is>
      </c>
      <c r="E65" s="57">
        <f>G64</f>
        <v/>
      </c>
      <c r="F65" s="72">
        <f>Factor_GST</f>
        <v/>
      </c>
      <c r="G65" s="73">
        <f>IF(C65="YES", ROUND(E65 * F65, 2), 0)</f>
        <v/>
      </c>
      <c r="H65" s="24" t="inlineStr">
        <is>
          <t>CPWD RULE: the printed DAR carriage rates exclude GST. Leave NO to stay comparable with the book; switch to YES only for a tender that requires it.</t>
        </is>
      </c>
      <c r="I65" s="106" t="inlineStr">
        <is>
          <t>INPUT</t>
        </is>
      </c>
    </row>
    <row r="66" ht="26" customHeight="1">
      <c r="A66" s="2" t="inlineStr">
        <is>
          <t>Y</t>
        </is>
      </c>
      <c r="B66" s="75" t="inlineStr">
        <is>
          <t>Subtotal Y (X + GST)</t>
        </is>
      </c>
      <c r="C66" s="74" t="inlineStr">
        <is>
          <t>-</t>
        </is>
      </c>
      <c r="D66" s="74" t="inlineStr">
        <is>
          <t>X + GST</t>
        </is>
      </c>
      <c r="E66" s="114" t="inlineStr">
        <is>
          <t>-</t>
        </is>
      </c>
      <c r="F66" s="114" t="inlineStr">
        <is>
          <t>-</t>
        </is>
      </c>
      <c r="G66" s="47">
        <f>G64 + G65</f>
        <v/>
      </c>
      <c r="H66" s="71" t="inlineStr">
        <is>
          <t>Base for contractor profit and overheads.</t>
        </is>
      </c>
      <c r="I66" s="108" t="inlineStr">
        <is>
          <t>DERIVED</t>
        </is>
      </c>
    </row>
    <row r="67" ht="26" customHeight="1">
      <c r="A67" s="54" t="inlineStr">
        <is>
          <t>Z1</t>
        </is>
      </c>
      <c r="B67" s="20" t="inlineStr">
        <is>
          <t>Add Contractor Profit &amp; Overheads (15% CPOH)</t>
        </is>
      </c>
      <c r="C67" s="61" t="inlineStr">
        <is>
          <t>YES</t>
        </is>
      </c>
      <c r="D67" s="19" t="inlineStr">
        <is>
          <t>On Y</t>
        </is>
      </c>
      <c r="E67" s="57">
        <f>G66</f>
        <v/>
      </c>
      <c r="F67" s="72">
        <f>Factor_CPOH</f>
        <v/>
      </c>
      <c r="G67" s="73">
        <f>IF(C67="YES", ROUND(E67 * F67, 2), 0)</f>
        <v/>
      </c>
      <c r="H67" s="24" t="inlineStr">
        <is>
          <t>CPWD RULE: 15% CPOH is applied to every carriage item without exception.</t>
        </is>
      </c>
      <c r="I67" s="106" t="inlineStr">
        <is>
          <t>INPUT</t>
        </is>
      </c>
    </row>
    <row r="68" ht="26" customHeight="1">
      <c r="A68" s="2" t="inlineStr">
        <is>
          <t>Z</t>
        </is>
      </c>
      <c r="B68" s="75" t="inlineStr">
        <is>
          <t>Subtotal Z (Y + CPOH)</t>
        </is>
      </c>
      <c r="C68" s="74" t="inlineStr">
        <is>
          <t>-</t>
        </is>
      </c>
      <c r="D68" s="74" t="inlineStr">
        <is>
          <t>Y + CPOH</t>
        </is>
      </c>
      <c r="E68" s="114" t="inlineStr">
        <is>
          <t>-</t>
        </is>
      </c>
      <c r="F68" s="114" t="inlineStr">
        <is>
          <t>-</t>
        </is>
      </c>
      <c r="G68" s="47">
        <f>G66 + G67</f>
        <v/>
      </c>
      <c r="H68" s="71" t="inlineStr">
        <is>
          <t>Named the same way as on the other eleven builder sheets.</t>
        </is>
      </c>
      <c r="I68" s="108" t="inlineStr">
        <is>
          <t>DERIVED</t>
        </is>
      </c>
    </row>
    <row r="69" ht="26" customHeight="1">
      <c r="A69" s="54" t="inlineStr">
        <is>
          <t>Z2</t>
        </is>
      </c>
      <c r="B69" s="20" t="inlineStr">
        <is>
          <t>Add BOCW Welfare Cess</t>
        </is>
      </c>
      <c r="C69" s="61" t="inlineStr">
        <is>
          <t>NO</t>
        </is>
      </c>
      <c r="D69" s="19" t="inlineStr">
        <is>
          <t>On Z</t>
        </is>
      </c>
      <c r="E69" s="57">
        <f>G68</f>
        <v/>
      </c>
      <c r="F69" s="72">
        <f>Factor_Cess</f>
        <v/>
      </c>
      <c r="G69" s="73">
        <f>IF(C69="YES", ROUND(E69 * F69, 2), 0)</f>
        <v/>
      </c>
      <c r="H69" s="24" t="inlineStr">
        <is>
          <t>CPWD RULE: excluded from the printed base rates. Switch to YES only if your circle requires it on carriage.</t>
        </is>
      </c>
      <c r="I69" s="106" t="inlineStr">
        <is>
          <t>INPUT</t>
        </is>
      </c>
    </row>
    <row r="70" ht="26" customHeight="1">
      <c r="A70" s="30" t="inlineStr">
        <is>
          <t>Total</t>
        </is>
      </c>
      <c r="B70" s="115" t="inlineStr">
        <is>
          <t>Total cost of one 8-hour shift with overheads</t>
        </is>
      </c>
      <c r="C70" s="116" t="inlineStr">
        <is>
          <t>-</t>
        </is>
      </c>
      <c r="D70" s="116" t="inlineStr">
        <is>
          <t>Z + Cess</t>
        </is>
      </c>
      <c r="E70" s="117" t="inlineStr">
        <is>
          <t>-</t>
        </is>
      </c>
      <c r="F70" s="117" t="inlineStr">
        <is>
          <t>-</t>
        </is>
      </c>
      <c r="G70" s="78">
        <f>G68 + G69</f>
        <v/>
      </c>
      <c r="H70" s="118" t="inlineStr">
        <is>
          <t>The full shift cost that the payable output is divided into.</t>
        </is>
      </c>
      <c r="I70" s="119" t="inlineStr">
        <is>
          <t>RESULT</t>
        </is>
      </c>
    </row>
    <row r="71" ht="26" customHeight="1">
      <c r="A71" s="2" t="inlineStr">
        <is>
          <t>-</t>
        </is>
      </c>
      <c r="B71" s="75" t="inlineStr">
        <is>
          <t>Cost per round trip with overheads</t>
        </is>
      </c>
      <c r="C71" s="74" t="inlineStr">
        <is>
          <t>-</t>
        </is>
      </c>
      <c r="D71" s="74" t="inlineStr">
        <is>
          <t>Total / N</t>
        </is>
      </c>
      <c r="E71" s="114">
        <f>G70</f>
        <v/>
      </c>
      <c r="F71" s="114">
        <f>B28</f>
        <v/>
      </c>
      <c r="G71" s="47">
        <f>IFERROR(ROUND(G70 / B28, 2), 0)</f>
        <v/>
      </c>
      <c r="H71" s="71" t="inlineStr">
        <is>
          <t>For comparison with the "Cost per Trip" column of Data Sheet 1.</t>
        </is>
      </c>
      <c r="I71" s="108" t="inlineStr">
        <is>
          <t>DERIVED</t>
        </is>
      </c>
    </row>
    <row r="72" ht="26" customHeight="1">
      <c r="A72" s="2" t="inlineStr">
        <is>
          <t>-</t>
        </is>
      </c>
      <c r="B72" s="75" t="inlineStr">
        <is>
          <t>Rate per single payable unit, plus gate fee</t>
        </is>
      </c>
      <c r="C72" s="74" t="inlineStr">
        <is>
          <t>-</t>
        </is>
      </c>
      <c r="D72" s="74" t="inlineStr">
        <is>
          <t>Total / payable output</t>
        </is>
      </c>
      <c r="E72" s="45">
        <f>G70</f>
        <v/>
      </c>
      <c r="F72" s="114">
        <f>B43</f>
        <v/>
      </c>
      <c r="G72" s="47">
        <f>IFERROR(ROUND(G70 / B43, 2), 0) + B14</f>
        <v/>
      </c>
      <c r="H72" s="71" t="inlineStr">
        <is>
          <t>Per cum / per tonne / per metre / per brick. Divided by the NET payable output from Panel 3, not by the gross truck payload. The gate fee is added here, after CPOH.</t>
        </is>
      </c>
      <c r="I72" s="108" t="inlineStr">
        <is>
          <t>DERIVED</t>
        </is>
      </c>
    </row>
    <row r="73" ht="26" customHeight="1">
      <c r="A73" s="2" t="inlineStr">
        <is>
          <t>-</t>
        </is>
      </c>
      <c r="B73" s="75" t="inlineStr">
        <is>
          <t>Analysed rate per schedule unit</t>
        </is>
      </c>
      <c r="C73" s="74" t="inlineStr">
        <is>
          <t>-</t>
        </is>
      </c>
      <c r="D73" s="74" t="inlineStr">
        <is>
          <t>x scale factor</t>
        </is>
      </c>
      <c r="E73" s="114">
        <f>B42</f>
        <v/>
      </c>
      <c r="F73" s="114" t="inlineStr">
        <is>
          <t>-</t>
        </is>
      </c>
      <c r="G73" s="47">
        <f>ROUND(G72 * B42, 2)</f>
        <v/>
      </c>
      <c r="H73" s="71" t="inlineStr">
        <is>
          <t>Multiplied up to the DAR schedule unit - x1000 for "1000 Nos", x100 for "100 m", x1 otherwise. This unrounded figure is what the Table 1.1 base rates below are quoted at.</t>
        </is>
      </c>
      <c r="I73" s="108" t="inlineStr">
        <is>
          <t>DERIVED</t>
        </is>
      </c>
    </row>
    <row r="74" ht="26" customHeight="1">
      <c r="A74" s="2" t="inlineStr">
        <is>
          <t>-</t>
        </is>
      </c>
      <c r="B74" s="75" t="inlineStr">
        <is>
          <t>DAR published rate at this lead (Table 1.1 ladder)</t>
        </is>
      </c>
      <c r="C74" s="74" t="inlineStr">
        <is>
          <t>-</t>
        </is>
      </c>
      <c r="D74" s="74" t="inlineStr">
        <is>
          <t>Book ladder</t>
        </is>
      </c>
      <c r="E74" s="114">
        <f>B20</f>
        <v/>
      </c>
      <c r="F74" s="114">
        <f>B36</f>
        <v/>
      </c>
      <c r="G74" s="47">
        <f>IFERROR(IF(B36="", "", IF(B20&lt;=5, CHOOSE(MAX(1,MIN(5,CEILING(B20,1))), INDEX($G$137:$G$173,B36), INDEX($H$137:$H$173,B36), INDEX($I$137:$I$173,B36), INDEX($J$137:$J$173,B36), INDEX($K$137:$K$173,B36)), IF(B20&lt;=10, INDEX($K$137:$K$173,B36) + (B20-5)*INDEX($L$137:$L$173,B36), IF(B20&lt;=20, INDEX($K$137:$K$173,B36) + 5*INDEX($L$137:$L$173,B36) + (B20-10)*INDEX($M$137:$M$173,B36), INDEX($K$137:$K$173,B36) + 5*INDEX($L$137:$L$173,B36) + 10*INDEX($M$137:$M$173,B36) + (B20-20)*INDEX($N$137:$N$173,B36))))), "")</f>
        <v/>
      </c>
      <c r="H74" s="71"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74" s="120" t="inlineStr">
        <is>
          <t>LOOKUP</t>
        </is>
      </c>
    </row>
    <row r="75" ht="26" customHeight="1">
      <c r="A75" s="2" t="inlineStr">
        <is>
          <t>-</t>
        </is>
      </c>
      <c r="B75" s="75" t="inlineStr">
        <is>
          <t>Simulator vs published rate</t>
        </is>
      </c>
      <c r="C75" s="74" t="inlineStr">
        <is>
          <t>-</t>
        </is>
      </c>
      <c r="D75" s="74" t="inlineStr">
        <is>
          <t>Variance</t>
        </is>
      </c>
      <c r="E75" s="114">
        <f>G73</f>
        <v/>
      </c>
      <c r="F75" s="114">
        <f>G74</f>
        <v/>
      </c>
      <c r="G75" s="47">
        <f>IF(OR(G74="", G74=0), "", ROUND(G73-G74, 2))</f>
        <v/>
      </c>
      <c r="H75" s="71"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75" s="108" t="inlineStr">
        <is>
          <t>DERIVED</t>
        </is>
      </c>
    </row>
    <row r="76" ht="30" customHeight="1">
      <c r="A76" s="52" t="inlineStr">
        <is>
          <t>SAY</t>
        </is>
      </c>
      <c r="B76" s="121" t="inlineStr">
        <is>
          <t>CPWD OFFICIAL "SAY" RATE FOR THIS CARRIAGE ITEM</t>
        </is>
      </c>
      <c r="C76" s="122" t="inlineStr">
        <is>
          <t>-</t>
        </is>
      </c>
      <c r="D76" s="122" t="inlineStr">
        <is>
          <t>MROUND to Rs 0.05</t>
        </is>
      </c>
      <c r="E76" s="123" t="inlineStr">
        <is>
          <t>-</t>
        </is>
      </c>
      <c r="F76" s="123" t="inlineStr">
        <is>
          <t>-</t>
        </is>
      </c>
      <c r="G76" s="58">
        <f>MROUND(G73, 0.05)</f>
        <v/>
      </c>
      <c r="H76" s="81" t="inlineStr">
        <is>
          <t>The rate to quote in a BOQ or estimate. Rounded to the nearest 5 paise - see the note below.</t>
        </is>
      </c>
      <c r="I76" s="124" t="inlineStr">
        <is>
          <t>SAY</t>
        </is>
      </c>
    </row>
    <row r="77" ht="44" customHeight="1">
      <c r="A77"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7" s="60" t="n"/>
      <c r="C77" s="60" t="n"/>
      <c r="D77" s="60" t="n"/>
      <c r="E77" s="60" t="n"/>
      <c r="F77" s="60" t="n"/>
      <c r="G77" s="60" t="n"/>
      <c r="H77" s="60" t="n"/>
      <c r="I77" s="60" t="n"/>
    </row>
    <row r="78" ht="8" customHeight="1"/>
    <row r="79" ht="24" customHeight="1">
      <c r="A79" s="32" t="inlineStr">
        <is>
          <t>SECTION 3 - HEADING 1.2: MANUAL LABOUR CARRIAGE  (lead under 0.50 km, 50 m to 500 m)</t>
        </is>
      </c>
    </row>
    <row r="80" ht="44" customHeight="1">
      <c r="A80" s="18"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80" s="60" t="n"/>
      <c r="C80" s="60" t="n"/>
      <c r="D80" s="60" t="n"/>
      <c r="E80" s="60" t="n"/>
      <c r="F80" s="60" t="n"/>
      <c r="G80" s="60" t="n"/>
      <c r="H80" s="60" t="n"/>
      <c r="I80" s="60" t="n"/>
    </row>
    <row r="81" ht="26" customHeight="1">
      <c r="A81" s="1" t="inlineStr">
        <is>
          <t>Parameter</t>
        </is>
      </c>
      <c r="B81" s="1" t="inlineStr">
        <is>
          <t>Value</t>
        </is>
      </c>
      <c r="C81" s="1" t="inlineStr">
        <is>
          <t>Unit</t>
        </is>
      </c>
      <c r="D81" s="1" t="inlineStr">
        <is>
          <t>Cell Role</t>
        </is>
      </c>
      <c r="E81" s="1" t="inlineStr">
        <is>
          <t>Where this value comes from, and the CPWD DAR 2019 basis for it</t>
        </is>
      </c>
      <c r="F81" s="85" t="n"/>
      <c r="G81" s="85" t="n"/>
      <c r="H81" s="85" t="n"/>
      <c r="I81" s="86" t="n"/>
    </row>
    <row r="82" ht="30" customHeight="1">
      <c r="A82" s="87" t="inlineStr">
        <is>
          <t>Manual item code</t>
        </is>
      </c>
      <c r="B82" s="61" t="inlineStr">
        <is>
          <t>1.2.CUSTOM</t>
        </is>
      </c>
      <c r="C82" s="28" t="inlineStr">
        <is>
          <t>-</t>
        </is>
      </c>
      <c r="D82" s="51" t="inlineStr">
        <is>
          <t>INPUT</t>
        </is>
      </c>
      <c r="E82" s="24" t="inlineStr">
        <is>
          <t>Your reference for the manual-carriage analysis.</t>
        </is>
      </c>
      <c r="F82" s="60" t="n"/>
      <c r="G82" s="60" t="n"/>
      <c r="H82" s="60" t="n"/>
      <c r="I82" s="60" t="n"/>
    </row>
    <row r="83" ht="30" customHeight="1">
      <c r="A83" s="87" t="inlineStr">
        <is>
          <t>Material category</t>
        </is>
      </c>
      <c r="B83" s="61" t="inlineStr">
        <is>
          <t>Category B (Heavy / Pipes / Steel)</t>
        </is>
      </c>
      <c r="C83" s="28" t="inlineStr">
        <is>
          <t>-</t>
        </is>
      </c>
      <c r="D83" s="51" t="inlineStr">
        <is>
          <t>INPUT</t>
        </is>
      </c>
      <c r="E83" s="24" t="inlineStr">
        <is>
          <t>DRIVES COST. Selects the gang norms quoted in the banner above.</t>
        </is>
      </c>
      <c r="F83" s="60" t="n"/>
      <c r="G83" s="60" t="n"/>
      <c r="H83" s="60" t="n"/>
      <c r="I83" s="60" t="n"/>
    </row>
    <row r="84" ht="30" customHeight="1">
      <c r="A84" s="87" t="inlineStr">
        <is>
          <t>Lead distance</t>
        </is>
      </c>
      <c r="B84" s="61" t="n">
        <v>100</v>
      </c>
      <c r="C84" s="28" t="inlineStr">
        <is>
          <t>metres</t>
        </is>
      </c>
      <c r="D84" s="51" t="inlineStr">
        <is>
          <t>INPUT</t>
        </is>
      </c>
      <c r="E84" s="24" t="inlineStr">
        <is>
          <t>DRIVES COST. The first 50 m is the base gang; every further 50 m adds labour.</t>
        </is>
      </c>
      <c r="F84" s="60" t="n"/>
      <c r="G84" s="60" t="n"/>
      <c r="H84" s="60" t="n"/>
      <c r="I84" s="60" t="n"/>
    </row>
    <row r="85" ht="30" customHeight="1">
      <c r="A85" s="87" t="inlineStr">
        <is>
          <t>Additional 50 m steps (M)</t>
        </is>
      </c>
      <c r="B85" s="97">
        <f>MAX(0, ROUNDUP((B84 - 50) / 50, 0))</f>
        <v/>
      </c>
      <c r="C85" s="28" t="inlineStr">
        <is>
          <t>steps</t>
        </is>
      </c>
      <c r="D85" s="6" t="inlineStr">
        <is>
          <t>DERIVED</t>
        </is>
      </c>
      <c r="E85" s="24" t="inlineStr">
        <is>
          <t>MAX(0, (lead - 50) / 50). A part step counts as a full step in CPWD practice.</t>
        </is>
      </c>
      <c r="F85" s="60" t="n"/>
      <c r="G85" s="60" t="n"/>
      <c r="H85" s="60" t="n"/>
      <c r="I85" s="60" t="n"/>
    </row>
    <row r="86" ht="30" customHeight="1">
      <c r="A86" s="87" t="inlineStr">
        <is>
          <t>Gang for the first 50 m</t>
        </is>
      </c>
      <c r="B86" s="100">
        <f>IF(ISNUMBER(SEARCH("Category A", B83)), 7.67, 9.2)</f>
        <v/>
      </c>
      <c r="C86" s="28" t="inlineStr">
        <is>
          <t>labour days</t>
        </is>
      </c>
      <c r="D86" s="35" t="inlineStr">
        <is>
          <t>LOOKUP</t>
        </is>
      </c>
      <c r="E86" s="24" t="inlineStr">
        <is>
          <t>CPWD Heading 1.2 norm for the selected category.</t>
        </is>
      </c>
      <c r="F86" s="60" t="n"/>
      <c r="G86" s="60" t="n"/>
      <c r="H86" s="60" t="n"/>
      <c r="I86" s="60" t="n"/>
    </row>
    <row r="87" ht="30" customHeight="1">
      <c r="A87" s="87" t="inlineStr">
        <is>
          <t>Extra gang per additional 50 m</t>
        </is>
      </c>
      <c r="B87" s="100">
        <f>IF(ISNUMBER(SEARCH("Category A", B83)), 1.67, 1.35)</f>
        <v/>
      </c>
      <c r="C87" s="28" t="inlineStr">
        <is>
          <t>labour days</t>
        </is>
      </c>
      <c r="D87" s="35" t="inlineStr">
        <is>
          <t>LOOKUP</t>
        </is>
      </c>
      <c r="E87" s="24" t="inlineStr">
        <is>
          <t>CPWD Heading 1.2 norm for the selected category.</t>
        </is>
      </c>
      <c r="F87" s="60" t="n"/>
      <c r="G87" s="60" t="n"/>
      <c r="H87" s="60" t="n"/>
      <c r="I87" s="60" t="n"/>
    </row>
    <row r="88" ht="30" customHeight="1">
      <c r="A88" s="87" t="inlineStr">
        <is>
          <t>Labour day wage</t>
        </is>
      </c>
      <c r="B88" s="125">
        <f>IFERROR(INDEX(Rates_Master!$E:$E, MATCH("0114", Rates_Master!$A:$A, 0)), 0)</f>
        <v/>
      </c>
      <c r="C88" s="28" t="inlineStr">
        <is>
          <t>Rs per day</t>
        </is>
      </c>
      <c r="D88" s="35" t="inlineStr">
        <is>
          <t>LOOKUP</t>
        </is>
      </c>
      <c r="E88" s="24" t="inlineStr">
        <is>
          <t>Live rate for Beldar / Coolie (code 0114) from Rates_Master. Both grades are on the same day rate in DAR 2019.</t>
        </is>
      </c>
      <c r="F88" s="60" t="n"/>
      <c r="G88" s="60" t="n"/>
      <c r="H88" s="60" t="n"/>
      <c r="I88" s="60" t="n"/>
    </row>
    <row r="89" ht="30" customHeight="1">
      <c r="A89" s="87" t="inlineStr">
        <is>
          <t>Labour cost, first 50 m</t>
        </is>
      </c>
      <c r="B89" s="126">
        <f>ROUND(B86 * B88, 2)</f>
        <v/>
      </c>
      <c r="C89" s="28" t="inlineStr">
        <is>
          <t>Rs</t>
        </is>
      </c>
      <c r="D89" s="6" t="inlineStr">
        <is>
          <t>DERIVED</t>
        </is>
      </c>
      <c r="E89" s="24" t="inlineStr">
        <is>
          <t>Base gang x day wage.</t>
        </is>
      </c>
      <c r="F89" s="60" t="n"/>
      <c r="G89" s="60" t="n"/>
      <c r="H89" s="60" t="n"/>
      <c r="I89" s="60" t="n"/>
    </row>
    <row r="90" ht="30" customHeight="1">
      <c r="A90" s="87" t="inlineStr">
        <is>
          <t>Labour cost, additional lead</t>
        </is>
      </c>
      <c r="B90" s="126">
        <f>ROUND(B85 * B87 * B88, 2)</f>
        <v/>
      </c>
      <c r="C90" s="28" t="inlineStr">
        <is>
          <t>Rs</t>
        </is>
      </c>
      <c r="D90" s="6" t="inlineStr">
        <is>
          <t>DERIVED</t>
        </is>
      </c>
      <c r="E90" s="24" t="inlineStr">
        <is>
          <t>Steps x extra gang x day wage.</t>
        </is>
      </c>
      <c r="F90" s="60" t="n"/>
      <c r="G90" s="60" t="n"/>
      <c r="H90" s="60" t="n"/>
      <c r="I90" s="60" t="n"/>
    </row>
    <row r="91" ht="30" customHeight="1">
      <c r="A91" s="87" t="inlineStr">
        <is>
          <t>Total labour cost for the shift</t>
        </is>
      </c>
      <c r="B91" s="126">
        <f>B89 + B90</f>
        <v/>
      </c>
      <c r="C91" s="28" t="inlineStr">
        <is>
          <t>Rs</t>
        </is>
      </c>
      <c r="D91" s="6" t="inlineStr">
        <is>
          <t>DERIVED</t>
        </is>
      </c>
      <c r="E91" s="24" t="inlineStr">
        <is>
          <t>First 50 m plus additional lead.</t>
        </is>
      </c>
      <c r="F91" s="60" t="n"/>
      <c r="G91" s="60" t="n"/>
      <c r="H91" s="60" t="n"/>
      <c r="I91" s="60" t="n"/>
    </row>
    <row r="92" ht="30" customHeight="1">
      <c r="A92" s="87" t="inlineStr">
        <is>
          <t>Add Contractor Profit &amp; Overheads</t>
        </is>
      </c>
      <c r="B92" s="126">
        <f>ROUND(B91 * Factor_CPOH, 2)</f>
        <v/>
      </c>
      <c r="C92" s="28" t="inlineStr">
        <is>
          <t>Rs</t>
        </is>
      </c>
      <c r="D92" s="6" t="inlineStr">
        <is>
          <t>DERIVED</t>
        </is>
      </c>
      <c r="E92" s="24" t="inlineStr">
        <is>
          <t>Taken from Factor_CPOH on Global_Factors, so a project override reaches this engine too.</t>
        </is>
      </c>
      <c r="F92" s="60" t="n"/>
      <c r="G92" s="60" t="n"/>
      <c r="H92" s="60" t="n"/>
      <c r="I92" s="60" t="n"/>
    </row>
    <row r="93" ht="30" customHeight="1">
      <c r="A93" s="87" t="inlineStr">
        <is>
          <t>Total 8-hour cost with CPOH</t>
        </is>
      </c>
      <c r="B93" s="127">
        <f>B91 + B92</f>
        <v/>
      </c>
      <c r="C93" s="28" t="inlineStr">
        <is>
          <t>Rs</t>
        </is>
      </c>
      <c r="D93" s="30" t="inlineStr">
        <is>
          <t>RESULT</t>
        </is>
      </c>
      <c r="E93" s="24" t="inlineStr">
        <is>
          <t>Compare with the "Base Cost 1st 50m" column of Table 1.2 below.</t>
        </is>
      </c>
      <c r="F93" s="60" t="n"/>
      <c r="G93" s="60" t="n"/>
      <c r="H93" s="60" t="n"/>
      <c r="I93" s="60" t="n"/>
    </row>
    <row r="94" ht="30" customHeight="1">
      <c r="A94" s="87" t="inlineStr">
        <is>
          <t>Net payable quantity per 8-hour day</t>
        </is>
      </c>
      <c r="B94" s="92" t="n">
        <v>1702</v>
      </c>
      <c r="C94" s="28" t="inlineStr">
        <is>
          <t>per billing unit</t>
        </is>
      </c>
      <c r="D94" s="51" t="inlineStr">
        <is>
          <t>INPUT</t>
        </is>
      </c>
      <c r="E94" s="24" t="inlineStr">
        <is>
          <t>From Table 1.2 below. Note these are already NET of the looseness deduction - earth is listed at 28 cum, not the 35 cum a gang physically shifts.</t>
        </is>
      </c>
      <c r="F94" s="60" t="n"/>
      <c r="G94" s="60" t="n"/>
      <c r="H94" s="60" t="n"/>
      <c r="I94" s="60" t="n"/>
    </row>
    <row r="95" ht="30" customHeight="1">
      <c r="A95" s="87" t="inlineStr">
        <is>
          <t>Billing unit</t>
        </is>
      </c>
      <c r="B95" s="61" t="inlineStr">
        <is>
          <t>100 m</t>
        </is>
      </c>
      <c r="C95" s="28" t="inlineStr">
        <is>
          <t>-</t>
        </is>
      </c>
      <c r="D95" s="51" t="inlineStr">
        <is>
          <t>INPUT</t>
        </is>
      </c>
      <c r="E95" s="24" t="inlineStr">
        <is>
          <t>The DAR schedule unit for this material.</t>
        </is>
      </c>
      <c r="F95" s="60" t="n"/>
      <c r="G95" s="60" t="n"/>
      <c r="H95" s="60" t="n"/>
      <c r="I95" s="60" t="n"/>
    </row>
    <row r="96" ht="30" customHeight="1">
      <c r="A96" s="87" t="inlineStr">
        <is>
          <t>Schedule unit scale factor</t>
        </is>
      </c>
      <c r="B96" s="99">
        <f>IF(B95="1000 Nos", 1000, IF(B95="100 m", 100, 1))</f>
        <v/>
      </c>
      <c r="C96" s="28" t="inlineStr">
        <is>
          <t>multiplier</t>
        </is>
      </c>
      <c r="D96" s="6" t="inlineStr">
        <is>
          <t>DERIVED</t>
        </is>
      </c>
      <c r="E96" s="24" t="inlineStr">
        <is>
          <t>x1000 for "1000 Nos", x100 for "100 m", otherwise x1 - the same rule as Panel 3.</t>
        </is>
      </c>
      <c r="F96" s="60" t="n"/>
      <c r="G96" s="60" t="n"/>
      <c r="H96" s="60" t="n"/>
      <c r="I96" s="60" t="n"/>
    </row>
    <row r="97" ht="30" customHeight="1">
      <c r="A97" s="87" t="inlineStr">
        <is>
          <t>Analysed rate per schedule unit</t>
        </is>
      </c>
      <c r="B97" s="126">
        <f>IFERROR(ROUND(B93 / B94 * B96, 2), 0)</f>
        <v/>
      </c>
      <c r="C97" s="28" t="inlineStr">
        <is>
          <t>Rs</t>
        </is>
      </c>
      <c r="D97" s="6" t="inlineStr">
        <is>
          <t>DERIVED</t>
        </is>
      </c>
      <c r="E97" s="24" t="inlineStr">
        <is>
          <t>Total cost / payable quantity x scale factor. This unrounded figure is what Table 1.2 below is quoted at.</t>
        </is>
      </c>
      <c r="F97" s="60" t="n"/>
      <c r="G97" s="60" t="n"/>
      <c r="H97" s="60" t="n"/>
      <c r="I97" s="60" t="n"/>
    </row>
    <row r="98" ht="30" customHeight="1">
      <c r="A98" s="87" t="inlineStr">
        <is>
          <t>CPWD OFFICIAL "SAY" RATE (manual carriage)</t>
        </is>
      </c>
      <c r="B98" s="128">
        <f>IFERROR(MROUND(B97, 0.05), 0)</f>
        <v/>
      </c>
      <c r="C98" s="28" t="inlineStr">
        <is>
          <t>Rs</t>
        </is>
      </c>
      <c r="D98" s="52" t="inlineStr">
        <is>
          <t>SAY</t>
        </is>
      </c>
      <c r="E98" s="24" t="inlineStr">
        <is>
          <t>Rounded to the nearest 5 paise per CPWD practice - see the note in Section 2.</t>
        </is>
      </c>
      <c r="F98" s="60" t="n"/>
      <c r="G98" s="60" t="n"/>
      <c r="H98" s="60" t="n"/>
      <c r="I98" s="60" t="n"/>
    </row>
    <row r="99" ht="8" customHeight="1"/>
    <row r="100" ht="24" customHeight="1">
      <c r="A100" s="32" t="inlineStr">
        <is>
          <t>SECTION 5 - GROUND-TRUTH REFERENCE TABLES (CPWD DAR 2019 SUB-HEAD 01), transcribed from printed pages 67-75. These are source data - the panels above read from them.</t>
        </is>
      </c>
    </row>
    <row r="101" ht="22" customHeight="1">
      <c r="A101" s="32" t="inlineStr">
        <is>
          <t>5A. CPWD DATA SHEET NO. 1 - mechanical transport benchmark, 1 km to 30 km, all 14 printed columns. Panel 2 looks up the speed, trips and km/day for your lead here.</t>
        </is>
      </c>
    </row>
    <row r="102" ht="24" customHeight="1">
      <c r="A102" s="1" t="inlineStr">
        <is>
          <t>1 Lead (L) km</t>
        </is>
      </c>
      <c r="B102" s="1" t="inlineStr">
        <is>
          <t>2 Avg speed (S) km/h</t>
        </is>
      </c>
      <c r="C102" s="1" t="inlineStr">
        <is>
          <t>3 Trips N/day</t>
        </is>
      </c>
      <c r="D102" s="1" t="inlineStr">
        <is>
          <t>4 Km done/day</t>
        </is>
      </c>
      <c r="E102" s="1" t="inlineStr">
        <is>
          <t>5 Diesel litres</t>
        </is>
      </c>
      <c r="F102" s="1" t="inlineStr">
        <is>
          <t>6 Cost of diesel (Rs)</t>
        </is>
      </c>
      <c r="G102" s="1" t="inlineStr">
        <is>
          <t>7 Mobil oil litres</t>
        </is>
      </c>
      <c r="H102" s="1" t="inlineStr">
        <is>
          <t>8 Cost of mobil oil (Rs)</t>
        </is>
      </c>
      <c r="I102" s="1" t="inlineStr">
        <is>
          <t>9 Cost of 6 Beldars (Rs)</t>
        </is>
      </c>
      <c r="J102" s="1" t="inlineStr">
        <is>
          <t>10 Truck hire (Rs)</t>
        </is>
      </c>
      <c r="K102" s="1" t="inlineStr">
        <is>
          <t>11 Total cost (Rs)</t>
        </is>
      </c>
      <c r="L102" s="1" t="inlineStr">
        <is>
          <t>12 Cost per trip (Rs)</t>
        </is>
      </c>
      <c r="M102" s="1" t="inlineStr">
        <is>
          <t>13 Increase per km (Rs)</t>
        </is>
      </c>
      <c r="N102" s="1" t="inlineStr">
        <is>
          <t>14 Avg cost per addl km (Rs)</t>
        </is>
      </c>
    </row>
    <row r="103" ht="18" customHeight="1">
      <c r="A103" s="129" t="n">
        <v>1</v>
      </c>
      <c r="B103" s="129" t="n">
        <v>16</v>
      </c>
      <c r="C103" s="130" t="n">
        <v>7.11</v>
      </c>
      <c r="D103" s="130" t="n">
        <v>20.22</v>
      </c>
      <c r="E103" s="48" t="n">
        <v>4.04</v>
      </c>
      <c r="F103" s="41" t="n">
        <v>296.94</v>
      </c>
      <c r="G103" s="131" t="n">
        <v>0.144</v>
      </c>
      <c r="H103" s="41" t="n">
        <v>45.36</v>
      </c>
      <c r="I103" s="41" t="n">
        <v>3348</v>
      </c>
      <c r="J103" s="41" t="n">
        <v>1500</v>
      </c>
      <c r="K103" s="41" t="n">
        <v>5190.3</v>
      </c>
      <c r="L103" s="41" t="n">
        <v>730</v>
      </c>
      <c r="M103" s="41" t="n"/>
      <c r="N103" s="41">
        <f>IF(A103&lt;=5, "", IF(A103&lt;=10, ROUND((L103-INDEX($L$103:$L$132,5))/5, 2), IF(A103&lt;=20, ROUND((L103-INDEX($L$103:$L$132,10))/10, 2), ROUND((L103-INDEX($L$103:$L$132,20))/10, 2))))</f>
        <v/>
      </c>
    </row>
    <row r="104" ht="18" customHeight="1">
      <c r="A104" s="132" t="n">
        <v>2</v>
      </c>
      <c r="B104" s="132" t="n">
        <v>17</v>
      </c>
      <c r="C104" s="133" t="n">
        <v>6.48</v>
      </c>
      <c r="D104" s="133" t="n">
        <v>31.92</v>
      </c>
      <c r="E104" s="46" t="n">
        <v>6.38</v>
      </c>
      <c r="F104" s="134" t="n">
        <v>468.93</v>
      </c>
      <c r="G104" s="135" t="n">
        <v>0.228</v>
      </c>
      <c r="H104" s="134" t="n">
        <v>71.81999999999999</v>
      </c>
      <c r="I104" s="134" t="n">
        <v>3348</v>
      </c>
      <c r="J104" s="134" t="n">
        <v>1500</v>
      </c>
      <c r="K104" s="134" t="n">
        <v>5388.75</v>
      </c>
      <c r="L104" s="134" t="n">
        <v>831.6</v>
      </c>
      <c r="M104" s="134" t="n">
        <v>198.45</v>
      </c>
      <c r="N104" s="134">
        <f>IF(A104&lt;=5, "", IF(A104&lt;=10, ROUND((L104-INDEX($L$103:$L$132,5))/5, 2), IF(A104&lt;=20, ROUND((L104-INDEX($L$103:$L$132,10))/10, 2), ROUND((L104-INDEX($L$103:$L$132,20))/10, 2))))</f>
        <v/>
      </c>
    </row>
    <row r="105" ht="18" customHeight="1">
      <c r="A105" s="129" t="n">
        <v>3</v>
      </c>
      <c r="B105" s="129" t="n">
        <v>17.5</v>
      </c>
      <c r="C105" s="130" t="n">
        <v>5.96</v>
      </c>
      <c r="D105" s="130" t="n">
        <v>41.76</v>
      </c>
      <c r="E105" s="48" t="n">
        <v>8.35</v>
      </c>
      <c r="F105" s="41" t="n">
        <v>613.73</v>
      </c>
      <c r="G105" s="131" t="n">
        <v>0.298</v>
      </c>
      <c r="H105" s="41" t="n">
        <v>93.87</v>
      </c>
      <c r="I105" s="41" t="n">
        <v>3348</v>
      </c>
      <c r="J105" s="41" t="n">
        <v>1500</v>
      </c>
      <c r="K105" s="41" t="n">
        <v>5555.6</v>
      </c>
      <c r="L105" s="41" t="n">
        <v>932.15</v>
      </c>
      <c r="M105" s="41" t="n">
        <v>166.85</v>
      </c>
      <c r="N105" s="41">
        <f>IF(A105&lt;=5, "", IF(A105&lt;=10, ROUND((L105-INDEX($L$103:$L$132,5))/5, 2), IF(A105&lt;=20, ROUND((L105-INDEX($L$103:$L$132,10))/10, 2), ROUND((L105-INDEX($L$103:$L$132,20))/10, 2))))</f>
        <v/>
      </c>
    </row>
    <row r="106" ht="18" customHeight="1">
      <c r="A106" s="132" t="n">
        <v>4</v>
      </c>
      <c r="B106" s="132" t="n">
        <v>18</v>
      </c>
      <c r="C106" s="133" t="n">
        <v>5.54</v>
      </c>
      <c r="D106" s="133" t="n">
        <v>50.32</v>
      </c>
      <c r="E106" s="46" t="n">
        <v>10.06</v>
      </c>
      <c r="F106" s="134" t="n">
        <v>739.41</v>
      </c>
      <c r="G106" s="135" t="n">
        <v>0.359</v>
      </c>
      <c r="H106" s="134" t="n">
        <v>113.08</v>
      </c>
      <c r="I106" s="134" t="n">
        <v>3348</v>
      </c>
      <c r="J106" s="134" t="n">
        <v>1500</v>
      </c>
      <c r="K106" s="134" t="n">
        <v>5700.5</v>
      </c>
      <c r="L106" s="134" t="n">
        <v>1028.97</v>
      </c>
      <c r="M106" s="134" t="n">
        <v>144.9</v>
      </c>
      <c r="N106" s="134">
        <f>IF(A106&lt;=5, "", IF(A106&lt;=10, ROUND((L106-INDEX($L$103:$L$132,5))/5, 2), IF(A106&lt;=20, ROUND((L106-INDEX($L$103:$L$132,10))/10, 2), ROUND((L106-INDEX($L$103:$L$132,20))/10, 2))))</f>
        <v/>
      </c>
    </row>
    <row r="107" ht="18" customHeight="1">
      <c r="A107" s="129" t="n">
        <v>5</v>
      </c>
      <c r="B107" s="129" t="n">
        <v>18.5</v>
      </c>
      <c r="C107" s="130" t="n">
        <v>5.19</v>
      </c>
      <c r="D107" s="130" t="n">
        <v>57.9</v>
      </c>
      <c r="E107" s="48" t="n">
        <v>11.58</v>
      </c>
      <c r="F107" s="41" t="n">
        <v>851.13</v>
      </c>
      <c r="G107" s="131" t="n">
        <v>0.414</v>
      </c>
      <c r="H107" s="41" t="n">
        <v>130.41</v>
      </c>
      <c r="I107" s="41" t="n">
        <v>3348</v>
      </c>
      <c r="J107" s="41" t="n">
        <v>1500</v>
      </c>
      <c r="K107" s="41" t="n">
        <v>5829.54</v>
      </c>
      <c r="L107" s="41" t="n">
        <v>1123.23</v>
      </c>
      <c r="M107" s="41" t="n">
        <v>129.04</v>
      </c>
      <c r="N107" s="41">
        <f>IF(A107&lt;=5, "", IF(A107&lt;=10, ROUND((L107-INDEX($L$103:$L$132,5))/5, 2), IF(A107&lt;=20, ROUND((L107-INDEX($L$103:$L$132,10))/10, 2), ROUND((L107-INDEX($L$103:$L$132,20))/10, 2))))</f>
        <v/>
      </c>
    </row>
    <row r="108" ht="18" customHeight="1">
      <c r="A108" s="132" t="n">
        <v>6</v>
      </c>
      <c r="B108" s="132" t="n">
        <v>19</v>
      </c>
      <c r="C108" s="133" t="n">
        <v>4.9</v>
      </c>
      <c r="D108" s="133" t="n">
        <v>64.8</v>
      </c>
      <c r="E108" s="46" t="n">
        <v>12.96</v>
      </c>
      <c r="F108" s="134" t="n">
        <v>952.5599999999999</v>
      </c>
      <c r="G108" s="135" t="n">
        <v>0.463</v>
      </c>
      <c r="H108" s="134" t="n">
        <v>145.84</v>
      </c>
      <c r="I108" s="134" t="n">
        <v>3348</v>
      </c>
      <c r="J108" s="134" t="n">
        <v>1500</v>
      </c>
      <c r="K108" s="134" t="n">
        <v>5946.41</v>
      </c>
      <c r="L108" s="134" t="n">
        <v>1213.55</v>
      </c>
      <c r="M108" s="134" t="n">
        <v>116.87</v>
      </c>
      <c r="N108" s="134">
        <f>IF(A108&lt;=5, "", IF(A108&lt;=10, ROUND((L108-INDEX($L$103:$L$132,5))/5, 2), IF(A108&lt;=20, ROUND((L108-INDEX($L$103:$L$132,10))/10, 2), ROUND((L108-INDEX($L$103:$L$132,20))/10, 2))))</f>
        <v/>
      </c>
    </row>
    <row r="109" ht="18" customHeight="1">
      <c r="A109" s="129" t="n">
        <v>7</v>
      </c>
      <c r="B109" s="129" t="n">
        <v>19.5</v>
      </c>
      <c r="C109" s="130" t="n">
        <v>4.66</v>
      </c>
      <c r="D109" s="130" t="n">
        <v>71.23999999999999</v>
      </c>
      <c r="E109" s="48" t="n">
        <v>14.25</v>
      </c>
      <c r="F109" s="41" t="n">
        <v>1047.38</v>
      </c>
      <c r="G109" s="131" t="n">
        <v>0.509</v>
      </c>
      <c r="H109" s="41" t="n">
        <v>160.34</v>
      </c>
      <c r="I109" s="41" t="n">
        <v>3348</v>
      </c>
      <c r="J109" s="41" t="n">
        <v>1500</v>
      </c>
      <c r="K109" s="41" t="n">
        <v>6055.72</v>
      </c>
      <c r="L109" s="41" t="n">
        <v>1299.51</v>
      </c>
      <c r="M109" s="41" t="n">
        <v>109.31</v>
      </c>
      <c r="N109" s="41">
        <f>IF(A109&lt;=5, "", IF(A109&lt;=10, ROUND((L109-INDEX($L$103:$L$132,5))/5, 2), IF(A109&lt;=20, ROUND((L109-INDEX($L$103:$L$132,10))/10, 2), ROUND((L109-INDEX($L$103:$L$132,20))/10, 2))))</f>
        <v/>
      </c>
    </row>
    <row r="110" ht="18" customHeight="1">
      <c r="A110" s="132" t="n">
        <v>8</v>
      </c>
      <c r="B110" s="132" t="n">
        <v>20</v>
      </c>
      <c r="C110" s="133" t="n">
        <v>4.44</v>
      </c>
      <c r="D110" s="133" t="n">
        <v>77.04000000000001</v>
      </c>
      <c r="E110" s="46" t="n">
        <v>15.41</v>
      </c>
      <c r="F110" s="134" t="n">
        <v>1132.63</v>
      </c>
      <c r="G110" s="135" t="n">
        <v>0.55</v>
      </c>
      <c r="H110" s="134" t="n">
        <v>173.25</v>
      </c>
      <c r="I110" s="134" t="n">
        <v>3348</v>
      </c>
      <c r="J110" s="134" t="n">
        <v>1500</v>
      </c>
      <c r="K110" s="134" t="n">
        <v>6153.89</v>
      </c>
      <c r="L110" s="134" t="n">
        <v>1386.01</v>
      </c>
      <c r="M110" s="134" t="n">
        <v>98.17</v>
      </c>
      <c r="N110" s="134">
        <f>IF(A110&lt;=5, "", IF(A110&lt;=10, ROUND((L110-INDEX($L$103:$L$132,5))/5, 2), IF(A110&lt;=20, ROUND((L110-INDEX($L$103:$L$132,10))/10, 2), ROUND((L110-INDEX($L$103:$L$132,20))/10, 2))))</f>
        <v/>
      </c>
    </row>
    <row r="111" ht="18" customHeight="1">
      <c r="A111" s="129" t="n">
        <v>9</v>
      </c>
      <c r="B111" s="129" t="n">
        <v>20.5</v>
      </c>
      <c r="C111" s="130" t="n">
        <v>4.26</v>
      </c>
      <c r="D111" s="130" t="n">
        <v>82.68000000000001</v>
      </c>
      <c r="E111" s="48" t="n">
        <v>16.54</v>
      </c>
      <c r="F111" s="41" t="n">
        <v>1215.69</v>
      </c>
      <c r="G111" s="131" t="n">
        <v>0.591</v>
      </c>
      <c r="H111" s="41" t="n">
        <v>186.16</v>
      </c>
      <c r="I111" s="41" t="n">
        <v>3348</v>
      </c>
      <c r="J111" s="41" t="n">
        <v>1500</v>
      </c>
      <c r="K111" s="41" t="n">
        <v>6249.86</v>
      </c>
      <c r="L111" s="41" t="n">
        <v>1467.1</v>
      </c>
      <c r="M111" s="41" t="n">
        <v>95.97</v>
      </c>
      <c r="N111" s="41">
        <f>IF(A111&lt;=5, "", IF(A111&lt;=10, ROUND((L111-INDEX($L$103:$L$132,5))/5, 2), IF(A111&lt;=20, ROUND((L111-INDEX($L$103:$L$132,10))/10, 2), ROUND((L111-INDEX($L$103:$L$132,20))/10, 2))))</f>
        <v/>
      </c>
    </row>
    <row r="112" ht="18" customHeight="1">
      <c r="A112" s="132" t="n">
        <v>10</v>
      </c>
      <c r="B112" s="132" t="n">
        <v>21</v>
      </c>
      <c r="C112" s="133" t="n">
        <v>4.1</v>
      </c>
      <c r="D112" s="133" t="n">
        <v>88</v>
      </c>
      <c r="E112" s="46" t="n">
        <v>17.6</v>
      </c>
      <c r="F112" s="134" t="n">
        <v>1293.6</v>
      </c>
      <c r="G112" s="135" t="n">
        <v>0.629</v>
      </c>
      <c r="H112" s="134" t="n">
        <v>198.13</v>
      </c>
      <c r="I112" s="134" t="n">
        <v>3348</v>
      </c>
      <c r="J112" s="134" t="n">
        <v>1500</v>
      </c>
      <c r="K112" s="134" t="n">
        <v>6339.74</v>
      </c>
      <c r="L112" s="134" t="n">
        <v>1546.28</v>
      </c>
      <c r="M112" s="134" t="n">
        <v>89.88</v>
      </c>
      <c r="N112" s="134">
        <f>IF(A112&lt;=5, "", IF(A112&lt;=10, ROUND((L112-INDEX($L$103:$L$132,5))/5, 2), IF(A112&lt;=20, ROUND((L112-INDEX($L$103:$L$132,10))/10, 2), ROUND((L112-INDEX($L$103:$L$132,20))/10, 2))))</f>
        <v/>
      </c>
    </row>
    <row r="113" ht="18" customHeight="1">
      <c r="A113" s="129" t="n">
        <v>11</v>
      </c>
      <c r="B113" s="129" t="n">
        <v>21.5</v>
      </c>
      <c r="C113" s="130" t="n">
        <v>3.95</v>
      </c>
      <c r="D113" s="130" t="n">
        <v>92.90000000000001</v>
      </c>
      <c r="E113" s="48" t="n">
        <v>18.58</v>
      </c>
      <c r="F113" s="41" t="n">
        <v>1365.63</v>
      </c>
      <c r="G113" s="131" t="n">
        <v>0.664</v>
      </c>
      <c r="H113" s="41" t="n">
        <v>209.16</v>
      </c>
      <c r="I113" s="41" t="n">
        <v>3348</v>
      </c>
      <c r="J113" s="41" t="n">
        <v>1500</v>
      </c>
      <c r="K113" s="41" t="n">
        <v>6422.79</v>
      </c>
      <c r="L113" s="41" t="n">
        <v>1626.02</v>
      </c>
      <c r="M113" s="41" t="n">
        <v>83.05</v>
      </c>
      <c r="N113" s="41">
        <f>IF(A113&lt;=5, "", IF(A113&lt;=10, ROUND((L113-INDEX($L$103:$L$132,5))/5, 2), IF(A113&lt;=20, ROUND((L113-INDEX($L$103:$L$132,10))/10, 2), ROUND((L113-INDEX($L$103:$L$132,20))/10, 2))))</f>
        <v/>
      </c>
    </row>
    <row r="114" ht="18" customHeight="1">
      <c r="A114" s="132" t="n">
        <v>12</v>
      </c>
      <c r="B114" s="132" t="n">
        <v>22</v>
      </c>
      <c r="C114" s="133" t="n">
        <v>3.83</v>
      </c>
      <c r="D114" s="133" t="n">
        <v>97.92</v>
      </c>
      <c r="E114" s="46" t="n">
        <v>19.58</v>
      </c>
      <c r="F114" s="134" t="n">
        <v>1439.13</v>
      </c>
      <c r="G114" s="135" t="n">
        <v>0.699</v>
      </c>
      <c r="H114" s="134" t="n">
        <v>220.18</v>
      </c>
      <c r="I114" s="134" t="n">
        <v>3348</v>
      </c>
      <c r="J114" s="134" t="n">
        <v>1500</v>
      </c>
      <c r="K114" s="134" t="n">
        <v>6507.32</v>
      </c>
      <c r="L114" s="134" t="n">
        <v>1699.04</v>
      </c>
      <c r="M114" s="134" t="n">
        <v>84.53</v>
      </c>
      <c r="N114" s="134">
        <f>IF(A114&lt;=5, "", IF(A114&lt;=10, ROUND((L114-INDEX($L$103:$L$132,5))/5, 2), IF(A114&lt;=20, ROUND((L114-INDEX($L$103:$L$132,10))/10, 2), ROUND((L114-INDEX($L$103:$L$132,20))/10, 2))))</f>
        <v/>
      </c>
    </row>
    <row r="115" ht="18" customHeight="1">
      <c r="A115" s="129" t="n">
        <v>13</v>
      </c>
      <c r="B115" s="129" t="n">
        <v>22.5</v>
      </c>
      <c r="C115" s="130" t="n">
        <v>3.71</v>
      </c>
      <c r="D115" s="130" t="n">
        <v>102.46</v>
      </c>
      <c r="E115" s="48" t="n">
        <v>20.49</v>
      </c>
      <c r="F115" s="41" t="n">
        <v>1506.01</v>
      </c>
      <c r="G115" s="131" t="n">
        <v>0.732</v>
      </c>
      <c r="H115" s="41" t="n">
        <v>230.58</v>
      </c>
      <c r="I115" s="41" t="n">
        <v>3348</v>
      </c>
      <c r="J115" s="41" t="n">
        <v>1500</v>
      </c>
      <c r="K115" s="41" t="n">
        <v>6584.6</v>
      </c>
      <c r="L115" s="41" t="n">
        <v>1774.82</v>
      </c>
      <c r="M115" s="41" t="n">
        <v>77.28</v>
      </c>
      <c r="N115" s="41">
        <f>IF(A115&lt;=5, "", IF(A115&lt;=10, ROUND((L115-INDEX($L$103:$L$132,5))/5, 2), IF(A115&lt;=20, ROUND((L115-INDEX($L$103:$L$132,10))/10, 2), ROUND((L115-INDEX($L$103:$L$132,20))/10, 2))))</f>
        <v/>
      </c>
    </row>
    <row r="116" ht="18" customHeight="1">
      <c r="A116" s="132" t="n">
        <v>14</v>
      </c>
      <c r="B116" s="132" t="n">
        <v>23</v>
      </c>
      <c r="C116" s="133" t="n">
        <v>3.61</v>
      </c>
      <c r="D116" s="133" t="n">
        <v>107.08</v>
      </c>
      <c r="E116" s="46" t="n">
        <v>21.42</v>
      </c>
      <c r="F116" s="134" t="n">
        <v>1574.37</v>
      </c>
      <c r="G116" s="135" t="n">
        <v>0.765</v>
      </c>
      <c r="H116" s="134" t="n">
        <v>240.97</v>
      </c>
      <c r="I116" s="134" t="n">
        <v>3348</v>
      </c>
      <c r="J116" s="134" t="n">
        <v>1500</v>
      </c>
      <c r="K116" s="134" t="n">
        <v>6663.35</v>
      </c>
      <c r="L116" s="134" t="n">
        <v>1845.8</v>
      </c>
      <c r="M116" s="134" t="n">
        <v>78.75</v>
      </c>
      <c r="N116" s="134">
        <f>IF(A116&lt;=5, "", IF(A116&lt;=10, ROUND((L116-INDEX($L$103:$L$132,5))/5, 2), IF(A116&lt;=20, ROUND((L116-INDEX($L$103:$L$132,10))/10, 2), ROUND((L116-INDEX($L$103:$L$132,20))/10, 2))))</f>
        <v/>
      </c>
    </row>
    <row r="117" ht="18" customHeight="1">
      <c r="A117" s="129" t="n">
        <v>15</v>
      </c>
      <c r="B117" s="129" t="n">
        <v>23.5</v>
      </c>
      <c r="C117" s="130" t="n">
        <v>3.51</v>
      </c>
      <c r="D117" s="130" t="n">
        <v>111.3</v>
      </c>
      <c r="E117" s="48" t="n">
        <v>22.26</v>
      </c>
      <c r="F117" s="41" t="n">
        <v>1636.11</v>
      </c>
      <c r="G117" s="131" t="n">
        <v>0.795</v>
      </c>
      <c r="H117" s="41" t="n">
        <v>250.43</v>
      </c>
      <c r="I117" s="41" t="n">
        <v>3348</v>
      </c>
      <c r="J117" s="41" t="n">
        <v>1500</v>
      </c>
      <c r="K117" s="41" t="n">
        <v>6734.54</v>
      </c>
      <c r="L117" s="41" t="n">
        <v>1918.67</v>
      </c>
      <c r="M117" s="41" t="n">
        <v>71.19</v>
      </c>
      <c r="N117" s="41">
        <f>IF(A117&lt;=5, "", IF(A117&lt;=10, ROUND((L117-INDEX($L$103:$L$132,5))/5, 2), IF(A117&lt;=20, ROUND((L117-INDEX($L$103:$L$132,10))/10, 2), ROUND((L117-INDEX($L$103:$L$132,20))/10, 2))))</f>
        <v/>
      </c>
    </row>
    <row r="118" ht="18" customHeight="1">
      <c r="A118" s="132" t="n">
        <v>16</v>
      </c>
      <c r="B118" s="132" t="n">
        <v>24</v>
      </c>
      <c r="C118" s="133" t="n">
        <v>3.43</v>
      </c>
      <c r="D118" s="133" t="n">
        <v>115.76</v>
      </c>
      <c r="E118" s="46" t="n">
        <v>23.15</v>
      </c>
      <c r="F118" s="134" t="n">
        <v>1701.52</v>
      </c>
      <c r="G118" s="135" t="n">
        <v>0.827</v>
      </c>
      <c r="H118" s="134" t="n">
        <v>260.5</v>
      </c>
      <c r="I118" s="134" t="n">
        <v>3348</v>
      </c>
      <c r="J118" s="134" t="n">
        <v>1500</v>
      </c>
      <c r="K118" s="134" t="n">
        <v>6810.04</v>
      </c>
      <c r="L118" s="134" t="n">
        <v>1985.43</v>
      </c>
      <c r="M118" s="134" t="n">
        <v>75.5</v>
      </c>
      <c r="N118" s="134">
        <f>IF(A118&lt;=5, "", IF(A118&lt;=10, ROUND((L118-INDEX($L$103:$L$132,5))/5, 2), IF(A118&lt;=20, ROUND((L118-INDEX($L$103:$L$132,10))/10, 2), ROUND((L118-INDEX($L$103:$L$132,20))/10, 2))))</f>
        <v/>
      </c>
    </row>
    <row r="119" ht="18" customHeight="1">
      <c r="A119" s="129" t="n">
        <v>17</v>
      </c>
      <c r="B119" s="129" t="n">
        <v>24.5</v>
      </c>
      <c r="C119" s="130" t="n">
        <v>3.35</v>
      </c>
      <c r="D119" s="130" t="n">
        <v>119.9</v>
      </c>
      <c r="E119" s="48" t="n">
        <v>23.98</v>
      </c>
      <c r="F119" s="41" t="n">
        <v>1762.53</v>
      </c>
      <c r="G119" s="131" t="n">
        <v>0.856</v>
      </c>
      <c r="H119" s="41" t="n">
        <v>269.64</v>
      </c>
      <c r="I119" s="41" t="n">
        <v>3348</v>
      </c>
      <c r="J119" s="41" t="n">
        <v>1500</v>
      </c>
      <c r="K119" s="41" t="n">
        <v>6880.17</v>
      </c>
      <c r="L119" s="41" t="n">
        <v>2053.78</v>
      </c>
      <c r="M119" s="41" t="n">
        <v>70.13</v>
      </c>
      <c r="N119" s="41">
        <f>IF(A119&lt;=5, "", IF(A119&lt;=10, ROUND((L119-INDEX($L$103:$L$132,5))/5, 2), IF(A119&lt;=20, ROUND((L119-INDEX($L$103:$L$132,10))/10, 2), ROUND((L119-INDEX($L$103:$L$132,20))/10, 2))))</f>
        <v/>
      </c>
    </row>
    <row r="120" ht="18" customHeight="1">
      <c r="A120" s="132" t="n">
        <v>18</v>
      </c>
      <c r="B120" s="132" t="n">
        <v>25</v>
      </c>
      <c r="C120" s="133" t="n">
        <v>3.28</v>
      </c>
      <c r="D120" s="133" t="n">
        <v>124.08</v>
      </c>
      <c r="E120" s="46" t="n">
        <v>24.82</v>
      </c>
      <c r="F120" s="134" t="n">
        <v>1824.27</v>
      </c>
      <c r="G120" s="135" t="n">
        <v>0.886</v>
      </c>
      <c r="H120" s="134" t="n">
        <v>279.09</v>
      </c>
      <c r="I120" s="134" t="n">
        <v>3348</v>
      </c>
      <c r="J120" s="134" t="n">
        <v>1500</v>
      </c>
      <c r="K120" s="134" t="n">
        <v>6951.36</v>
      </c>
      <c r="L120" s="134" t="n">
        <v>2119.32</v>
      </c>
      <c r="M120" s="134" t="n">
        <v>71.19</v>
      </c>
      <c r="N120" s="134">
        <f>IF(A120&lt;=5, "", IF(A120&lt;=10, ROUND((L120-INDEX($L$103:$L$132,5))/5, 2), IF(A120&lt;=20, ROUND((L120-INDEX($L$103:$L$132,10))/10, 2), ROUND((L120-INDEX($L$103:$L$132,20))/10, 2))))</f>
        <v/>
      </c>
    </row>
    <row r="121" ht="18" customHeight="1">
      <c r="A121" s="129" t="n">
        <v>19</v>
      </c>
      <c r="B121" s="129" t="n">
        <v>25.5</v>
      </c>
      <c r="C121" s="130" t="n">
        <v>3.21</v>
      </c>
      <c r="D121" s="130" t="n">
        <v>127.98</v>
      </c>
      <c r="E121" s="48" t="n">
        <v>25.6</v>
      </c>
      <c r="F121" s="41" t="n">
        <v>1881.6</v>
      </c>
      <c r="G121" s="131" t="n">
        <v>0.914</v>
      </c>
      <c r="H121" s="41" t="n">
        <v>287.91</v>
      </c>
      <c r="I121" s="41" t="n">
        <v>3348</v>
      </c>
      <c r="J121" s="41" t="n">
        <v>1500</v>
      </c>
      <c r="K121" s="41" t="n">
        <v>7017.51</v>
      </c>
      <c r="L121" s="41" t="n">
        <v>2186.14</v>
      </c>
      <c r="M121" s="41" t="n">
        <v>66.15000000000001</v>
      </c>
      <c r="N121" s="41">
        <f>IF(A121&lt;=5, "", IF(A121&lt;=10, ROUND((L121-INDEX($L$103:$L$132,5))/5, 2), IF(A121&lt;=20, ROUND((L121-INDEX($L$103:$L$132,10))/10, 2), ROUND((L121-INDEX($L$103:$L$132,20))/10, 2))))</f>
        <v/>
      </c>
    </row>
    <row r="122" ht="18" customHeight="1">
      <c r="A122" s="132" t="n">
        <v>20</v>
      </c>
      <c r="B122" s="132" t="n">
        <v>26</v>
      </c>
      <c r="C122" s="133" t="n">
        <v>3.15</v>
      </c>
      <c r="D122" s="133" t="n">
        <v>132</v>
      </c>
      <c r="E122" s="46" t="n">
        <v>26.4</v>
      </c>
      <c r="F122" s="134" t="n">
        <v>1940.4</v>
      </c>
      <c r="G122" s="135" t="n">
        <v>0.9429999999999999</v>
      </c>
      <c r="H122" s="134" t="n">
        <v>297.04</v>
      </c>
      <c r="I122" s="134" t="n">
        <v>3348</v>
      </c>
      <c r="J122" s="134" t="n">
        <v>1500</v>
      </c>
      <c r="K122" s="134" t="n">
        <v>7085.45</v>
      </c>
      <c r="L122" s="134" t="n">
        <v>2249.35</v>
      </c>
      <c r="M122" s="134" t="n">
        <v>67.94</v>
      </c>
      <c r="N122" s="134">
        <f>IF(A122&lt;=5, "", IF(A122&lt;=10, ROUND((L122-INDEX($L$103:$L$132,5))/5, 2), IF(A122&lt;=20, ROUND((L122-INDEX($L$103:$L$132,10))/10, 2), ROUND((L122-INDEX($L$103:$L$132,20))/10, 2))))</f>
        <v/>
      </c>
    </row>
    <row r="123" ht="18" customHeight="1">
      <c r="A123" s="129" t="n">
        <v>21</v>
      </c>
      <c r="B123" s="129" t="n">
        <v>26.5</v>
      </c>
      <c r="C123" s="130" t="n">
        <v>3.09</v>
      </c>
      <c r="D123" s="130" t="n">
        <v>135.78</v>
      </c>
      <c r="E123" s="48" t="n">
        <v>27.16</v>
      </c>
      <c r="F123" s="41" t="n">
        <v>1996.26</v>
      </c>
      <c r="G123" s="131" t="n">
        <v>0.97</v>
      </c>
      <c r="H123" s="41" t="n">
        <v>305.55</v>
      </c>
      <c r="I123" s="41" t="n">
        <v>3348</v>
      </c>
      <c r="J123" s="41" t="n">
        <v>1500</v>
      </c>
      <c r="K123" s="41" t="n">
        <v>7149.81</v>
      </c>
      <c r="L123" s="41" t="n">
        <v>2313.85</v>
      </c>
      <c r="M123" s="41" t="n">
        <v>64.36</v>
      </c>
      <c r="N123" s="41">
        <f>IF(A123&lt;=5, "", IF(A123&lt;=10, ROUND((L123-INDEX($L$103:$L$132,5))/5, 2), IF(A123&lt;=20, ROUND((L123-INDEX($L$103:$L$132,10))/10, 2), ROUND((L123-INDEX($L$103:$L$132,20))/10, 2))))</f>
        <v/>
      </c>
    </row>
    <row r="124" ht="18" customHeight="1">
      <c r="A124" s="132" t="n">
        <v>22</v>
      </c>
      <c r="B124" s="132" t="n">
        <v>27</v>
      </c>
      <c r="C124" s="133" t="n">
        <v>3.04</v>
      </c>
      <c r="D124" s="133" t="n">
        <v>139.76</v>
      </c>
      <c r="E124" s="46" t="n">
        <v>27.95</v>
      </c>
      <c r="F124" s="134" t="n">
        <v>2054.32</v>
      </c>
      <c r="G124" s="135" t="n">
        <v>0.998</v>
      </c>
      <c r="H124" s="134" t="n">
        <v>314.37</v>
      </c>
      <c r="I124" s="134" t="n">
        <v>3348</v>
      </c>
      <c r="J124" s="134" t="n">
        <v>1500</v>
      </c>
      <c r="K124" s="134" t="n">
        <v>7216.7</v>
      </c>
      <c r="L124" s="134" t="n">
        <v>2373.91</v>
      </c>
      <c r="M124" s="134" t="n">
        <v>66.89</v>
      </c>
      <c r="N124" s="134">
        <f>IF(A124&lt;=5, "", IF(A124&lt;=10, ROUND((L124-INDEX($L$103:$L$132,5))/5, 2), IF(A124&lt;=20, ROUND((L124-INDEX($L$103:$L$132,10))/10, 2), ROUND((L124-INDEX($L$103:$L$132,20))/10, 2))))</f>
        <v/>
      </c>
    </row>
    <row r="125" ht="18" customHeight="1">
      <c r="A125" s="129" t="n">
        <v>23</v>
      </c>
      <c r="B125" s="129" t="n">
        <v>27.5</v>
      </c>
      <c r="C125" s="130" t="n">
        <v>2.99</v>
      </c>
      <c r="D125" s="130" t="n">
        <v>143.54</v>
      </c>
      <c r="E125" s="48" t="n">
        <v>28.71</v>
      </c>
      <c r="F125" s="41" t="n">
        <v>2110.18</v>
      </c>
      <c r="G125" s="131" t="n">
        <v>1.025</v>
      </c>
      <c r="H125" s="41" t="n">
        <v>322.88</v>
      </c>
      <c r="I125" s="41" t="n">
        <v>3348</v>
      </c>
      <c r="J125" s="41" t="n">
        <v>1500</v>
      </c>
      <c r="K125" s="41" t="n">
        <v>7281.07</v>
      </c>
      <c r="L125" s="41" t="n">
        <v>2435.14</v>
      </c>
      <c r="M125" s="41" t="n">
        <v>64.37</v>
      </c>
      <c r="N125" s="41">
        <f>IF(A125&lt;=5, "", IF(A125&lt;=10, ROUND((L125-INDEX($L$103:$L$132,5))/5, 2), IF(A125&lt;=20, ROUND((L125-INDEX($L$103:$L$132,10))/10, 2), ROUND((L125-INDEX($L$103:$L$132,20))/10, 2))))</f>
        <v/>
      </c>
    </row>
    <row r="126" ht="18" customHeight="1">
      <c r="A126" s="132" t="n">
        <v>24</v>
      </c>
      <c r="B126" s="132" t="n">
        <v>28</v>
      </c>
      <c r="C126" s="133" t="n">
        <v>2.95</v>
      </c>
      <c r="D126" s="133" t="n">
        <v>147.6</v>
      </c>
      <c r="E126" s="46" t="n">
        <v>29.52</v>
      </c>
      <c r="F126" s="134" t="n">
        <v>2169.72</v>
      </c>
      <c r="G126" s="135" t="n">
        <v>1.054</v>
      </c>
      <c r="H126" s="134" t="n">
        <v>332.01</v>
      </c>
      <c r="I126" s="134" t="n">
        <v>3348</v>
      </c>
      <c r="J126" s="134" t="n">
        <v>1500</v>
      </c>
      <c r="K126" s="134" t="n">
        <v>7349.73</v>
      </c>
      <c r="L126" s="134" t="n">
        <v>2491.43</v>
      </c>
      <c r="M126" s="134" t="n">
        <v>68.66</v>
      </c>
      <c r="N126" s="134">
        <f>IF(A126&lt;=5, "", IF(A126&lt;=10, ROUND((L126-INDEX($L$103:$L$132,5))/5, 2), IF(A126&lt;=20, ROUND((L126-INDEX($L$103:$L$132,10))/10, 2), ROUND((L126-INDEX($L$103:$L$132,20))/10, 2))))</f>
        <v/>
      </c>
    </row>
    <row r="127" ht="18" customHeight="1">
      <c r="A127" s="129" t="n">
        <v>25</v>
      </c>
      <c r="B127" s="129" t="n">
        <v>28.5</v>
      </c>
      <c r="C127" s="130" t="n">
        <v>2.9</v>
      </c>
      <c r="D127" s="130" t="n">
        <v>151</v>
      </c>
      <c r="E127" s="48" t="n">
        <v>30.2</v>
      </c>
      <c r="F127" s="41" t="n">
        <v>2219.7</v>
      </c>
      <c r="G127" s="131" t="n">
        <v>1.079</v>
      </c>
      <c r="H127" s="41" t="n">
        <v>339.88</v>
      </c>
      <c r="I127" s="41" t="n">
        <v>3348</v>
      </c>
      <c r="J127" s="41" t="n">
        <v>1500</v>
      </c>
      <c r="K127" s="41" t="n">
        <v>7407.59</v>
      </c>
      <c r="L127" s="41" t="n">
        <v>2554.34</v>
      </c>
      <c r="M127" s="41" t="n">
        <v>57.86</v>
      </c>
      <c r="N127" s="41">
        <f>IF(A127&lt;=5, "", IF(A127&lt;=10, ROUND((L127-INDEX($L$103:$L$132,5))/5, 2), IF(A127&lt;=20, ROUND((L127-INDEX($L$103:$L$132,10))/10, 2), ROUND((L127-INDEX($L$103:$L$132,20))/10, 2))))</f>
        <v/>
      </c>
    </row>
    <row r="128" ht="18" customHeight="1">
      <c r="A128" s="132" t="n">
        <v>26</v>
      </c>
      <c r="B128" s="132" t="n">
        <v>29</v>
      </c>
      <c r="C128" s="133" t="n">
        <v>2.86</v>
      </c>
      <c r="D128" s="133" t="n">
        <v>154.72</v>
      </c>
      <c r="E128" s="46" t="n">
        <v>30.94</v>
      </c>
      <c r="F128" s="134" t="n">
        <v>2274.09</v>
      </c>
      <c r="G128" s="135" t="n">
        <v>1.105</v>
      </c>
      <c r="H128" s="134" t="n">
        <v>348.07</v>
      </c>
      <c r="I128" s="134" t="n">
        <v>3348</v>
      </c>
      <c r="J128" s="134" t="n">
        <v>1500</v>
      </c>
      <c r="K128" s="134" t="n">
        <v>7470.17</v>
      </c>
      <c r="L128" s="134" t="n">
        <v>2611.95</v>
      </c>
      <c r="M128" s="134" t="n">
        <v>62.58</v>
      </c>
      <c r="N128" s="134">
        <f>IF(A128&lt;=5, "", IF(A128&lt;=10, ROUND((L128-INDEX($L$103:$L$132,5))/5, 2), IF(A128&lt;=20, ROUND((L128-INDEX($L$103:$L$132,10))/10, 2), ROUND((L128-INDEX($L$103:$L$132,20))/10, 2))))</f>
        <v/>
      </c>
    </row>
    <row r="129" ht="18" customHeight="1">
      <c r="A129" s="129" t="n">
        <v>27</v>
      </c>
      <c r="B129" s="129" t="n">
        <v>29.5</v>
      </c>
      <c r="C129" s="130" t="n">
        <v>2.83</v>
      </c>
      <c r="D129" s="130" t="n">
        <v>158.82</v>
      </c>
      <c r="E129" s="48" t="n">
        <v>31.76</v>
      </c>
      <c r="F129" s="41" t="n">
        <v>2334.36</v>
      </c>
      <c r="G129" s="131" t="n">
        <v>1.134</v>
      </c>
      <c r="H129" s="41" t="n">
        <v>357.21</v>
      </c>
      <c r="I129" s="41" t="n">
        <v>3348</v>
      </c>
      <c r="J129" s="41" t="n">
        <v>1500</v>
      </c>
      <c r="K129" s="41" t="n">
        <v>7539.57</v>
      </c>
      <c r="L129" s="41" t="n">
        <v>2664.16</v>
      </c>
      <c r="M129" s="41" t="n">
        <v>69.40000000000001</v>
      </c>
      <c r="N129" s="41">
        <f>IF(A129&lt;=5, "", IF(A129&lt;=10, ROUND((L129-INDEX($L$103:$L$132,5))/5, 2), IF(A129&lt;=20, ROUND((L129-INDEX($L$103:$L$132,10))/10, 2), ROUND((L129-INDEX($L$103:$L$132,20))/10, 2))))</f>
        <v/>
      </c>
    </row>
    <row r="130" ht="18" customHeight="1">
      <c r="A130" s="132" t="n">
        <v>28</v>
      </c>
      <c r="B130" s="132" t="n">
        <v>30</v>
      </c>
      <c r="C130" s="133" t="n">
        <v>2.79</v>
      </c>
      <c r="D130" s="133" t="n">
        <v>162.24</v>
      </c>
      <c r="E130" s="46" t="n">
        <v>32.45</v>
      </c>
      <c r="F130" s="134" t="n">
        <v>2385.08</v>
      </c>
      <c r="G130" s="135" t="n">
        <v>1.159</v>
      </c>
      <c r="H130" s="134" t="n">
        <v>365.09</v>
      </c>
      <c r="I130" s="134" t="n">
        <v>3348</v>
      </c>
      <c r="J130" s="134" t="n">
        <v>1500</v>
      </c>
      <c r="K130" s="134" t="n">
        <v>7598.17</v>
      </c>
      <c r="L130" s="134" t="n">
        <v>2723.36</v>
      </c>
      <c r="M130" s="134" t="n">
        <v>58.6</v>
      </c>
      <c r="N130" s="134">
        <f>IF(A130&lt;=5, "", IF(A130&lt;=10, ROUND((L130-INDEX($L$103:$L$132,5))/5, 2), IF(A130&lt;=20, ROUND((L130-INDEX($L$103:$L$132,10))/10, 2), ROUND((L130-INDEX($L$103:$L$132,20))/10, 2))))</f>
        <v/>
      </c>
    </row>
    <row r="131" ht="18" customHeight="1">
      <c r="A131" s="129" t="n">
        <v>29</v>
      </c>
      <c r="B131" s="129" t="n">
        <v>30.5</v>
      </c>
      <c r="C131" s="130" t="n">
        <v>2.76</v>
      </c>
      <c r="D131" s="130" t="n">
        <v>166.08</v>
      </c>
      <c r="E131" s="48" t="n">
        <v>33.22</v>
      </c>
      <c r="F131" s="41" t="n">
        <v>2441.67</v>
      </c>
      <c r="G131" s="131" t="n">
        <v>1.186</v>
      </c>
      <c r="H131" s="41" t="n">
        <v>373.59</v>
      </c>
      <c r="I131" s="41" t="n">
        <v>3348</v>
      </c>
      <c r="J131" s="41" t="n">
        <v>1500</v>
      </c>
      <c r="K131" s="41" t="n">
        <v>7663.26</v>
      </c>
      <c r="L131" s="41" t="n">
        <v>2776.54</v>
      </c>
      <c r="M131" s="41" t="n">
        <v>65.09</v>
      </c>
      <c r="N131" s="41">
        <f>IF(A131&lt;=5, "", IF(A131&lt;=10, ROUND((L131-INDEX($L$103:$L$132,5))/5, 2), IF(A131&lt;=20, ROUND((L131-INDEX($L$103:$L$132,10))/10, 2), ROUND((L131-INDEX($L$103:$L$132,20))/10, 2))))</f>
        <v/>
      </c>
    </row>
    <row r="132" ht="18" customHeight="1">
      <c r="A132" s="132" t="n">
        <v>30</v>
      </c>
      <c r="B132" s="132" t="n">
        <v>31</v>
      </c>
      <c r="C132" s="133" t="n">
        <v>2.73</v>
      </c>
      <c r="D132" s="133" t="n">
        <v>169.8</v>
      </c>
      <c r="E132" s="46" t="n">
        <v>33.96</v>
      </c>
      <c r="F132" s="134" t="n">
        <v>2496.06</v>
      </c>
      <c r="G132" s="135" t="n">
        <v>1.213</v>
      </c>
      <c r="H132" s="134" t="n">
        <v>382.1</v>
      </c>
      <c r="I132" s="134" t="n">
        <v>3348</v>
      </c>
      <c r="J132" s="134" t="n">
        <v>1500</v>
      </c>
      <c r="K132" s="134" t="n">
        <v>7726.16</v>
      </c>
      <c r="L132" s="134" t="n">
        <v>2830.1</v>
      </c>
      <c r="M132" s="134" t="n">
        <v>62.9</v>
      </c>
      <c r="N132" s="134">
        <f>IF(A132&lt;=5, "", IF(A132&lt;=10, ROUND((L132-INDEX($L$103:$L$132,5))/5, 2), IF(A132&lt;=20, ROUND((L132-INDEX($L$103:$L$132,10))/10, 2), ROUND((L132-INDEX($L$103:$L$132,20))/10, 2))))</f>
        <v/>
      </c>
    </row>
    <row r="133" ht="40" customHeight="1">
      <c r="A133" s="18" t="inlineStr">
        <is>
          <t>HOW THIS TABLE IS BUILT: N = 8 / ((2L/S) + 1). Km done per day = 2NL + 6, the 6 km being the depot run. Diesel = km / 5.0. Mobil oil = km / 140.0. Total shift cost = truck hire 0084 + 6 Beldars 0114 + diesel 1235 + mobil oil 5001. Section 1 above reproduces this line for line, which is why its W should equal the shift cost here.</t>
        </is>
      </c>
      <c r="B133" s="60" t="n"/>
      <c r="C133" s="60" t="n"/>
      <c r="D133" s="60" t="n"/>
      <c r="E133" s="60" t="n"/>
      <c r="F133" s="60" t="n"/>
      <c r="G133" s="60" t="n"/>
      <c r="H133" s="60" t="n"/>
      <c r="I133" s="60" t="n"/>
    </row>
    <row r="134"/>
    <row r="135" ht="30" customHeight="1">
      <c r="A135" s="32" t="inlineStr">
        <is>
          <t>5B. TABLE 1.1 - MECHANICAL TRANSPORT RATE LADDER (CPWD DAR 2019, printed pages 69-70). Net payable quantity is the divisor CPWD uses; the eight rate columns are the book's own published rates per schedule unit including 15% CP&amp;OH.</t>
        </is>
      </c>
    </row>
    <row r="136" ht="30" customHeight="1">
      <c r="A136" s="1" t="inlineStr">
        <is>
          <t>DAR item</t>
        </is>
      </c>
      <c r="B136" s="1" t="inlineStr">
        <is>
          <t>Material / Specification</t>
        </is>
      </c>
      <c r="C136" s="1" t="inlineStr">
        <is>
          <t>Capacity per trip</t>
        </is>
      </c>
      <c r="D136" s="1" t="inlineStr">
        <is>
          <t>Net payable qty</t>
        </is>
      </c>
      <c r="E136" s="1" t="inlineStr">
        <is>
          <t>Schedule unit</t>
        </is>
      </c>
      <c r="F136" s="1" t="inlineStr">
        <is>
          <t>Looseness deduction</t>
        </is>
      </c>
      <c r="G136" s="1" t="inlineStr">
        <is>
          <t>Rate 1 km</t>
        </is>
      </c>
      <c r="H136" s="1" t="inlineStr">
        <is>
          <t>Rate 2 km</t>
        </is>
      </c>
      <c r="I136" s="1" t="inlineStr">
        <is>
          <t>Rate 3 km</t>
        </is>
      </c>
      <c r="J136" s="1" t="inlineStr">
        <is>
          <t>Rate 4 km</t>
        </is>
      </c>
      <c r="K136" s="1" t="inlineStr">
        <is>
          <t>Rate 5 km</t>
        </is>
      </c>
      <c r="L136" s="1" t="inlineStr">
        <is>
          <t>&gt;5-10 km per km</t>
        </is>
      </c>
      <c r="M136" s="1" t="inlineStr">
        <is>
          <t>&gt;10-20 km per km</t>
        </is>
      </c>
      <c r="N136" s="1" t="inlineStr">
        <is>
          <t>&gt;20 km per addl km</t>
        </is>
      </c>
    </row>
    <row r="137" ht="18" customHeight="1">
      <c r="A137" s="8" t="inlineStr">
        <is>
          <t>1.1.1</t>
        </is>
      </c>
      <c r="B137" s="7" t="inlineStr">
        <is>
          <t>Lime, moorum, building rubbish</t>
        </is>
      </c>
      <c r="C137" s="8" t="n">
        <v>8</v>
      </c>
      <c r="D137" s="35" t="n">
        <v>8</v>
      </c>
      <c r="E137" s="8" t="inlineStr">
        <is>
          <t>cum</t>
        </is>
      </c>
      <c r="F137" s="7" t="inlineStr">
        <is>
          <t>Nil - full capacity payable</t>
        </is>
      </c>
      <c r="G137" s="41" t="n">
        <v>104.94</v>
      </c>
      <c r="H137" s="41" t="n">
        <v>119.54</v>
      </c>
      <c r="I137" s="41" t="n">
        <v>134</v>
      </c>
      <c r="J137" s="41" t="n">
        <v>147.91</v>
      </c>
      <c r="K137" s="41" t="n">
        <v>161.46</v>
      </c>
      <c r="L137" s="41" t="n">
        <v>12.16</v>
      </c>
      <c r="M137" s="41" t="n">
        <v>10.11</v>
      </c>
      <c r="N137" s="41" t="n">
        <v>8.35</v>
      </c>
    </row>
    <row r="138" ht="18" customHeight="1">
      <c r="A138" s="4" t="inlineStr">
        <is>
          <t>1.1.2</t>
        </is>
      </c>
      <c r="B138" s="3" t="inlineStr">
        <is>
          <t>Earth</t>
        </is>
      </c>
      <c r="C138" s="4" t="n">
        <v>8</v>
      </c>
      <c r="D138" s="35" t="n">
        <v>6.4</v>
      </c>
      <c r="E138" s="4" t="inlineStr">
        <is>
          <t>cum</t>
        </is>
      </c>
      <c r="F138" s="3" t="inlineStr">
        <is>
          <t>20% deduction for looseness (8.00 -&gt; 6.40 cum)</t>
        </is>
      </c>
      <c r="G138" s="134" t="n">
        <v>131.17</v>
      </c>
      <c r="H138" s="134" t="n">
        <v>149.43</v>
      </c>
      <c r="I138" s="134" t="n">
        <v>167.5</v>
      </c>
      <c r="J138" s="134" t="n">
        <v>184.89</v>
      </c>
      <c r="K138" s="134" t="n">
        <v>201.83</v>
      </c>
      <c r="L138" s="134" t="n">
        <v>15.2</v>
      </c>
      <c r="M138" s="134" t="n">
        <v>12.63</v>
      </c>
      <c r="N138" s="134" t="n">
        <v>10.44</v>
      </c>
    </row>
    <row r="139" ht="18" customHeight="1">
      <c r="A139" s="8" t="inlineStr">
        <is>
          <t>1.1.3</t>
        </is>
      </c>
      <c r="B139" s="7" t="inlineStr">
        <is>
          <t>Manure or sludge</t>
        </is>
      </c>
      <c r="C139" s="8" t="n">
        <v>8</v>
      </c>
      <c r="D139" s="35" t="n">
        <v>7.36</v>
      </c>
      <c r="E139" s="8" t="inlineStr">
        <is>
          <t>cum</t>
        </is>
      </c>
      <c r="F139" s="7" t="inlineStr">
        <is>
          <t>8% deduction for looseness (8.00 -&gt; 7.36 cum)</t>
        </is>
      </c>
      <c r="G139" s="41" t="n">
        <v>114.06</v>
      </c>
      <c r="H139" s="41" t="n">
        <v>129.94</v>
      </c>
      <c r="I139" s="41" t="n">
        <v>145.65</v>
      </c>
      <c r="J139" s="41" t="n">
        <v>160.78</v>
      </c>
      <c r="K139" s="41" t="n">
        <v>175.5</v>
      </c>
      <c r="L139" s="41" t="n">
        <v>13.22</v>
      </c>
      <c r="M139" s="41" t="n">
        <v>10.99</v>
      </c>
      <c r="N139" s="41" t="n">
        <v>9.08</v>
      </c>
    </row>
    <row r="140" ht="18" customHeight="1">
      <c r="A140" s="4" t="inlineStr">
        <is>
          <t>1.1.4</t>
        </is>
      </c>
      <c r="B140" s="3" t="inlineStr">
        <is>
          <t>Excavated rock</t>
        </is>
      </c>
      <c r="C140" s="4" t="n">
        <v>8</v>
      </c>
      <c r="D140" s="35" t="n">
        <v>4</v>
      </c>
      <c r="E140" s="4" t="inlineStr">
        <is>
          <t>cum</t>
        </is>
      </c>
      <c r="F140" s="3" t="inlineStr">
        <is>
          <t>50% deduction for voids / looseness (8.00 -&gt; 4.00 cum)</t>
        </is>
      </c>
      <c r="G140" s="134" t="n">
        <v>209.88</v>
      </c>
      <c r="H140" s="134" t="n">
        <v>239.09</v>
      </c>
      <c r="I140" s="134" t="n">
        <v>267.99</v>
      </c>
      <c r="J140" s="134" t="n">
        <v>295.83</v>
      </c>
      <c r="K140" s="134" t="n">
        <v>322.93</v>
      </c>
      <c r="L140" s="134" t="n">
        <v>24.33</v>
      </c>
      <c r="M140" s="134" t="n">
        <v>20.21</v>
      </c>
      <c r="N140" s="134" t="n">
        <v>16.7</v>
      </c>
    </row>
    <row r="141" ht="18" customHeight="1">
      <c r="A141" s="8" t="inlineStr">
        <is>
          <t>1.1.5</t>
        </is>
      </c>
      <c r="B141" s="7" t="inlineStr">
        <is>
          <t>Sand, stone aggregate below 40 mm nominal size</t>
        </is>
      </c>
      <c r="C141" s="8" t="n">
        <v>8</v>
      </c>
      <c r="D141" s="35" t="n">
        <v>8</v>
      </c>
      <c r="E141" s="8" t="inlineStr">
        <is>
          <t>cum</t>
        </is>
      </c>
      <c r="F141" s="7" t="inlineStr">
        <is>
          <t>Nil - full capacity payable</t>
        </is>
      </c>
      <c r="G141" s="41" t="n">
        <v>104.94</v>
      </c>
      <c r="H141" s="41" t="n">
        <v>119.54</v>
      </c>
      <c r="I141" s="41" t="n">
        <v>134</v>
      </c>
      <c r="J141" s="41" t="n">
        <v>147.91</v>
      </c>
      <c r="K141" s="41" t="n">
        <v>161.46</v>
      </c>
      <c r="L141" s="41" t="n">
        <v>12.16</v>
      </c>
      <c r="M141" s="41" t="n">
        <v>10.11</v>
      </c>
      <c r="N141" s="41" t="n">
        <v>8.35</v>
      </c>
    </row>
    <row r="142" ht="18" customHeight="1">
      <c r="A142" s="4" t="inlineStr">
        <is>
          <t>1.1.6</t>
        </is>
      </c>
      <c r="B142" s="3" t="inlineStr">
        <is>
          <t>Stone aggregate 40 mm nominal size and above</t>
        </is>
      </c>
      <c r="C142" s="4" t="n">
        <v>8</v>
      </c>
      <c r="D142" s="35" t="n">
        <v>7.36</v>
      </c>
      <c r="E142" s="4" t="inlineStr">
        <is>
          <t>cum</t>
        </is>
      </c>
      <c r="F142" s="3" t="inlineStr">
        <is>
          <t>8% deduction for voids in coarse aggregate (8.00 -&gt; 7.36 cum)</t>
        </is>
      </c>
      <c r="G142" s="134" t="n">
        <v>114.06</v>
      </c>
      <c r="H142" s="134" t="n">
        <v>129.94</v>
      </c>
      <c r="I142" s="134" t="n">
        <v>145.65</v>
      </c>
      <c r="J142" s="134" t="n">
        <v>160.78</v>
      </c>
      <c r="K142" s="134" t="n">
        <v>175.5</v>
      </c>
      <c r="L142" s="134" t="n">
        <v>13.22</v>
      </c>
      <c r="M142" s="134" t="n">
        <v>10.99</v>
      </c>
      <c r="N142" s="134" t="n">
        <v>9.08</v>
      </c>
    </row>
    <row r="143" ht="18" customHeight="1">
      <c r="A143" s="8" t="inlineStr">
        <is>
          <t>1.1.7</t>
        </is>
      </c>
      <c r="B143" s="7" t="inlineStr">
        <is>
          <t>Soling stone</t>
        </is>
      </c>
      <c r="C143" s="8" t="n">
        <v>8</v>
      </c>
      <c r="D143" s="35" t="n">
        <v>6.8</v>
      </c>
      <c r="E143" s="8" t="inlineStr">
        <is>
          <t>cum</t>
        </is>
      </c>
      <c r="F143" s="7" t="inlineStr">
        <is>
          <t>15% deduction for stack voids (8.00 -&gt; 6.80 cum)</t>
        </is>
      </c>
      <c r="G143" s="41" t="n">
        <v>123.46</v>
      </c>
      <c r="H143" s="41" t="n">
        <v>140.64</v>
      </c>
      <c r="I143" s="41" t="n">
        <v>157.64</v>
      </c>
      <c r="J143" s="41" t="n">
        <v>174.02</v>
      </c>
      <c r="K143" s="41" t="n">
        <v>189.96</v>
      </c>
      <c r="L143" s="41" t="n">
        <v>14.31</v>
      </c>
      <c r="M143" s="41" t="n">
        <v>11.89</v>
      </c>
      <c r="N143" s="41" t="n">
        <v>9.82</v>
      </c>
    </row>
    <row r="144" ht="18" customHeight="1">
      <c r="A144" s="4" t="inlineStr">
        <is>
          <t>1.1.8</t>
        </is>
      </c>
      <c r="B144" s="3" t="inlineStr">
        <is>
          <t>Bricks</t>
        </is>
      </c>
      <c r="C144" s="4" t="n">
        <v>3000</v>
      </c>
      <c r="D144" s="35" t="n">
        <v>3000</v>
      </c>
      <c r="E144" s="4" t="inlineStr">
        <is>
          <t>1000 Nos</t>
        </is>
      </c>
      <c r="F144" s="3" t="inlineStr">
        <is>
          <t>Nil - full capacity payable</t>
        </is>
      </c>
      <c r="G144" s="134" t="n">
        <v>279.83</v>
      </c>
      <c r="H144" s="134" t="n">
        <v>318.78</v>
      </c>
      <c r="I144" s="134" t="n">
        <v>357.32</v>
      </c>
      <c r="J144" s="134" t="n">
        <v>394.44</v>
      </c>
      <c r="K144" s="134" t="n">
        <v>430.57</v>
      </c>
      <c r="L144" s="134" t="n">
        <v>32.43</v>
      </c>
      <c r="M144" s="134" t="n">
        <v>26.95</v>
      </c>
      <c r="N144" s="134" t="n">
        <v>22.26</v>
      </c>
    </row>
    <row r="145" ht="18" customHeight="1">
      <c r="A145" s="8" t="inlineStr">
        <is>
          <t>1.1.9</t>
        </is>
      </c>
      <c r="B145" s="7" t="inlineStr">
        <is>
          <t>Brick Tiles</t>
        </is>
      </c>
      <c r="C145" s="8" t="n">
        <v>5000</v>
      </c>
      <c r="D145" s="35" t="n">
        <v>5000</v>
      </c>
      <c r="E145" s="8" t="inlineStr">
        <is>
          <t>1000 Nos</t>
        </is>
      </c>
      <c r="F145" s="7" t="inlineStr">
        <is>
          <t>Nil - full capacity payable</t>
        </is>
      </c>
      <c r="G145" s="41" t="n">
        <v>167.9</v>
      </c>
      <c r="H145" s="41" t="n">
        <v>191.27</v>
      </c>
      <c r="I145" s="41" t="n">
        <v>214.39</v>
      </c>
      <c r="J145" s="41" t="n">
        <v>236.66</v>
      </c>
      <c r="K145" s="41" t="n">
        <v>258.34</v>
      </c>
      <c r="L145" s="41" t="n">
        <v>19.46</v>
      </c>
      <c r="M145" s="41" t="n">
        <v>16.17</v>
      </c>
      <c r="N145" s="41" t="n">
        <v>13.36</v>
      </c>
    </row>
    <row r="146" ht="18" customHeight="1">
      <c r="A146" s="4" t="inlineStr">
        <is>
          <t>1.1.10</t>
        </is>
      </c>
      <c r="B146" s="3" t="inlineStr">
        <is>
          <t>Cement, stone blocks, G.I., C.I., A.C. &amp; C.C. pipes below 100 mm dia and other heavy materials</t>
        </is>
      </c>
      <c r="C146" s="4" t="n">
        <v>9</v>
      </c>
      <c r="D146" s="35" t="n">
        <v>9</v>
      </c>
      <c r="E146" s="4" t="inlineStr">
        <is>
          <t>tonne</t>
        </is>
      </c>
      <c r="F146" s="3" t="inlineStr">
        <is>
          <t>Nil - full capacity payable</t>
        </is>
      </c>
      <c r="G146" s="134" t="n">
        <v>93.28</v>
      </c>
      <c r="H146" s="134" t="n">
        <v>106.26</v>
      </c>
      <c r="I146" s="134" t="n">
        <v>119.11</v>
      </c>
      <c r="J146" s="134" t="n">
        <v>131.48</v>
      </c>
      <c r="K146" s="134" t="n">
        <v>143.52</v>
      </c>
      <c r="L146" s="134" t="n">
        <v>10.81</v>
      </c>
      <c r="M146" s="134" t="n">
        <v>8.98</v>
      </c>
      <c r="N146" s="134" t="n">
        <v>7.42</v>
      </c>
    </row>
    <row r="147" ht="18" customHeight="1">
      <c r="A147" s="8" t="inlineStr">
        <is>
          <t>1.1.11</t>
        </is>
      </c>
      <c r="B147" s="7" t="inlineStr">
        <is>
          <t>Steel</t>
        </is>
      </c>
      <c r="C147" s="8" t="n">
        <v>9</v>
      </c>
      <c r="D147" s="35" t="n">
        <v>9</v>
      </c>
      <c r="E147" s="8" t="inlineStr">
        <is>
          <t>tonne</t>
        </is>
      </c>
      <c r="F147" s="7" t="inlineStr">
        <is>
          <t>Nil - full capacity payable</t>
        </is>
      </c>
      <c r="G147" s="41" t="n">
        <v>93.28</v>
      </c>
      <c r="H147" s="41" t="n">
        <v>106.26</v>
      </c>
      <c r="I147" s="41" t="n">
        <v>119.11</v>
      </c>
      <c r="J147" s="41" t="n">
        <v>131.48</v>
      </c>
      <c r="K147" s="41" t="n">
        <v>143.52</v>
      </c>
      <c r="L147" s="41" t="n">
        <v>10.81</v>
      </c>
      <c r="M147" s="41" t="n">
        <v>8.98</v>
      </c>
      <c r="N147" s="41" t="n">
        <v>7.42</v>
      </c>
    </row>
    <row r="148" ht="18" customHeight="1">
      <c r="A148" s="4" t="inlineStr">
        <is>
          <t>1.1.12</t>
        </is>
      </c>
      <c r="B148" s="3" t="inlineStr">
        <is>
          <t>Timber</t>
        </is>
      </c>
      <c r="C148" s="4" t="n">
        <v>7</v>
      </c>
      <c r="D148" s="35" t="n">
        <v>7</v>
      </c>
      <c r="E148" s="4" t="inlineStr">
        <is>
          <t>cum</t>
        </is>
      </c>
      <c r="F148" s="3" t="inlineStr">
        <is>
          <t>Nil - full capacity payable</t>
        </is>
      </c>
      <c r="G148" s="134" t="n">
        <v>119.93</v>
      </c>
      <c r="H148" s="134" t="n">
        <v>136.62</v>
      </c>
      <c r="I148" s="134" t="n">
        <v>153.14</v>
      </c>
      <c r="J148" s="134" t="n">
        <v>169.05</v>
      </c>
      <c r="K148" s="134" t="n">
        <v>184.53</v>
      </c>
      <c r="L148" s="134" t="n">
        <v>13.9</v>
      </c>
      <c r="M148" s="134" t="n">
        <v>11.55</v>
      </c>
      <c r="N148" s="134" t="n">
        <v>9.539999999999999</v>
      </c>
    </row>
    <row r="149" ht="18" customHeight="1">
      <c r="A149" s="8" t="inlineStr">
        <is>
          <t>1.1.13</t>
        </is>
      </c>
      <c r="B149" s="7" t="inlineStr">
        <is>
          <t>Tar, bitumen</t>
        </is>
      </c>
      <c r="C149" s="8" t="n">
        <v>8</v>
      </c>
      <c r="D149" s="35" t="n">
        <v>8</v>
      </c>
      <c r="E149" s="8" t="inlineStr">
        <is>
          <t>tonne</t>
        </is>
      </c>
      <c r="F149" s="7" t="inlineStr">
        <is>
          <t>Nil - full capacity payable</t>
        </is>
      </c>
      <c r="G149" s="41" t="n">
        <v>104.94</v>
      </c>
      <c r="H149" s="41" t="n">
        <v>119.54</v>
      </c>
      <c r="I149" s="41" t="n">
        <v>134</v>
      </c>
      <c r="J149" s="41" t="n">
        <v>147.91</v>
      </c>
      <c r="K149" s="41" t="n">
        <v>161.46</v>
      </c>
      <c r="L149" s="41" t="n">
        <v>12.16</v>
      </c>
      <c r="M149" s="41" t="n">
        <v>10.11</v>
      </c>
      <c r="N149" s="41" t="n">
        <v>8.35</v>
      </c>
    </row>
    <row r="150" ht="18" customHeight="1">
      <c r="A150" s="4" t="inlineStr">
        <is>
          <t>1.1.14</t>
        </is>
      </c>
      <c r="B150" s="3" t="inlineStr">
        <is>
          <t>Solvent, diesel</t>
        </is>
      </c>
      <c r="C150" s="4" t="n">
        <v>80</v>
      </c>
      <c r="D150" s="35" t="n">
        <v>80</v>
      </c>
      <c r="E150" s="4" t="inlineStr">
        <is>
          <t>qtl</t>
        </is>
      </c>
      <c r="F150" s="3" t="inlineStr">
        <is>
          <t>Nil - full capacity payable</t>
        </is>
      </c>
      <c r="G150" s="134" t="n">
        <v>10.49</v>
      </c>
      <c r="H150" s="134" t="n">
        <v>11.95</v>
      </c>
      <c r="I150" s="134" t="n">
        <v>13.4</v>
      </c>
      <c r="J150" s="134" t="n">
        <v>14.79</v>
      </c>
      <c r="K150" s="134" t="n">
        <v>16.15</v>
      </c>
      <c r="L150" s="134" t="n">
        <v>1.22</v>
      </c>
      <c r="M150" s="134" t="n">
        <v>1.01</v>
      </c>
      <c r="N150" s="134" t="n">
        <v>0.83</v>
      </c>
    </row>
    <row r="151" ht="18" customHeight="1">
      <c r="A151" s="8" t="inlineStr">
        <is>
          <t>1.1.15</t>
        </is>
      </c>
      <c r="B151" s="7" t="inlineStr">
        <is>
          <t>Steam coal</t>
        </is>
      </c>
      <c r="C151" s="8" t="n">
        <v>7</v>
      </c>
      <c r="D151" s="35" t="n">
        <v>7</v>
      </c>
      <c r="E151" s="8" t="inlineStr">
        <is>
          <t>tonne</t>
        </is>
      </c>
      <c r="F151" s="7" t="inlineStr">
        <is>
          <t>Nil - full capacity payable</t>
        </is>
      </c>
      <c r="G151" s="41" t="n">
        <v>119.93</v>
      </c>
      <c r="H151" s="41" t="n">
        <v>136.62</v>
      </c>
      <c r="I151" s="41" t="n">
        <v>153.14</v>
      </c>
      <c r="J151" s="41" t="n">
        <v>169.05</v>
      </c>
      <c r="K151" s="41" t="n">
        <v>184.53</v>
      </c>
      <c r="L151" s="41" t="n">
        <v>13.9</v>
      </c>
      <c r="M151" s="41" t="n">
        <v>11.55</v>
      </c>
      <c r="N151" s="41" t="n">
        <v>9.539999999999999</v>
      </c>
    </row>
    <row r="152" ht="18" customHeight="1">
      <c r="A152" s="4" t="inlineStr">
        <is>
          <t>1.1.16.1</t>
        </is>
      </c>
      <c r="B152" s="3" t="inlineStr">
        <is>
          <t>S.W. pipe 100 mm dia</t>
        </is>
      </c>
      <c r="C152" s="4" t="n">
        <v>600</v>
      </c>
      <c r="D152" s="35" t="n">
        <v>600</v>
      </c>
      <c r="E152" s="4" t="inlineStr">
        <is>
          <t>100 m</t>
        </is>
      </c>
      <c r="F152" s="3" t="inlineStr">
        <is>
          <t>Nil - full capacity payable</t>
        </is>
      </c>
      <c r="G152" s="134" t="n">
        <v>139.92</v>
      </c>
      <c r="H152" s="134" t="n">
        <v>159.39</v>
      </c>
      <c r="I152" s="134" t="n">
        <v>178.66</v>
      </c>
      <c r="J152" s="134" t="n">
        <v>197.22</v>
      </c>
      <c r="K152" s="134" t="n">
        <v>215.29</v>
      </c>
      <c r="L152" s="134" t="n">
        <v>16.22</v>
      </c>
      <c r="M152" s="134" t="n">
        <v>13.48</v>
      </c>
      <c r="N152" s="134" t="n">
        <v>11.13</v>
      </c>
    </row>
    <row r="153" ht="18" customHeight="1">
      <c r="A153" s="8" t="inlineStr">
        <is>
          <t>1.1.16.2</t>
        </is>
      </c>
      <c r="B153" s="7" t="inlineStr">
        <is>
          <t>S.W. pipe 150 mm dia</t>
        </is>
      </c>
      <c r="C153" s="8" t="n">
        <v>300</v>
      </c>
      <c r="D153" s="35" t="n">
        <v>300</v>
      </c>
      <c r="E153" s="8" t="inlineStr">
        <is>
          <t>100 m</t>
        </is>
      </c>
      <c r="F153" s="7" t="inlineStr">
        <is>
          <t>Nil - full capacity payable</t>
        </is>
      </c>
      <c r="G153" s="41" t="n">
        <v>279.83</v>
      </c>
      <c r="H153" s="41" t="n">
        <v>318.78</v>
      </c>
      <c r="I153" s="41" t="n">
        <v>357.32</v>
      </c>
      <c r="J153" s="41" t="n">
        <v>394.44</v>
      </c>
      <c r="K153" s="41" t="n">
        <v>430.57</v>
      </c>
      <c r="L153" s="41" t="n">
        <v>32.43</v>
      </c>
      <c r="M153" s="41" t="n">
        <v>26.95</v>
      </c>
      <c r="N153" s="41" t="n">
        <v>22.26</v>
      </c>
    </row>
    <row r="154" ht="18" customHeight="1">
      <c r="A154" s="4" t="inlineStr">
        <is>
          <t>1.1.16.3</t>
        </is>
      </c>
      <c r="B154" s="3" t="inlineStr">
        <is>
          <t>S.W. pipe 200 mm dia</t>
        </is>
      </c>
      <c r="C154" s="4" t="n">
        <v>180</v>
      </c>
      <c r="D154" s="35" t="n">
        <v>180</v>
      </c>
      <c r="E154" s="4" t="inlineStr">
        <is>
          <t>100 m</t>
        </is>
      </c>
      <c r="F154" s="3" t="inlineStr">
        <is>
          <t>Nil - full capacity payable</t>
        </is>
      </c>
      <c r="G154" s="134" t="n">
        <v>466.39</v>
      </c>
      <c r="H154" s="134" t="n">
        <v>531.3</v>
      </c>
      <c r="I154" s="134" t="n">
        <v>595.54</v>
      </c>
      <c r="J154" s="134" t="n">
        <v>657.4</v>
      </c>
      <c r="K154" s="134" t="n">
        <v>717.62</v>
      </c>
      <c r="L154" s="134" t="n">
        <v>54.06</v>
      </c>
      <c r="M154" s="134" t="n">
        <v>44.92</v>
      </c>
      <c r="N154" s="134" t="n">
        <v>37.11</v>
      </c>
    </row>
    <row r="155" ht="18" customHeight="1">
      <c r="A155" s="8" t="inlineStr">
        <is>
          <t>1.1.16.5</t>
        </is>
      </c>
      <c r="B155" s="7" t="inlineStr">
        <is>
          <t>S.W. pipe 250 mm dia</t>
        </is>
      </c>
      <c r="C155" s="8" t="n">
        <v>105</v>
      </c>
      <c r="D155" s="35" t="n">
        <v>105</v>
      </c>
      <c r="E155" s="8" t="inlineStr">
        <is>
          <t>100 m</t>
        </is>
      </c>
      <c r="F155" s="7" t="inlineStr">
        <is>
          <t>Nil - full capacity payable</t>
        </is>
      </c>
      <c r="G155" s="41" t="n">
        <v>799.52</v>
      </c>
      <c r="H155" s="41" t="n">
        <v>910.8</v>
      </c>
      <c r="I155" s="41" t="n">
        <v>1020.93</v>
      </c>
      <c r="J155" s="41" t="n">
        <v>1126.97</v>
      </c>
      <c r="K155" s="41" t="n">
        <v>1230.2</v>
      </c>
      <c r="L155" s="41" t="n">
        <v>92.67</v>
      </c>
      <c r="M155" s="41" t="n">
        <v>77.01000000000001</v>
      </c>
      <c r="N155" s="41" t="n">
        <v>63.61</v>
      </c>
    </row>
    <row r="156" ht="18" customHeight="1">
      <c r="A156" s="4" t="inlineStr">
        <is>
          <t>1.1.16.6</t>
        </is>
      </c>
      <c r="B156" s="3" t="inlineStr">
        <is>
          <t>S.W. pipe 300 mm dia</t>
        </is>
      </c>
      <c r="C156" s="4" t="n">
        <v>84</v>
      </c>
      <c r="D156" s="35" t="n">
        <v>84</v>
      </c>
      <c r="E156" s="4" t="inlineStr">
        <is>
          <t>100 m</t>
        </is>
      </c>
      <c r="F156" s="3" t="inlineStr">
        <is>
          <t>Nil - full capacity payable</t>
        </is>
      </c>
      <c r="G156" s="134" t="n">
        <v>999.4</v>
      </c>
      <c r="H156" s="134" t="n">
        <v>1138.5</v>
      </c>
      <c r="I156" s="134" t="n">
        <v>1276.16</v>
      </c>
      <c r="J156" s="134" t="n">
        <v>1408.71</v>
      </c>
      <c r="K156" s="134" t="n">
        <v>1537.76</v>
      </c>
      <c r="L156" s="134" t="n">
        <v>115.84</v>
      </c>
      <c r="M156" s="134" t="n">
        <v>96.26000000000001</v>
      </c>
      <c r="N156" s="134" t="n">
        <v>79.51000000000001</v>
      </c>
    </row>
    <row r="157" ht="18" customHeight="1">
      <c r="A157" s="8" t="inlineStr">
        <is>
          <t>1.1.16.7</t>
        </is>
      </c>
      <c r="B157" s="7" t="inlineStr">
        <is>
          <t>S.W. pipe 350 mm dia</t>
        </is>
      </c>
      <c r="C157" s="8" t="n">
        <v>60</v>
      </c>
      <c r="D157" s="35" t="n">
        <v>60</v>
      </c>
      <c r="E157" s="8" t="inlineStr">
        <is>
          <t>100 m</t>
        </is>
      </c>
      <c r="F157" s="7" t="inlineStr">
        <is>
          <t>Nil - full capacity payable</t>
        </is>
      </c>
      <c r="G157" s="41" t="n">
        <v>1399.17</v>
      </c>
      <c r="H157" s="41" t="n">
        <v>1593.9</v>
      </c>
      <c r="I157" s="41" t="n">
        <v>1786.62</v>
      </c>
      <c r="J157" s="41" t="n">
        <v>1972.19</v>
      </c>
      <c r="K157" s="41" t="n">
        <v>2152.86</v>
      </c>
      <c r="L157" s="41" t="n">
        <v>162.17</v>
      </c>
      <c r="M157" s="41" t="n">
        <v>134.76</v>
      </c>
      <c r="N157" s="41" t="n">
        <v>111.32</v>
      </c>
    </row>
    <row r="158" ht="18" customHeight="1">
      <c r="A158" s="4" t="inlineStr">
        <is>
          <t>1.1.16.8</t>
        </is>
      </c>
      <c r="B158" s="3" t="inlineStr">
        <is>
          <t>S.W. pipe 400 mm dia</t>
        </is>
      </c>
      <c r="C158" s="4" t="n">
        <v>42</v>
      </c>
      <c r="D158" s="35" t="n">
        <v>42</v>
      </c>
      <c r="E158" s="4" t="inlineStr">
        <is>
          <t>100 m</t>
        </is>
      </c>
      <c r="F158" s="3" t="inlineStr">
        <is>
          <t>Nil - full capacity payable</t>
        </is>
      </c>
      <c r="G158" s="134" t="n">
        <v>1998.81</v>
      </c>
      <c r="H158" s="134" t="n">
        <v>2277</v>
      </c>
      <c r="I158" s="134" t="n">
        <v>2552.32</v>
      </c>
      <c r="J158" s="134" t="n">
        <v>2817.42</v>
      </c>
      <c r="K158" s="134" t="n">
        <v>3075.51</v>
      </c>
      <c r="L158" s="134" t="n">
        <v>231.67</v>
      </c>
      <c r="M158" s="134" t="n">
        <v>192.52</v>
      </c>
      <c r="N158" s="134" t="n">
        <v>159.03</v>
      </c>
    </row>
    <row r="159" ht="18" customHeight="1">
      <c r="A159" s="8" t="inlineStr">
        <is>
          <t>1.1.16.9</t>
        </is>
      </c>
      <c r="B159" s="7" t="inlineStr">
        <is>
          <t>S.W. pipe 450 mm dia</t>
        </is>
      </c>
      <c r="C159" s="8" t="n">
        <v>33</v>
      </c>
      <c r="D159" s="35" t="n">
        <v>33</v>
      </c>
      <c r="E159" s="8" t="inlineStr">
        <is>
          <t>100 m</t>
        </is>
      </c>
      <c r="F159" s="7" t="inlineStr">
        <is>
          <t>Nil - full capacity payable</t>
        </is>
      </c>
      <c r="G159" s="41" t="n">
        <v>2543.94</v>
      </c>
      <c r="H159" s="41" t="n">
        <v>2898</v>
      </c>
      <c r="I159" s="41" t="n">
        <v>3248.4</v>
      </c>
      <c r="J159" s="41" t="n">
        <v>3585.8</v>
      </c>
      <c r="K159" s="41" t="n">
        <v>3914.29</v>
      </c>
      <c r="L159" s="41" t="n">
        <v>294.85</v>
      </c>
      <c r="M159" s="41" t="n">
        <v>245.02</v>
      </c>
      <c r="N159" s="41" t="n">
        <v>202.4</v>
      </c>
    </row>
    <row r="160" ht="18" customHeight="1">
      <c r="A160" s="4" t="inlineStr">
        <is>
          <t>1.1.16.10</t>
        </is>
      </c>
      <c r="B160" s="3" t="inlineStr">
        <is>
          <t>S.W. pipe 500 mm dia</t>
        </is>
      </c>
      <c r="C160" s="4" t="n">
        <v>30</v>
      </c>
      <c r="D160" s="35" t="n">
        <v>30</v>
      </c>
      <c r="E160" s="4" t="inlineStr">
        <is>
          <t>100 m</t>
        </is>
      </c>
      <c r="F160" s="3" t="inlineStr">
        <is>
          <t>Nil - full capacity payable</t>
        </is>
      </c>
      <c r="G160" s="134" t="n">
        <v>2798.33</v>
      </c>
      <c r="H160" s="134" t="n">
        <v>3187.8</v>
      </c>
      <c r="I160" s="134" t="n">
        <v>3573.24</v>
      </c>
      <c r="J160" s="134" t="n">
        <v>3944.39</v>
      </c>
      <c r="K160" s="134" t="n">
        <v>4305.72</v>
      </c>
      <c r="L160" s="134" t="n">
        <v>324.34</v>
      </c>
      <c r="M160" s="134" t="n">
        <v>269.52</v>
      </c>
      <c r="N160" s="134" t="n">
        <v>222.64</v>
      </c>
    </row>
    <row r="161" ht="18" customHeight="1">
      <c r="A161" s="8" t="inlineStr">
        <is>
          <t>1.1.16.11</t>
        </is>
      </c>
      <c r="B161" s="7" t="inlineStr">
        <is>
          <t>S.W. pipe 600 mm dia</t>
        </is>
      </c>
      <c r="C161" s="8" t="n">
        <v>24</v>
      </c>
      <c r="D161" s="35" t="n">
        <v>24</v>
      </c>
      <c r="E161" s="8" t="inlineStr">
        <is>
          <t>100 m</t>
        </is>
      </c>
      <c r="F161" s="7" t="inlineStr">
        <is>
          <t>Nil - full capacity payable</t>
        </is>
      </c>
      <c r="G161" s="41" t="n">
        <v>3497.92</v>
      </c>
      <c r="H161" s="41" t="n">
        <v>3984.75</v>
      </c>
      <c r="I161" s="41" t="n">
        <v>4466.55</v>
      </c>
      <c r="J161" s="41" t="n">
        <v>4930.48</v>
      </c>
      <c r="K161" s="41" t="n">
        <v>5382.14</v>
      </c>
      <c r="L161" s="41" t="n">
        <v>405.42</v>
      </c>
      <c r="M161" s="41" t="n">
        <v>336.9</v>
      </c>
      <c r="N161" s="41" t="n">
        <v>278.3</v>
      </c>
    </row>
    <row r="162" ht="18" customHeight="1">
      <c r="A162" s="4" t="inlineStr">
        <is>
          <t>1.1.17.1</t>
        </is>
      </c>
      <c r="B162" s="3" t="inlineStr">
        <is>
          <t>R.C.C. / A.C. / steel cylinder / S.C.I. / C.I. / unreinforced cement pipes 100 mm dia</t>
        </is>
      </c>
      <c r="C162" s="4" t="n">
        <v>366</v>
      </c>
      <c r="D162" s="35" t="n">
        <v>366</v>
      </c>
      <c r="E162" s="4" t="inlineStr">
        <is>
          <t>100 m</t>
        </is>
      </c>
      <c r="F162" s="3" t="inlineStr">
        <is>
          <t>Nil - full capacity payable</t>
        </is>
      </c>
      <c r="G162" s="134" t="n">
        <v>229.37</v>
      </c>
      <c r="H162" s="134" t="n">
        <v>261.3</v>
      </c>
      <c r="I162" s="134" t="n">
        <v>292.89</v>
      </c>
      <c r="J162" s="134" t="n">
        <v>323.31</v>
      </c>
      <c r="K162" s="134" t="n">
        <v>352.93</v>
      </c>
      <c r="L162" s="134" t="n">
        <v>26.59</v>
      </c>
      <c r="M162" s="134" t="n">
        <v>22.09</v>
      </c>
      <c r="N162" s="134" t="n">
        <v>18.25</v>
      </c>
    </row>
    <row r="163" ht="18" customHeight="1">
      <c r="A163" s="8" t="inlineStr">
        <is>
          <t>1.1.17.2</t>
        </is>
      </c>
      <c r="B163" s="7" t="inlineStr">
        <is>
          <t>R.C.C. etc. pipes 125 mm dia</t>
        </is>
      </c>
      <c r="C163" s="8" t="n">
        <v>274</v>
      </c>
      <c r="D163" s="35" t="n">
        <v>274</v>
      </c>
      <c r="E163" s="8" t="inlineStr">
        <is>
          <t>100 m</t>
        </is>
      </c>
      <c r="F163" s="7" t="inlineStr">
        <is>
          <t>Nil - full capacity payable</t>
        </is>
      </c>
      <c r="G163" s="41" t="n">
        <v>306.39</v>
      </c>
      <c r="H163" s="41" t="n">
        <v>349.03</v>
      </c>
      <c r="I163" s="41" t="n">
        <v>391.23</v>
      </c>
      <c r="J163" s="41" t="n">
        <v>431.87</v>
      </c>
      <c r="K163" s="41" t="n">
        <v>471.43</v>
      </c>
      <c r="L163" s="41" t="n">
        <v>35.51</v>
      </c>
      <c r="M163" s="41" t="n">
        <v>29.51</v>
      </c>
      <c r="N163" s="41" t="n">
        <v>24.38</v>
      </c>
    </row>
    <row r="164" ht="18" customHeight="1">
      <c r="A164" s="4" t="inlineStr">
        <is>
          <t>1.1.17.3</t>
        </is>
      </c>
      <c r="B164" s="3" t="inlineStr">
        <is>
          <t>R.C.C. etc. pipes 150 mm dia</t>
        </is>
      </c>
      <c r="C164" s="4" t="n">
        <v>219.6</v>
      </c>
      <c r="D164" s="35" t="n">
        <v>219.6</v>
      </c>
      <c r="E164" s="4" t="inlineStr">
        <is>
          <t>100 m</t>
        </is>
      </c>
      <c r="F164" s="3" t="inlineStr">
        <is>
          <t>Nil - full capacity payable</t>
        </is>
      </c>
      <c r="G164" s="134" t="n">
        <v>382.29</v>
      </c>
      <c r="H164" s="134" t="n">
        <v>435.49</v>
      </c>
      <c r="I164" s="134" t="n">
        <v>488.15</v>
      </c>
      <c r="J164" s="134" t="n">
        <v>538.85</v>
      </c>
      <c r="K164" s="134" t="n">
        <v>588.21</v>
      </c>
      <c r="L164" s="134" t="n">
        <v>44.31</v>
      </c>
      <c r="M164" s="134" t="n">
        <v>36.82</v>
      </c>
      <c r="N164" s="134" t="n">
        <v>30.42</v>
      </c>
    </row>
    <row r="165" ht="18" customHeight="1">
      <c r="A165" s="8" t="inlineStr">
        <is>
          <t>1.1.17.4</t>
        </is>
      </c>
      <c r="B165" s="7" t="inlineStr">
        <is>
          <t>R.C.C. etc. pipes 200 mm dia</t>
        </is>
      </c>
      <c r="C165" s="8" t="n">
        <v>135</v>
      </c>
      <c r="D165" s="35" t="n">
        <v>135</v>
      </c>
      <c r="E165" s="8" t="inlineStr">
        <is>
          <t>100 m</t>
        </is>
      </c>
      <c r="F165" s="7" t="inlineStr">
        <is>
          <t>Nil - full capacity payable</t>
        </is>
      </c>
      <c r="G165" s="41" t="n">
        <v>621.85</v>
      </c>
      <c r="H165" s="41" t="n">
        <v>708.4</v>
      </c>
      <c r="I165" s="41" t="n">
        <v>794.05</v>
      </c>
      <c r="J165" s="41" t="n">
        <v>876.53</v>
      </c>
      <c r="K165" s="41" t="n">
        <v>956.83</v>
      </c>
      <c r="L165" s="41" t="n">
        <v>72.08</v>
      </c>
      <c r="M165" s="41" t="n">
        <v>59.89</v>
      </c>
      <c r="N165" s="41" t="n">
        <v>49.48</v>
      </c>
    </row>
    <row r="166" ht="18" customHeight="1">
      <c r="A166" s="4" t="inlineStr">
        <is>
          <t>1.1.17.5</t>
        </is>
      </c>
      <c r="B166" s="3" t="inlineStr">
        <is>
          <t>R.C.C. etc. pipes 250 mm dia</t>
        </is>
      </c>
      <c r="C166" s="4" t="n">
        <v>95</v>
      </c>
      <c r="D166" s="35" t="n">
        <v>95</v>
      </c>
      <c r="E166" s="4" t="inlineStr">
        <is>
          <t>100 m</t>
        </is>
      </c>
      <c r="F166" s="3" t="inlineStr">
        <is>
          <t>Nil - full capacity payable</t>
        </is>
      </c>
      <c r="G166" s="134" t="n">
        <v>883.6799999999999</v>
      </c>
      <c r="H166" s="134" t="n">
        <v>1006.67</v>
      </c>
      <c r="I166" s="134" t="n">
        <v>1128.39</v>
      </c>
      <c r="J166" s="134" t="n">
        <v>1245.6</v>
      </c>
      <c r="K166" s="134" t="n">
        <v>1359.7</v>
      </c>
      <c r="L166" s="134" t="n">
        <v>102.42</v>
      </c>
      <c r="M166" s="134" t="n">
        <v>85.11</v>
      </c>
      <c r="N166" s="134" t="n">
        <v>70.31</v>
      </c>
    </row>
    <row r="167" ht="18" customHeight="1">
      <c r="A167" s="8" t="inlineStr">
        <is>
          <t>1.1.17.6</t>
        </is>
      </c>
      <c r="B167" s="7" t="inlineStr">
        <is>
          <t>R.C.C. etc. pipes 300 mm dia</t>
        </is>
      </c>
      <c r="C167" s="8" t="n">
        <v>76.86</v>
      </c>
      <c r="D167" s="35" t="n">
        <v>76.86</v>
      </c>
      <c r="E167" s="8" t="inlineStr">
        <is>
          <t>100 m</t>
        </is>
      </c>
      <c r="F167" s="7" t="inlineStr">
        <is>
          <t>Nil - full capacity payable</t>
        </is>
      </c>
      <c r="G167" s="41" t="n">
        <v>1092.25</v>
      </c>
      <c r="H167" s="41" t="n">
        <v>1244.26</v>
      </c>
      <c r="I167" s="41" t="n">
        <v>1394.71</v>
      </c>
      <c r="J167" s="41" t="n">
        <v>1539.57</v>
      </c>
      <c r="K167" s="41" t="n">
        <v>1680.61</v>
      </c>
      <c r="L167" s="41" t="n">
        <v>126.6</v>
      </c>
      <c r="M167" s="41" t="n">
        <v>105.2</v>
      </c>
      <c r="N167" s="41" t="n">
        <v>86.90000000000001</v>
      </c>
    </row>
    <row r="168" ht="18" customHeight="1">
      <c r="A168" s="4" t="inlineStr">
        <is>
          <t>1.1.17.7</t>
        </is>
      </c>
      <c r="B168" s="3" t="inlineStr">
        <is>
          <t>R.C.C. etc. pipes 350 mm dia</t>
        </is>
      </c>
      <c r="C168" s="4" t="n">
        <v>54.9</v>
      </c>
      <c r="D168" s="35" t="n">
        <v>54.9</v>
      </c>
      <c r="E168" s="4" t="inlineStr">
        <is>
          <t>100 m</t>
        </is>
      </c>
      <c r="F168" s="3" t="inlineStr">
        <is>
          <t>Nil - full capacity payable</t>
        </is>
      </c>
      <c r="G168" s="134" t="n">
        <v>1529.14</v>
      </c>
      <c r="H168" s="134" t="n">
        <v>1741.97</v>
      </c>
      <c r="I168" s="134" t="n">
        <v>1952.59</v>
      </c>
      <c r="J168" s="134" t="n">
        <v>2155.4</v>
      </c>
      <c r="K168" s="134" t="n">
        <v>2352.85</v>
      </c>
      <c r="L168" s="134" t="n">
        <v>177.23</v>
      </c>
      <c r="M168" s="134" t="n">
        <v>147.28</v>
      </c>
      <c r="N168" s="134" t="n">
        <v>121.66</v>
      </c>
    </row>
    <row r="169" ht="18" customHeight="1">
      <c r="A169" s="8" t="inlineStr">
        <is>
          <t>1.1.17.8</t>
        </is>
      </c>
      <c r="B169" s="7" t="inlineStr">
        <is>
          <t>R.C.C. etc. pipes 400 mm dia</t>
        </is>
      </c>
      <c r="C169" s="8" t="n">
        <v>40.26</v>
      </c>
      <c r="D169" s="35" t="n">
        <v>40.26</v>
      </c>
      <c r="E169" s="8" t="inlineStr">
        <is>
          <t>100 m</t>
        </is>
      </c>
      <c r="F169" s="7" t="inlineStr">
        <is>
          <t>Nil - full capacity payable</t>
        </is>
      </c>
      <c r="G169" s="41" t="n">
        <v>2085.2</v>
      </c>
      <c r="H169" s="41" t="n">
        <v>2375.41</v>
      </c>
      <c r="I169" s="41" t="n">
        <v>2662.62</v>
      </c>
      <c r="J169" s="41" t="n">
        <v>2939.18</v>
      </c>
      <c r="K169" s="41" t="n">
        <v>3208.43</v>
      </c>
      <c r="L169" s="41" t="n">
        <v>241.68</v>
      </c>
      <c r="M169" s="41" t="n">
        <v>200.84</v>
      </c>
      <c r="N169" s="41" t="n">
        <v>165.9</v>
      </c>
    </row>
    <row r="170" ht="18" customHeight="1">
      <c r="A170" s="4" t="inlineStr">
        <is>
          <t>1.1.17.9</t>
        </is>
      </c>
      <c r="B170" s="3" t="inlineStr">
        <is>
          <t>R.C.C. etc. pipes 450 mm &amp; 500 mm dia</t>
        </is>
      </c>
      <c r="C170" s="4" t="n">
        <v>32.94</v>
      </c>
      <c r="D170" s="35" t="n">
        <v>32.94</v>
      </c>
      <c r="E170" s="4" t="inlineStr">
        <is>
          <t>100 m</t>
        </is>
      </c>
      <c r="F170" s="3" t="inlineStr">
        <is>
          <t>Nil - full capacity payable</t>
        </is>
      </c>
      <c r="G170" s="134" t="n">
        <v>2548.57</v>
      </c>
      <c r="H170" s="134" t="n">
        <v>2903.28</v>
      </c>
      <c r="I170" s="134" t="n">
        <v>3254.32</v>
      </c>
      <c r="J170" s="134" t="n">
        <v>3592.34</v>
      </c>
      <c r="K170" s="134" t="n">
        <v>3921.42</v>
      </c>
      <c r="L170" s="134" t="n">
        <v>295.39</v>
      </c>
      <c r="M170" s="134" t="n">
        <v>245.47</v>
      </c>
      <c r="N170" s="134" t="n">
        <v>202.77</v>
      </c>
    </row>
    <row r="171" ht="18" customHeight="1">
      <c r="A171" s="8" t="inlineStr">
        <is>
          <t>1.1.17.10</t>
        </is>
      </c>
      <c r="B171" s="7" t="inlineStr">
        <is>
          <t>R.C.C. etc. pipes 600, 700, 750 &amp; 800 mm dia</t>
        </is>
      </c>
      <c r="C171" s="8" t="n">
        <v>21.96</v>
      </c>
      <c r="D171" s="35" t="n">
        <v>21.96</v>
      </c>
      <c r="E171" s="8" t="inlineStr">
        <is>
          <t>100 m</t>
        </is>
      </c>
      <c r="F171" s="7" t="inlineStr">
        <is>
          <t>Nil - full capacity payable</t>
        </is>
      </c>
      <c r="G171" s="41" t="n">
        <v>3822.86</v>
      </c>
      <c r="H171" s="41" t="n">
        <v>4354.92</v>
      </c>
      <c r="I171" s="41" t="n">
        <v>4881.48</v>
      </c>
      <c r="J171" s="41" t="n">
        <v>5388.5</v>
      </c>
      <c r="K171" s="41" t="n">
        <v>5882.12</v>
      </c>
      <c r="L171" s="41" t="n">
        <v>443.09</v>
      </c>
      <c r="M171" s="41" t="n">
        <v>368.2</v>
      </c>
      <c r="N171" s="41" t="n">
        <v>304.15</v>
      </c>
    </row>
    <row r="172" ht="18" customHeight="1">
      <c r="A172" s="4" t="inlineStr">
        <is>
          <t>1.1.17.11</t>
        </is>
      </c>
      <c r="B172" s="3" t="inlineStr">
        <is>
          <t>R.C.C. etc. pipes 900 mm dia</t>
        </is>
      </c>
      <c r="C172" s="4" t="n">
        <v>14.64</v>
      </c>
      <c r="D172" s="35" t="n">
        <v>14.64</v>
      </c>
      <c r="E172" s="4" t="inlineStr">
        <is>
          <t>100 m</t>
        </is>
      </c>
      <c r="F172" s="3" t="inlineStr">
        <is>
          <t>Nil - full capacity payable</t>
        </is>
      </c>
      <c r="G172" s="134" t="n">
        <v>5734.29</v>
      </c>
      <c r="H172" s="134" t="n">
        <v>6532.38</v>
      </c>
      <c r="I172" s="134" t="n">
        <v>7322.22</v>
      </c>
      <c r="J172" s="134" t="n">
        <v>8082.76</v>
      </c>
      <c r="K172" s="134" t="n">
        <v>8823.190000000001</v>
      </c>
      <c r="L172" s="134" t="n">
        <v>664.63</v>
      </c>
      <c r="M172" s="134" t="n">
        <v>552.3</v>
      </c>
      <c r="N172" s="134" t="n">
        <v>456.23</v>
      </c>
    </row>
    <row r="173" ht="18" customHeight="1">
      <c r="A173" s="8" t="inlineStr">
        <is>
          <t>1.1.17.12</t>
        </is>
      </c>
      <c r="B173" s="7" t="inlineStr">
        <is>
          <t>R.C.C. / C.I. / steel pipes 1000, 1100 &amp; 1200 mm dia</t>
        </is>
      </c>
      <c r="C173" s="8" t="n">
        <v>10.98</v>
      </c>
      <c r="D173" s="35" t="n">
        <v>10.98</v>
      </c>
      <c r="E173" s="8" t="inlineStr">
        <is>
          <t>100 m</t>
        </is>
      </c>
      <c r="F173" s="7" t="inlineStr">
        <is>
          <t>Nil - full capacity payable</t>
        </is>
      </c>
      <c r="G173" s="41" t="n">
        <v>7645.72</v>
      </c>
      <c r="H173" s="41" t="n">
        <v>8709.84</v>
      </c>
      <c r="I173" s="41" t="n">
        <v>9762.959999999999</v>
      </c>
      <c r="J173" s="41" t="n">
        <v>10777.01</v>
      </c>
      <c r="K173" s="41" t="n">
        <v>11764.25</v>
      </c>
      <c r="L173" s="41" t="n">
        <v>886.17</v>
      </c>
      <c r="M173" s="41" t="n">
        <v>736.4</v>
      </c>
      <c r="N173" s="41" t="n">
        <v>608.3099999999999</v>
      </c>
    </row>
    <row r="174"/>
    <row r="175" ht="30" customHeight="1">
      <c r="A175" s="32" t="inlineStr">
        <is>
          <t>5C. TABLE 1.2 - MANUAL LABOUR CARRIAGE, LEAD UNDER 0.50 km (CPWD DAR 2019, printed pages 72-74). Category A gangs 7.67 Beldars + 1.67 coolies per extra 50 m; Category B gangs 9.20 Beldars + 1.35 Beldars per extra 50 m.</t>
        </is>
      </c>
    </row>
    <row r="176" ht="30" customHeight="1">
      <c r="A176" s="1" t="inlineStr">
        <is>
          <t>DAR item</t>
        </is>
      </c>
      <c r="B176" s="1" t="inlineStr">
        <is>
          <t>Material / Specification</t>
        </is>
      </c>
      <c r="C176" s="1" t="inlineStr">
        <is>
          <t>Capacity per day</t>
        </is>
      </c>
      <c r="D176" s="1" t="inlineStr">
        <is>
          <t>Net payable qty</t>
        </is>
      </c>
      <c r="E176" s="1" t="inlineStr">
        <is>
          <t>Schedule unit</t>
        </is>
      </c>
      <c r="F176" s="1" t="inlineStr">
        <is>
          <t>Gang category</t>
        </is>
      </c>
      <c r="G176" s="1" t="inlineStr">
        <is>
          <t>Cost per 8-hr day incl. CP&amp;OH (Rs)</t>
        </is>
      </c>
      <c r="H176" s="1" t="inlineStr">
        <is>
          <t>Rate for 1st 50 m (Rs)</t>
        </is>
      </c>
      <c r="I176" s="1" t="inlineStr">
        <is>
          <t>Rate per addl 50 m (Rs)</t>
        </is>
      </c>
      <c r="J176" s="1" t="inlineStr"/>
      <c r="K176" s="1" t="inlineStr"/>
      <c r="L176" s="1" t="inlineStr"/>
      <c r="M176" s="1" t="inlineStr"/>
      <c r="N176" s="1" t="inlineStr"/>
    </row>
    <row r="177" ht="18" customHeight="1">
      <c r="A177" s="8" t="inlineStr">
        <is>
          <t>1.2.1</t>
        </is>
      </c>
      <c r="B177" s="7" t="inlineStr">
        <is>
          <t>Lime, moorum, building rubbish</t>
        </is>
      </c>
      <c r="C177" s="8" t="n">
        <v>35</v>
      </c>
      <c r="D177" s="35" t="n">
        <v>35</v>
      </c>
      <c r="E177" s="8" t="inlineStr">
        <is>
          <t>cum</t>
        </is>
      </c>
      <c r="F177" s="8" t="inlineStr">
        <is>
          <t>Category A</t>
        </is>
      </c>
      <c r="G177" s="41" t="n">
        <v>4921.84</v>
      </c>
      <c r="H177" s="41" t="n">
        <v>140.62</v>
      </c>
      <c r="I177" s="41" t="n">
        <v>30.62</v>
      </c>
      <c r="J177" s="136" t="n"/>
      <c r="K177" s="136" t="n"/>
      <c r="L177" s="136" t="n"/>
      <c r="M177" s="136" t="n"/>
      <c r="N177" s="136" t="n"/>
    </row>
    <row r="178" ht="18" customHeight="1">
      <c r="A178" s="4" t="inlineStr">
        <is>
          <t>1.2.2</t>
        </is>
      </c>
      <c r="B178" s="3" t="inlineStr">
        <is>
          <t>Earth</t>
        </is>
      </c>
      <c r="C178" s="4" t="n">
        <v>35</v>
      </c>
      <c r="D178" s="35" t="n">
        <v>28</v>
      </c>
      <c r="E178" s="4" t="inlineStr">
        <is>
          <t>cum</t>
        </is>
      </c>
      <c r="F178" s="4" t="inlineStr">
        <is>
          <t>Category A</t>
        </is>
      </c>
      <c r="G178" s="134" t="n">
        <v>4921.84</v>
      </c>
      <c r="H178" s="134" t="n">
        <v>175.78</v>
      </c>
      <c r="I178" s="134" t="n">
        <v>38.27</v>
      </c>
      <c r="J178" s="69" t="n"/>
      <c r="K178" s="69" t="n"/>
      <c r="L178" s="69" t="n"/>
      <c r="M178" s="69" t="n"/>
      <c r="N178" s="69" t="n"/>
    </row>
    <row r="179" ht="18" customHeight="1">
      <c r="A179" s="8" t="inlineStr">
        <is>
          <t>1.2.3</t>
        </is>
      </c>
      <c r="B179" s="7" t="inlineStr">
        <is>
          <t>Manure or sludge</t>
        </is>
      </c>
      <c r="C179" s="8" t="n">
        <v>35</v>
      </c>
      <c r="D179" s="35" t="n">
        <v>32.2</v>
      </c>
      <c r="E179" s="8" t="inlineStr">
        <is>
          <t>cum</t>
        </is>
      </c>
      <c r="F179" s="8" t="inlineStr">
        <is>
          <t>Category A</t>
        </is>
      </c>
      <c r="G179" s="41" t="n">
        <v>4921.84</v>
      </c>
      <c r="H179" s="41" t="n">
        <v>152.85</v>
      </c>
      <c r="I179" s="41" t="n">
        <v>33.28</v>
      </c>
      <c r="J179" s="136" t="n"/>
      <c r="K179" s="136" t="n"/>
      <c r="L179" s="136" t="n"/>
      <c r="M179" s="136" t="n"/>
      <c r="N179" s="136" t="n"/>
    </row>
    <row r="180" ht="18" customHeight="1">
      <c r="A180" s="4" t="inlineStr">
        <is>
          <t>1.2.4</t>
        </is>
      </c>
      <c r="B180" s="3" t="inlineStr">
        <is>
          <t>Excavated rock</t>
        </is>
      </c>
      <c r="C180" s="4" t="n">
        <v>35</v>
      </c>
      <c r="D180" s="35" t="n">
        <v>17.5</v>
      </c>
      <c r="E180" s="4" t="inlineStr">
        <is>
          <t>cum</t>
        </is>
      </c>
      <c r="F180" s="4" t="inlineStr">
        <is>
          <t>Category A</t>
        </is>
      </c>
      <c r="G180" s="134" t="n">
        <v>4921.84</v>
      </c>
      <c r="H180" s="134" t="n">
        <v>281.25</v>
      </c>
      <c r="I180" s="134" t="n">
        <v>61.24</v>
      </c>
      <c r="J180" s="69" t="n"/>
      <c r="K180" s="69" t="n"/>
      <c r="L180" s="69" t="n"/>
      <c r="M180" s="69" t="n"/>
      <c r="N180" s="69" t="n"/>
    </row>
    <row r="181" ht="18" customHeight="1">
      <c r="A181" s="8" t="inlineStr">
        <is>
          <t>1.2.5</t>
        </is>
      </c>
      <c r="B181" s="7" t="inlineStr">
        <is>
          <t>Sand, stone aggregate below 40 mm nominal size</t>
        </is>
      </c>
      <c r="C181" s="8" t="n">
        <v>28</v>
      </c>
      <c r="D181" s="35" t="n">
        <v>28</v>
      </c>
      <c r="E181" s="8" t="inlineStr">
        <is>
          <t>cum</t>
        </is>
      </c>
      <c r="F181" s="8" t="inlineStr">
        <is>
          <t>Category A</t>
        </is>
      </c>
      <c r="G181" s="41" t="n">
        <v>4921.84</v>
      </c>
      <c r="H181" s="41" t="n">
        <v>175.78</v>
      </c>
      <c r="I181" s="41" t="n">
        <v>38.27</v>
      </c>
      <c r="J181" s="136" t="n"/>
      <c r="K181" s="136" t="n"/>
      <c r="L181" s="136" t="n"/>
      <c r="M181" s="136" t="n"/>
      <c r="N181" s="136" t="n"/>
    </row>
    <row r="182" ht="18" customHeight="1">
      <c r="A182" s="4" t="inlineStr">
        <is>
          <t>1.2.6</t>
        </is>
      </c>
      <c r="B182" s="3" t="inlineStr">
        <is>
          <t>Stone aggregate 40 mm nominal size and above</t>
        </is>
      </c>
      <c r="C182" s="4" t="n">
        <v>28</v>
      </c>
      <c r="D182" s="35" t="n">
        <v>25.9</v>
      </c>
      <c r="E182" s="4" t="inlineStr">
        <is>
          <t>cum</t>
        </is>
      </c>
      <c r="F182" s="4" t="inlineStr">
        <is>
          <t>Category A</t>
        </is>
      </c>
      <c r="G182" s="134" t="n">
        <v>4921.84</v>
      </c>
      <c r="H182" s="134" t="n">
        <v>190.03</v>
      </c>
      <c r="I182" s="134" t="n">
        <v>41.38</v>
      </c>
      <c r="J182" s="69" t="n"/>
      <c r="K182" s="69" t="n"/>
      <c r="L182" s="69" t="n"/>
      <c r="M182" s="69" t="n"/>
      <c r="N182" s="69" t="n"/>
    </row>
    <row r="183" ht="18" customHeight="1">
      <c r="A183" s="8" t="inlineStr">
        <is>
          <t>1.2.7</t>
        </is>
      </c>
      <c r="B183" s="7" t="inlineStr">
        <is>
          <t>Soling stone</t>
        </is>
      </c>
      <c r="C183" s="8" t="n">
        <v>28</v>
      </c>
      <c r="D183" s="35" t="n">
        <v>23.8</v>
      </c>
      <c r="E183" s="8" t="inlineStr">
        <is>
          <t>cum</t>
        </is>
      </c>
      <c r="F183" s="8" t="inlineStr">
        <is>
          <t>Category A</t>
        </is>
      </c>
      <c r="G183" s="41" t="n">
        <v>4921.84</v>
      </c>
      <c r="H183" s="41" t="n">
        <v>206.8</v>
      </c>
      <c r="I183" s="41" t="n">
        <v>45.03</v>
      </c>
      <c r="J183" s="136" t="n"/>
      <c r="K183" s="136" t="n"/>
      <c r="L183" s="136" t="n"/>
      <c r="M183" s="136" t="n"/>
      <c r="N183" s="136" t="n"/>
    </row>
    <row r="184" ht="18" customHeight="1">
      <c r="A184" s="4" t="inlineStr">
        <is>
          <t>1.2.8</t>
        </is>
      </c>
      <c r="B184" s="3" t="inlineStr">
        <is>
          <t>Bricks</t>
        </is>
      </c>
      <c r="C184" s="4" t="n">
        <v>15000</v>
      </c>
      <c r="D184" s="35" t="n">
        <v>15000</v>
      </c>
      <c r="E184" s="4" t="inlineStr">
        <is>
          <t>1000 Nos</t>
        </is>
      </c>
      <c r="F184" s="4" t="inlineStr">
        <is>
          <t>Category A</t>
        </is>
      </c>
      <c r="G184" s="134" t="n">
        <v>4921.84</v>
      </c>
      <c r="H184" s="134" t="n">
        <v>328.12</v>
      </c>
      <c r="I184" s="134" t="n">
        <v>71.44</v>
      </c>
      <c r="J184" s="69" t="n"/>
      <c r="K184" s="69" t="n"/>
      <c r="L184" s="69" t="n"/>
      <c r="M184" s="69" t="n"/>
      <c r="N184" s="69" t="n"/>
    </row>
    <row r="185" ht="18" customHeight="1">
      <c r="A185" s="8" t="inlineStr">
        <is>
          <t>1.2.9</t>
        </is>
      </c>
      <c r="B185" s="7" t="inlineStr">
        <is>
          <t>Brick Tiles</t>
        </is>
      </c>
      <c r="C185" s="8" t="n">
        <v>24000</v>
      </c>
      <c r="D185" s="35" t="n">
        <v>24000</v>
      </c>
      <c r="E185" s="8" t="inlineStr">
        <is>
          <t>1000 Nos</t>
        </is>
      </c>
      <c r="F185" s="8" t="inlineStr">
        <is>
          <t>Category A</t>
        </is>
      </c>
      <c r="G185" s="41" t="n">
        <v>4921.84</v>
      </c>
      <c r="H185" s="41" t="n">
        <v>205.08</v>
      </c>
      <c r="I185" s="41" t="n">
        <v>44.65</v>
      </c>
      <c r="J185" s="136" t="n"/>
      <c r="K185" s="136" t="n"/>
      <c r="L185" s="136" t="n"/>
      <c r="M185" s="136" t="n"/>
      <c r="N185" s="136" t="n"/>
    </row>
    <row r="186" ht="18" customHeight="1">
      <c r="A186" s="4" t="inlineStr">
        <is>
          <t>1.2.10</t>
        </is>
      </c>
      <c r="B186" s="3" t="inlineStr">
        <is>
          <t>Steam Coal</t>
        </is>
      </c>
      <c r="C186" s="4" t="n">
        <v>30</v>
      </c>
      <c r="D186" s="35" t="n">
        <v>30</v>
      </c>
      <c r="E186" s="4" t="inlineStr">
        <is>
          <t>tonne</t>
        </is>
      </c>
      <c r="F186" s="4" t="inlineStr">
        <is>
          <t>Category A</t>
        </is>
      </c>
      <c r="G186" s="134" t="n">
        <v>4921.84</v>
      </c>
      <c r="H186" s="134" t="n">
        <v>164.06</v>
      </c>
      <c r="I186" s="134" t="n">
        <v>35.72</v>
      </c>
      <c r="J186" s="69" t="n"/>
      <c r="K186" s="69" t="n"/>
      <c r="L186" s="69" t="n"/>
      <c r="M186" s="69" t="n"/>
      <c r="N186" s="69" t="n"/>
    </row>
    <row r="187" ht="18" customHeight="1">
      <c r="A187" s="8" t="inlineStr">
        <is>
          <t>1.2.11</t>
        </is>
      </c>
      <c r="B187" s="7" t="inlineStr">
        <is>
          <t>Stone blocks, G.I., C.I., stainless steel pipes below 100 mm dia and other heavy material</t>
        </is>
      </c>
      <c r="C187" s="8" t="n">
        <v>46</v>
      </c>
      <c r="D187" s="35" t="n">
        <v>46</v>
      </c>
      <c r="E187" s="8" t="inlineStr">
        <is>
          <t>tonne</t>
        </is>
      </c>
      <c r="F187" s="8" t="inlineStr">
        <is>
          <t>Category B</t>
        </is>
      </c>
      <c r="G187" s="41" t="n">
        <v>5903.64</v>
      </c>
      <c r="H187" s="41" t="n">
        <v>128.34</v>
      </c>
      <c r="I187" s="41" t="n">
        <v>18.83</v>
      </c>
      <c r="J187" s="136" t="n"/>
      <c r="K187" s="136" t="n"/>
      <c r="L187" s="136" t="n"/>
      <c r="M187" s="136" t="n"/>
      <c r="N187" s="136" t="n"/>
    </row>
    <row r="188" ht="18" customHeight="1">
      <c r="A188" s="4" t="inlineStr">
        <is>
          <t>1.2.12</t>
        </is>
      </c>
      <c r="B188" s="3" t="inlineStr">
        <is>
          <t>Cement</t>
        </is>
      </c>
      <c r="C188" s="4" t="n">
        <v>57.99</v>
      </c>
      <c r="D188" s="35" t="n">
        <v>57.99</v>
      </c>
      <c r="E188" s="4" t="inlineStr">
        <is>
          <t>tonne</t>
        </is>
      </c>
      <c r="F188" s="4" t="inlineStr">
        <is>
          <t>Category B</t>
        </is>
      </c>
      <c r="G188" s="134" t="n">
        <v>5903.64</v>
      </c>
      <c r="H188" s="134" t="n">
        <v>101.8</v>
      </c>
      <c r="I188" s="134" t="n">
        <v>14.94</v>
      </c>
      <c r="J188" s="69" t="n"/>
      <c r="K188" s="69" t="n"/>
      <c r="L188" s="69" t="n"/>
      <c r="M188" s="69" t="n"/>
      <c r="N188" s="69" t="n"/>
    </row>
    <row r="189" ht="18" customHeight="1">
      <c r="A189" s="8" t="inlineStr">
        <is>
          <t>1.2.13</t>
        </is>
      </c>
      <c r="B189" s="7" t="inlineStr">
        <is>
          <t>Steel</t>
        </is>
      </c>
      <c r="C189" s="8" t="n">
        <v>27</v>
      </c>
      <c r="D189" s="35" t="n">
        <v>27</v>
      </c>
      <c r="E189" s="8" t="inlineStr">
        <is>
          <t>tonne</t>
        </is>
      </c>
      <c r="F189" s="8" t="inlineStr">
        <is>
          <t>Category B</t>
        </is>
      </c>
      <c r="G189" s="41" t="n">
        <v>5903.64</v>
      </c>
      <c r="H189" s="41" t="n">
        <v>218.65</v>
      </c>
      <c r="I189" s="41" t="n">
        <v>32.08</v>
      </c>
      <c r="J189" s="136" t="n"/>
      <c r="K189" s="136" t="n"/>
      <c r="L189" s="136" t="n"/>
      <c r="M189" s="136" t="n"/>
      <c r="N189" s="136" t="n"/>
    </row>
    <row r="190" ht="18" customHeight="1">
      <c r="A190" s="4" t="inlineStr">
        <is>
          <t>1.2.14</t>
        </is>
      </c>
      <c r="B190" s="3" t="inlineStr">
        <is>
          <t>Timber</t>
        </is>
      </c>
      <c r="C190" s="4" t="n">
        <v>42</v>
      </c>
      <c r="D190" s="35" t="n">
        <v>42</v>
      </c>
      <c r="E190" s="4" t="inlineStr">
        <is>
          <t>cum</t>
        </is>
      </c>
      <c r="F190" s="4" t="inlineStr">
        <is>
          <t>Category B</t>
        </is>
      </c>
      <c r="G190" s="134" t="n">
        <v>5903.64</v>
      </c>
      <c r="H190" s="134" t="n">
        <v>140.56</v>
      </c>
      <c r="I190" s="134" t="n">
        <v>20.63</v>
      </c>
      <c r="J190" s="69" t="n"/>
      <c r="K190" s="69" t="n"/>
      <c r="L190" s="69" t="n"/>
      <c r="M190" s="69" t="n"/>
      <c r="N190" s="69" t="n"/>
    </row>
    <row r="191" ht="18" customHeight="1">
      <c r="A191" s="8" t="inlineStr">
        <is>
          <t>1.2.15</t>
        </is>
      </c>
      <c r="B191" s="7" t="inlineStr">
        <is>
          <t>Tar, bitumen etc.</t>
        </is>
      </c>
      <c r="C191" s="8" t="n">
        <v>46</v>
      </c>
      <c r="D191" s="35" t="n">
        <v>46</v>
      </c>
      <c r="E191" s="8" t="inlineStr">
        <is>
          <t>tonne</t>
        </is>
      </c>
      <c r="F191" s="8" t="inlineStr">
        <is>
          <t>Category B</t>
        </is>
      </c>
      <c r="G191" s="41" t="n">
        <v>5903.64</v>
      </c>
      <c r="H191" s="41" t="n">
        <v>128.34</v>
      </c>
      <c r="I191" s="41" t="n">
        <v>18.83</v>
      </c>
      <c r="J191" s="136" t="n"/>
      <c r="K191" s="136" t="n"/>
      <c r="L191" s="136" t="n"/>
      <c r="M191" s="136" t="n"/>
      <c r="N191" s="136" t="n"/>
    </row>
    <row r="192" ht="18" customHeight="1">
      <c r="A192" s="4" t="inlineStr">
        <is>
          <t>1.2.16.1</t>
        </is>
      </c>
      <c r="B192" s="3" t="inlineStr">
        <is>
          <t>S.W. pipe 100 mm dia</t>
        </is>
      </c>
      <c r="C192" s="4" t="n">
        <v>2298</v>
      </c>
      <c r="D192" s="35" t="n">
        <v>2298</v>
      </c>
      <c r="E192" s="4" t="inlineStr">
        <is>
          <t>100 m</t>
        </is>
      </c>
      <c r="F192" s="4" t="inlineStr">
        <is>
          <t>Category B</t>
        </is>
      </c>
      <c r="G192" s="134" t="n">
        <v>5903.64</v>
      </c>
      <c r="H192" s="134" t="n">
        <v>256.9</v>
      </c>
      <c r="I192" s="134" t="n">
        <v>37.7</v>
      </c>
      <c r="J192" s="69" t="n"/>
      <c r="K192" s="69" t="n"/>
      <c r="L192" s="69" t="n"/>
      <c r="M192" s="69" t="n"/>
      <c r="N192" s="69" t="n"/>
    </row>
    <row r="193" ht="18" customHeight="1">
      <c r="A193" s="8" t="inlineStr">
        <is>
          <t>1.2.16.2</t>
        </is>
      </c>
      <c r="B193" s="7" t="inlineStr">
        <is>
          <t>S.W. pipe 150 mm dia</t>
        </is>
      </c>
      <c r="C193" s="8" t="n">
        <v>1398</v>
      </c>
      <c r="D193" s="35" t="n">
        <v>1398</v>
      </c>
      <c r="E193" s="8" t="inlineStr">
        <is>
          <t>100 m</t>
        </is>
      </c>
      <c r="F193" s="8" t="inlineStr">
        <is>
          <t>Category B</t>
        </is>
      </c>
      <c r="G193" s="41" t="n">
        <v>5903.64</v>
      </c>
      <c r="H193" s="41" t="n">
        <v>422.29</v>
      </c>
      <c r="I193" s="41" t="n">
        <v>61.97</v>
      </c>
      <c r="J193" s="136" t="n"/>
      <c r="K193" s="136" t="n"/>
      <c r="L193" s="136" t="n"/>
      <c r="M193" s="136" t="n"/>
      <c r="N193" s="136" t="n"/>
    </row>
    <row r="194" ht="18" customHeight="1">
      <c r="A194" s="4" t="inlineStr">
        <is>
          <t>1.2.16.3</t>
        </is>
      </c>
      <c r="B194" s="3" t="inlineStr">
        <is>
          <t>S.W. pipe 200 mm dia</t>
        </is>
      </c>
      <c r="C194" s="4" t="n">
        <v>999</v>
      </c>
      <c r="D194" s="35" t="n">
        <v>999</v>
      </c>
      <c r="E194" s="4" t="inlineStr">
        <is>
          <t>100 m</t>
        </is>
      </c>
      <c r="F194" s="4" t="inlineStr">
        <is>
          <t>Category B</t>
        </is>
      </c>
      <c r="G194" s="134" t="n">
        <v>5903.64</v>
      </c>
      <c r="H194" s="134" t="n">
        <v>590.95</v>
      </c>
      <c r="I194" s="134" t="n">
        <v>86.72</v>
      </c>
      <c r="J194" s="69" t="n"/>
      <c r="K194" s="69" t="n"/>
      <c r="L194" s="69" t="n"/>
      <c r="M194" s="69" t="n"/>
      <c r="N194" s="69" t="n"/>
    </row>
    <row r="195" ht="18" customHeight="1">
      <c r="A195" s="8" t="inlineStr">
        <is>
          <t>1.2.16.5</t>
        </is>
      </c>
      <c r="B195" s="7" t="inlineStr">
        <is>
          <t>S.W. pipe 250 mm dia</t>
        </is>
      </c>
      <c r="C195" s="8" t="n">
        <v>600</v>
      </c>
      <c r="D195" s="35" t="n">
        <v>600</v>
      </c>
      <c r="E195" s="8" t="inlineStr">
        <is>
          <t>100 m</t>
        </is>
      </c>
      <c r="F195" s="8" t="inlineStr">
        <is>
          <t>Category B</t>
        </is>
      </c>
      <c r="G195" s="41" t="n">
        <v>5903.64</v>
      </c>
      <c r="H195" s="41" t="n">
        <v>983.9400000000001</v>
      </c>
      <c r="I195" s="41" t="n">
        <v>144.38</v>
      </c>
      <c r="J195" s="136" t="n"/>
      <c r="K195" s="136" t="n"/>
      <c r="L195" s="136" t="n"/>
      <c r="M195" s="136" t="n"/>
      <c r="N195" s="136" t="n"/>
    </row>
    <row r="196" ht="18" customHeight="1">
      <c r="A196" s="4" t="inlineStr">
        <is>
          <t>1.2.16.6</t>
        </is>
      </c>
      <c r="B196" s="3" t="inlineStr">
        <is>
          <t>S.W. pipe 300 mm dia</t>
        </is>
      </c>
      <c r="C196" s="4" t="n">
        <v>420</v>
      </c>
      <c r="D196" s="35" t="n">
        <v>420</v>
      </c>
      <c r="E196" s="4" t="inlineStr">
        <is>
          <t>100 m</t>
        </is>
      </c>
      <c r="F196" s="4" t="inlineStr">
        <is>
          <t>Category B</t>
        </is>
      </c>
      <c r="G196" s="134" t="n">
        <v>5903.64</v>
      </c>
      <c r="H196" s="134" t="n">
        <v>1405.63</v>
      </c>
      <c r="I196" s="134" t="n">
        <v>206.26</v>
      </c>
      <c r="J196" s="69" t="n"/>
      <c r="K196" s="69" t="n"/>
      <c r="L196" s="69" t="n"/>
      <c r="M196" s="69" t="n"/>
      <c r="N196" s="69" t="n"/>
    </row>
    <row r="197" ht="18" customHeight="1">
      <c r="A197" s="8" t="inlineStr">
        <is>
          <t>1.2.16.7</t>
        </is>
      </c>
      <c r="B197" s="7" t="inlineStr">
        <is>
          <t>S.W. pipe 350 mm dia</t>
        </is>
      </c>
      <c r="C197" s="8" t="n">
        <v>300</v>
      </c>
      <c r="D197" s="35" t="n">
        <v>300</v>
      </c>
      <c r="E197" s="8" t="inlineStr">
        <is>
          <t>100 m</t>
        </is>
      </c>
      <c r="F197" s="8" t="inlineStr">
        <is>
          <t>Category B</t>
        </is>
      </c>
      <c r="G197" s="41" t="n">
        <v>5903.64</v>
      </c>
      <c r="H197" s="41" t="n">
        <v>1967.88</v>
      </c>
      <c r="I197" s="41" t="n">
        <v>288.76</v>
      </c>
      <c r="J197" s="136" t="n"/>
      <c r="K197" s="136" t="n"/>
      <c r="L197" s="136" t="n"/>
      <c r="M197" s="136" t="n"/>
      <c r="N197" s="136" t="n"/>
    </row>
    <row r="198" ht="18" customHeight="1">
      <c r="A198" s="4" t="inlineStr">
        <is>
          <t>1.2.16.8</t>
        </is>
      </c>
      <c r="B198" s="3" t="inlineStr">
        <is>
          <t>S.W. pipe 400 mm dia</t>
        </is>
      </c>
      <c r="C198" s="4" t="n">
        <v>240</v>
      </c>
      <c r="D198" s="35" t="n">
        <v>240</v>
      </c>
      <c r="E198" s="4" t="inlineStr">
        <is>
          <t>100 m</t>
        </is>
      </c>
      <c r="F198" s="4" t="inlineStr">
        <is>
          <t>Category B</t>
        </is>
      </c>
      <c r="G198" s="134" t="n">
        <v>5903.64</v>
      </c>
      <c r="H198" s="134" t="n">
        <v>2459.85</v>
      </c>
      <c r="I198" s="134" t="n">
        <v>360.95</v>
      </c>
      <c r="J198" s="69" t="n"/>
      <c r="K198" s="69" t="n"/>
      <c r="L198" s="69" t="n"/>
      <c r="M198" s="69" t="n"/>
      <c r="N198" s="69" t="n"/>
    </row>
    <row r="199" ht="18" customHeight="1">
      <c r="A199" s="8" t="inlineStr">
        <is>
          <t>1.2.16.9</t>
        </is>
      </c>
      <c r="B199" s="7" t="inlineStr">
        <is>
          <t>S.W. pipe 450 mm dia</t>
        </is>
      </c>
      <c r="C199" s="8" t="n">
        <v>198</v>
      </c>
      <c r="D199" s="35" t="n">
        <v>198</v>
      </c>
      <c r="E199" s="8" t="inlineStr">
        <is>
          <t>100 m</t>
        </is>
      </c>
      <c r="F199" s="8" t="inlineStr">
        <is>
          <t>Category B</t>
        </is>
      </c>
      <c r="G199" s="41" t="n">
        <v>5903.64</v>
      </c>
      <c r="H199" s="41" t="n">
        <v>2981.64</v>
      </c>
      <c r="I199" s="41" t="n">
        <v>437.52</v>
      </c>
      <c r="J199" s="136" t="n"/>
      <c r="K199" s="136" t="n"/>
      <c r="L199" s="136" t="n"/>
      <c r="M199" s="136" t="n"/>
      <c r="N199" s="136" t="n"/>
    </row>
    <row r="200" ht="18" customHeight="1">
      <c r="A200" s="4" t="inlineStr">
        <is>
          <t>1.2.16.10</t>
        </is>
      </c>
      <c r="B200" s="3" t="inlineStr">
        <is>
          <t>S.W. pipe 500 mm dia</t>
        </is>
      </c>
      <c r="C200" s="4" t="n">
        <v>162</v>
      </c>
      <c r="D200" s="35" t="n">
        <v>162</v>
      </c>
      <c r="E200" s="4" t="inlineStr">
        <is>
          <t>100 m</t>
        </is>
      </c>
      <c r="F200" s="4" t="inlineStr">
        <is>
          <t>Category B</t>
        </is>
      </c>
      <c r="G200" s="134" t="n">
        <v>5903.64</v>
      </c>
      <c r="H200" s="134" t="n">
        <v>3644.22</v>
      </c>
      <c r="I200" s="134" t="n">
        <v>534.75</v>
      </c>
      <c r="J200" s="69" t="n"/>
      <c r="K200" s="69" t="n"/>
      <c r="L200" s="69" t="n"/>
      <c r="M200" s="69" t="n"/>
      <c r="N200" s="69" t="n"/>
    </row>
    <row r="201" ht="18" customHeight="1">
      <c r="A201" s="8" t="inlineStr">
        <is>
          <t>1.2.16.11</t>
        </is>
      </c>
      <c r="B201" s="7" t="inlineStr">
        <is>
          <t>S.W. pipe 600 mm dia</t>
        </is>
      </c>
      <c r="C201" s="8" t="n">
        <v>132</v>
      </c>
      <c r="D201" s="35" t="n">
        <v>132</v>
      </c>
      <c r="E201" s="8" t="inlineStr">
        <is>
          <t>100 m</t>
        </is>
      </c>
      <c r="F201" s="8" t="inlineStr">
        <is>
          <t>Category B</t>
        </is>
      </c>
      <c r="G201" s="41" t="n">
        <v>5903.64</v>
      </c>
      <c r="H201" s="41" t="n">
        <v>4472.45</v>
      </c>
      <c r="I201" s="41" t="n">
        <v>656.28</v>
      </c>
      <c r="J201" s="136" t="n"/>
      <c r="K201" s="136" t="n"/>
      <c r="L201" s="136" t="n"/>
      <c r="M201" s="136" t="n"/>
      <c r="N201" s="136" t="n"/>
    </row>
    <row r="202" ht="18" customHeight="1">
      <c r="A202" s="4" t="inlineStr">
        <is>
          <t>1.2.17.1</t>
        </is>
      </c>
      <c r="B202" s="3" t="inlineStr">
        <is>
          <t>R.C.C. / steel cylinder / R.C. / C.I. / unreinforced cement pipes 100 mm dia</t>
        </is>
      </c>
      <c r="C202" s="4" t="n">
        <v>1702</v>
      </c>
      <c r="D202" s="35" t="n">
        <v>1702</v>
      </c>
      <c r="E202" s="4" t="inlineStr">
        <is>
          <t>100 m</t>
        </is>
      </c>
      <c r="F202" s="4" t="inlineStr">
        <is>
          <t>Category B</t>
        </is>
      </c>
      <c r="G202" s="134" t="n">
        <v>5903.64</v>
      </c>
      <c r="H202" s="134" t="n">
        <v>346.86</v>
      </c>
      <c r="I202" s="134" t="n">
        <v>50.9</v>
      </c>
      <c r="J202" s="69" t="n"/>
      <c r="K202" s="69" t="n"/>
      <c r="L202" s="69" t="n"/>
      <c r="M202" s="69" t="n"/>
      <c r="N202" s="69" t="n"/>
    </row>
    <row r="203" ht="18" customHeight="1">
      <c r="A203" s="8" t="inlineStr">
        <is>
          <t>1.2.17.2</t>
        </is>
      </c>
      <c r="B203" s="7" t="inlineStr">
        <is>
          <t>R.C.C. etc. pipes 125 mm dia</t>
        </is>
      </c>
      <c r="C203" s="8" t="n">
        <v>1391</v>
      </c>
      <c r="D203" s="35" t="n">
        <v>1391</v>
      </c>
      <c r="E203" s="8" t="inlineStr">
        <is>
          <t>100 m</t>
        </is>
      </c>
      <c r="F203" s="8" t="inlineStr">
        <is>
          <t>Category B</t>
        </is>
      </c>
      <c r="G203" s="41" t="n">
        <v>5903.64</v>
      </c>
      <c r="H203" s="41" t="n">
        <v>424.42</v>
      </c>
      <c r="I203" s="41" t="n">
        <v>62.28</v>
      </c>
      <c r="J203" s="136" t="n"/>
      <c r="K203" s="136" t="n"/>
      <c r="L203" s="136" t="n"/>
      <c r="M203" s="136" t="n"/>
      <c r="N203" s="136" t="n"/>
    </row>
    <row r="204" ht="18" customHeight="1">
      <c r="A204" s="4" t="inlineStr">
        <is>
          <t>1.2.17.3</t>
        </is>
      </c>
      <c r="B204" s="3" t="inlineStr">
        <is>
          <t>R.C.C. etc. pipes 150 mm dia</t>
        </is>
      </c>
      <c r="C204" s="4" t="n">
        <v>1208</v>
      </c>
      <c r="D204" s="35" t="n">
        <v>1208</v>
      </c>
      <c r="E204" s="4" t="inlineStr">
        <is>
          <t>100 m</t>
        </is>
      </c>
      <c r="F204" s="4" t="inlineStr">
        <is>
          <t>Category B</t>
        </is>
      </c>
      <c r="G204" s="134" t="n">
        <v>5903.64</v>
      </c>
      <c r="H204" s="134" t="n">
        <v>488.71</v>
      </c>
      <c r="I204" s="134" t="n">
        <v>71.70999999999999</v>
      </c>
      <c r="J204" s="69" t="n"/>
      <c r="K204" s="69" t="n"/>
      <c r="L204" s="69" t="n"/>
      <c r="M204" s="69" t="n"/>
      <c r="N204" s="69" t="n"/>
    </row>
    <row r="205" ht="18" customHeight="1">
      <c r="A205" s="8" t="inlineStr">
        <is>
          <t>1.2.17.4</t>
        </is>
      </c>
      <c r="B205" s="7" t="inlineStr">
        <is>
          <t>R.C.C. etc. pipes 200 mm dia</t>
        </is>
      </c>
      <c r="C205" s="8" t="n">
        <v>805</v>
      </c>
      <c r="D205" s="35" t="n">
        <v>805</v>
      </c>
      <c r="E205" s="8" t="inlineStr">
        <is>
          <t>100 m</t>
        </is>
      </c>
      <c r="F205" s="8" t="inlineStr">
        <is>
          <t>Category B</t>
        </is>
      </c>
      <c r="G205" s="41" t="n">
        <v>5903.64</v>
      </c>
      <c r="H205" s="41" t="n">
        <v>733.37</v>
      </c>
      <c r="I205" s="41" t="n">
        <v>107.61</v>
      </c>
      <c r="J205" s="136" t="n"/>
      <c r="K205" s="136" t="n"/>
      <c r="L205" s="136" t="n"/>
      <c r="M205" s="136" t="n"/>
      <c r="N205" s="136" t="n"/>
    </row>
    <row r="206" ht="18" customHeight="1">
      <c r="A206" s="4" t="inlineStr">
        <is>
          <t>1.2.17.5</t>
        </is>
      </c>
      <c r="B206" s="3" t="inlineStr">
        <is>
          <t>R.C.C. etc. pipes 250 mm dia</t>
        </is>
      </c>
      <c r="C206" s="4" t="n">
        <v>458</v>
      </c>
      <c r="D206" s="35" t="n">
        <v>458</v>
      </c>
      <c r="E206" s="4" t="inlineStr">
        <is>
          <t>100 m</t>
        </is>
      </c>
      <c r="F206" s="4" t="inlineStr">
        <is>
          <t>Category B</t>
        </is>
      </c>
      <c r="G206" s="134" t="n">
        <v>5903.64</v>
      </c>
      <c r="H206" s="134" t="n">
        <v>1289</v>
      </c>
      <c r="I206" s="134" t="n">
        <v>189.15</v>
      </c>
      <c r="J206" s="69" t="n"/>
      <c r="K206" s="69" t="n"/>
      <c r="L206" s="69" t="n"/>
      <c r="M206" s="69" t="n"/>
      <c r="N206" s="69" t="n"/>
    </row>
    <row r="207" ht="18" customHeight="1">
      <c r="A207" s="8" t="inlineStr">
        <is>
          <t>1.2.17.6</t>
        </is>
      </c>
      <c r="B207" s="7" t="inlineStr">
        <is>
          <t>R.C.C. etc. pipes 300 mm dia</t>
        </is>
      </c>
      <c r="C207" s="8" t="n">
        <v>366</v>
      </c>
      <c r="D207" s="35" t="n">
        <v>366</v>
      </c>
      <c r="E207" s="8" t="inlineStr">
        <is>
          <t>100 m</t>
        </is>
      </c>
      <c r="F207" s="8" t="inlineStr">
        <is>
          <t>Category B</t>
        </is>
      </c>
      <c r="G207" s="41" t="n">
        <v>5903.64</v>
      </c>
      <c r="H207" s="41" t="n">
        <v>1613.02</v>
      </c>
      <c r="I207" s="41" t="n">
        <v>236.69</v>
      </c>
      <c r="J207" s="136" t="n"/>
      <c r="K207" s="136" t="n"/>
      <c r="L207" s="136" t="n"/>
      <c r="M207" s="136" t="n"/>
      <c r="N207" s="136" t="n"/>
    </row>
    <row r="208" ht="18" customHeight="1">
      <c r="A208" s="4" t="inlineStr">
        <is>
          <t>1.2.17.7</t>
        </is>
      </c>
      <c r="B208" s="3" t="inlineStr">
        <is>
          <t>R.C.C. etc. pipes 350 mm dia</t>
        </is>
      </c>
      <c r="C208" s="4" t="n">
        <v>256</v>
      </c>
      <c r="D208" s="35" t="n">
        <v>256</v>
      </c>
      <c r="E208" s="4" t="inlineStr">
        <is>
          <t>100 m</t>
        </is>
      </c>
      <c r="F208" s="4" t="inlineStr">
        <is>
          <t>Category B</t>
        </is>
      </c>
      <c r="G208" s="134" t="n">
        <v>5903.64</v>
      </c>
      <c r="H208" s="134" t="n">
        <v>2306.11</v>
      </c>
      <c r="I208" s="134" t="n">
        <v>338.39</v>
      </c>
      <c r="J208" s="69" t="n"/>
      <c r="K208" s="69" t="n"/>
      <c r="L208" s="69" t="n"/>
      <c r="M208" s="69" t="n"/>
      <c r="N208" s="69" t="n"/>
    </row>
    <row r="209" ht="18" customHeight="1">
      <c r="A209" s="8" t="inlineStr">
        <is>
          <t>1.2.17.8</t>
        </is>
      </c>
      <c r="B209" s="7" t="inlineStr">
        <is>
          <t>R.C.C. etc. pipes 400 mm dia</t>
        </is>
      </c>
      <c r="C209" s="8" t="n">
        <v>220</v>
      </c>
      <c r="D209" s="35" t="n">
        <v>220</v>
      </c>
      <c r="E209" s="8" t="inlineStr">
        <is>
          <t>100 m</t>
        </is>
      </c>
      <c r="F209" s="8" t="inlineStr">
        <is>
          <t>Category B</t>
        </is>
      </c>
      <c r="G209" s="41" t="n">
        <v>5903.64</v>
      </c>
      <c r="H209" s="41" t="n">
        <v>2683.47</v>
      </c>
      <c r="I209" s="41" t="n">
        <v>393.77</v>
      </c>
      <c r="J209" s="136" t="n"/>
      <c r="K209" s="136" t="n"/>
      <c r="L209" s="136" t="n"/>
      <c r="M209" s="136" t="n"/>
      <c r="N209" s="136" t="n"/>
    </row>
    <row r="210" ht="18" customHeight="1">
      <c r="A210" s="4" t="inlineStr">
        <is>
          <t>1.2.17.9</t>
        </is>
      </c>
      <c r="B210" s="3" t="inlineStr">
        <is>
          <t>R.C.C. etc. pipes 450 mm &amp; 500 mm dia</t>
        </is>
      </c>
      <c r="C210" s="4" t="n">
        <v>165</v>
      </c>
      <c r="D210" s="35" t="n">
        <v>165</v>
      </c>
      <c r="E210" s="4" t="inlineStr">
        <is>
          <t>100 m</t>
        </is>
      </c>
      <c r="F210" s="4" t="inlineStr">
        <is>
          <t>Category B</t>
        </is>
      </c>
      <c r="G210" s="134" t="n">
        <v>5903.64</v>
      </c>
      <c r="H210" s="134" t="n">
        <v>3577.96</v>
      </c>
      <c r="I210" s="134" t="n">
        <v>525.02</v>
      </c>
      <c r="J210" s="69" t="n"/>
      <c r="K210" s="69" t="n"/>
      <c r="L210" s="69" t="n"/>
      <c r="M210" s="69" t="n"/>
      <c r="N210" s="69" t="n"/>
    </row>
    <row r="211" ht="18" customHeight="1">
      <c r="A211" s="8" t="inlineStr">
        <is>
          <t>1.2.17.10</t>
        </is>
      </c>
      <c r="B211" s="7" t="inlineStr">
        <is>
          <t>R.C.C. etc. pipes 600, 700, 750 &amp; 800 mm dia</t>
        </is>
      </c>
      <c r="C211" s="8" t="n">
        <v>150</v>
      </c>
      <c r="D211" s="35" t="n">
        <v>150</v>
      </c>
      <c r="E211" s="8" t="inlineStr">
        <is>
          <t>100 m</t>
        </is>
      </c>
      <c r="F211" s="8" t="inlineStr">
        <is>
          <t>Category B</t>
        </is>
      </c>
      <c r="G211" s="41" t="n">
        <v>5903.64</v>
      </c>
      <c r="H211" s="41" t="n">
        <v>3935.76</v>
      </c>
      <c r="I211" s="41" t="n">
        <v>577.53</v>
      </c>
      <c r="J211" s="136" t="n"/>
      <c r="K211" s="136" t="n"/>
      <c r="L211" s="136" t="n"/>
      <c r="M211" s="136" t="n"/>
      <c r="N211" s="136" t="n"/>
    </row>
    <row r="212"/>
    <row r="213" ht="22" customHeight="1">
      <c r="A213" s="32" t="inlineStr">
        <is>
          <t>5D. HANDLING SCOPE - LABOUR GANG ALLOCATION. The Handling Scope you pick in Panel 1 sets the Beldar row in Section 1 from this table.</t>
        </is>
      </c>
    </row>
    <row r="214" ht="24" customHeight="1">
      <c r="A214" s="1" t="inlineStr">
        <is>
          <t>Scope wording (Panel 1 dropdown)</t>
        </is>
      </c>
      <c r="B214" s="1" t="inlineStr">
        <is>
          <t>Beldar gang</t>
        </is>
      </c>
      <c r="C214" s="1" t="inlineStr">
        <is>
          <t>Loading</t>
        </is>
      </c>
      <c r="D214" s="1" t="inlineStr">
        <is>
          <t>Unloading</t>
        </is>
      </c>
      <c r="E214" s="1" t="inlineStr">
        <is>
          <t>Stacking</t>
        </is>
      </c>
      <c r="F214" s="1" t="inlineStr">
        <is>
          <t>Daily labour cost (Rs)</t>
        </is>
      </c>
      <c r="G214" s="1" t="inlineStr">
        <is>
          <t>Direct shift cost (Rs)</t>
        </is>
      </c>
      <c r="H214" s="1" t="inlineStr">
        <is>
          <t>Engineering rationale</t>
        </is>
      </c>
      <c r="I214" s="1" t="inlineStr">
        <is>
          <t>Source</t>
        </is>
      </c>
    </row>
    <row r="215" ht="30" customHeight="1">
      <c r="A215" s="137" t="inlineStr">
        <is>
          <t>including loading, transporting, unloading and stacking</t>
        </is>
      </c>
      <c r="B215" s="8" t="n">
        <v>6</v>
      </c>
      <c r="C215" s="8" t="inlineStr">
        <is>
          <t>3.00</t>
        </is>
      </c>
      <c r="D215" s="8" t="inlineStr">
        <is>
          <t>2.00</t>
        </is>
      </c>
      <c r="E215" s="8" t="inlineStr">
        <is>
          <t>1.00</t>
        </is>
      </c>
      <c r="F215" s="41" t="n">
        <v>3348</v>
      </c>
      <c r="G215" s="41" t="n">
        <v>5939.58</v>
      </c>
      <c r="H215" s="137" t="inlineStr">
        <is>
          <t>DAR item 1.1.1 baseline - full turnkey manual handling at both ends.</t>
        </is>
      </c>
      <c r="I215" s="138" t="inlineStr">
        <is>
          <t>DAR 2019 Sub-Head 01</t>
        </is>
      </c>
    </row>
    <row r="216" ht="30" customHeight="1">
      <c r="A216" s="139" t="inlineStr">
        <is>
          <t>including loading, transporting, unloading to approved municipal dumping ground</t>
        </is>
      </c>
      <c r="B216" s="4" t="n">
        <v>6</v>
      </c>
      <c r="C216" s="4" t="inlineStr">
        <is>
          <t>3.00</t>
        </is>
      </c>
      <c r="D216" s="4" t="inlineStr">
        <is>
          <t>2.00</t>
        </is>
      </c>
      <c r="E216" s="4" t="inlineStr">
        <is>
          <t>1.00</t>
        </is>
      </c>
      <c r="F216" s="134" t="n">
        <v>3348</v>
      </c>
      <c r="G216" s="134" t="n">
        <v>5939.58</v>
      </c>
      <c r="H216" s="139" t="inlineStr">
        <is>
          <t>DAR item 1.1.18 benchmark for urban malba / rubbish disposal.</t>
        </is>
      </c>
      <c r="I216" s="70" t="inlineStr">
        <is>
          <t>DAR 2019 Sub-Head 01</t>
        </is>
      </c>
    </row>
    <row r="217" ht="30" customHeight="1">
      <c r="A217" s="137" t="inlineStr">
        <is>
          <t>including loading, transporting and unloading (excluding stacking)</t>
        </is>
      </c>
      <c r="B217" s="8" t="n">
        <v>5</v>
      </c>
      <c r="C217" s="8" t="inlineStr">
        <is>
          <t>3.00</t>
        </is>
      </c>
      <c r="D217" s="8" t="inlineStr">
        <is>
          <t>2.00</t>
        </is>
      </c>
      <c r="E217" s="8" t="inlineStr">
        <is>
          <t>0.00</t>
        </is>
      </c>
      <c r="F217" s="41" t="n">
        <v>2790</v>
      </c>
      <c r="G217" s="41" t="n">
        <v>5381.58</v>
      </c>
      <c r="H217" s="137" t="inlineStr">
        <is>
          <t>Bulk delivery or tipping; manual stacking omitted.</t>
        </is>
      </c>
      <c r="I217" s="138" t="inlineStr">
        <is>
          <t>DAR 2019 Sub-Head 01</t>
        </is>
      </c>
    </row>
    <row r="218" ht="30" customHeight="1">
      <c r="A218" s="139" t="inlineStr">
        <is>
          <t>transporting and unloading only (machine loaded at source)</t>
        </is>
      </c>
      <c r="B218" s="4" t="n">
        <v>3</v>
      </c>
      <c r="C218" s="4" t="inlineStr">
        <is>
          <t>0.00</t>
        </is>
      </c>
      <c r="D218" s="4" t="inlineStr">
        <is>
          <t>2.00</t>
        </is>
      </c>
      <c r="E218" s="4" t="inlineStr">
        <is>
          <t>1.00</t>
        </is>
      </c>
      <c r="F218" s="134" t="n">
        <v>1674</v>
      </c>
      <c r="G218" s="134" t="n">
        <v>4265.58</v>
      </c>
      <c r="H218" s="139" t="inlineStr">
        <is>
          <t>Loaded by excavator or JCB under Sub-Head 02; manual unloading only.</t>
        </is>
      </c>
      <c r="I218" s="70" t="inlineStr">
        <is>
          <t>DAR 2019 Sub-Head 01</t>
        </is>
      </c>
    </row>
    <row r="219" ht="30" customHeight="1">
      <c r="A219" s="137" t="inlineStr">
        <is>
          <t>transporting only (excluding loading, unloading and stacking)</t>
        </is>
      </c>
      <c r="B219" s="8" t="n">
        <v>0</v>
      </c>
      <c r="C219" s="8" t="inlineStr">
        <is>
          <t>0.00</t>
        </is>
      </c>
      <c r="D219" s="8" t="inlineStr">
        <is>
          <t>0.00</t>
        </is>
      </c>
      <c r="E219" s="8" t="inlineStr">
        <is>
          <t>0.00</t>
        </is>
      </c>
      <c r="F219" s="41" t="n">
        <v>0</v>
      </c>
      <c r="G219" s="41" t="n">
        <v>2591.58</v>
      </c>
      <c r="H219" s="137" t="inlineStr">
        <is>
          <t>Pure haulage; machine loaded at source and tipped at destination.</t>
        </is>
      </c>
      <c r="I219" s="138" t="inlineStr">
        <is>
          <t>DAR 2019 Sub-Head 01</t>
        </is>
      </c>
    </row>
    <row r="220" ht="30" customHeight="1">
      <c r="A220" s="139" t="inlineStr">
        <is>
          <t>including unloading and stacking at railway siding</t>
        </is>
      </c>
      <c r="B220" s="4" t="n">
        <v>3.75</v>
      </c>
      <c r="C220" s="4" t="inlineStr">
        <is>
          <t>0.00</t>
        </is>
      </c>
      <c r="D220" s="4" t="inlineStr">
        <is>
          <t>2.50</t>
        </is>
      </c>
      <c r="E220" s="4" t="inlineStr">
        <is>
          <t>1.25</t>
        </is>
      </c>
      <c r="F220" s="134" t="n">
        <v>2092.5</v>
      </c>
      <c r="G220" s="134" t="n">
        <v>4684.08</v>
      </c>
      <c r="H220" s="139" t="inlineStr">
        <is>
          <t>DAR items 1.3 and 1.4 standard for railway wagon handling.</t>
        </is>
      </c>
      <c r="I220" s="70" t="inlineStr">
        <is>
          <t>DAR 2019 Sub-Head 01</t>
        </is>
      </c>
    </row>
  </sheetData>
  <sheetProtection selectLockedCells="0" selectUnlockedCells="0" sheet="1" objects="0" insertRows="1" insertHyperlinks="1" autoFilter="1" scenarios="0" formatColumns="1" deleteColumns="1" insertColumns="1" pivotTables="1" deleteRows="1" formatCells="1" formatRows="1" sort="1"/>
  <mergeCells count="70">
    <mergeCell ref="E21:I21"/>
    <mergeCell ref="E43:I43"/>
    <mergeCell ref="E12:I12"/>
    <mergeCell ref="A133:I133"/>
    <mergeCell ref="B16:I16"/>
    <mergeCell ref="E24:I24"/>
    <mergeCell ref="E42:I42"/>
    <mergeCell ref="A80:I80"/>
    <mergeCell ref="A18:I18"/>
    <mergeCell ref="E98:I98"/>
    <mergeCell ref="A3:I3"/>
    <mergeCell ref="E23:I23"/>
    <mergeCell ref="E39:I39"/>
    <mergeCell ref="E14:I14"/>
    <mergeCell ref="E83:I83"/>
    <mergeCell ref="E92:I92"/>
    <mergeCell ref="A57:F57"/>
    <mergeCell ref="E88:I88"/>
    <mergeCell ref="E82:I82"/>
    <mergeCell ref="E29:I29"/>
    <mergeCell ref="E35:I35"/>
    <mergeCell ref="E20:I20"/>
    <mergeCell ref="A5:I5"/>
    <mergeCell ref="E38:I38"/>
    <mergeCell ref="A47:I47"/>
    <mergeCell ref="E87:I87"/>
    <mergeCell ref="E10:I10"/>
    <mergeCell ref="E28:I28"/>
    <mergeCell ref="E13:I13"/>
    <mergeCell ref="E19:I19"/>
    <mergeCell ref="E94:I94"/>
    <mergeCell ref="A8:I8"/>
    <mergeCell ref="E31:I31"/>
    <mergeCell ref="A4:I4"/>
    <mergeCell ref="E84:I84"/>
    <mergeCell ref="E40:I40"/>
    <mergeCell ref="E9:I9"/>
    <mergeCell ref="E30:I30"/>
    <mergeCell ref="E15:I15"/>
    <mergeCell ref="E90:I90"/>
    <mergeCell ref="E95:I95"/>
    <mergeCell ref="A101:N101"/>
    <mergeCell ref="E86:I86"/>
    <mergeCell ref="E89:I89"/>
    <mergeCell ref="A175:N175"/>
    <mergeCell ref="E11:I11"/>
    <mergeCell ref="A58:F58"/>
    <mergeCell ref="E27:I27"/>
    <mergeCell ref="A213:N213"/>
    <mergeCell ref="A77:I77"/>
    <mergeCell ref="A34:I34"/>
    <mergeCell ref="E36:I36"/>
    <mergeCell ref="E26:I26"/>
    <mergeCell ref="A135:N135"/>
    <mergeCell ref="E91:I91"/>
    <mergeCell ref="E85:I85"/>
    <mergeCell ref="A60:I60"/>
    <mergeCell ref="E81:I81"/>
    <mergeCell ref="E32:I32"/>
    <mergeCell ref="A100:N100"/>
    <mergeCell ref="E25:I25"/>
    <mergeCell ref="A1:I1"/>
    <mergeCell ref="E41:I41"/>
    <mergeCell ref="E97:I97"/>
    <mergeCell ref="A79:I79"/>
    <mergeCell ref="A6:I6"/>
    <mergeCell ref="E37:I37"/>
    <mergeCell ref="E22:I22"/>
    <mergeCell ref="E93:I93"/>
    <mergeCell ref="E96:I96"/>
  </mergeCells>
  <dataValidations count="11">
    <dataValidation sqref="C63 C65 C67 C69" showDropDown="0" showInputMessage="0" showErrorMessage="0" allowBlank="0" type="list">
      <formula1>"YES,NO"</formula1>
    </dataValidation>
    <dataValidation sqref="B25" showDropDown="0" showInputMessage="0" showErrorMessage="0" allowBlank="0" type="list">
      <formula1>"STANDARD (DAYTIME),URBAN RESTRICTED HOURS"</formula1>
    </dataValidation>
    <dataValidation sqref="B29" showDropDown="0" showInputMessage="0" showErrorMessage="0" allowBlank="0" type="list">
      <formula1>"DIRECT ROUTE (2NL + 6),CPWD PRO-RATA (Data Sheet 1)"</formula1>
    </dataValidation>
    <dataValidation sqref="B26" showDropDown="0" showInputMessage="0" showErrorMessage="0" allowBlank="0" type="list">
      <formula1>"CPWD FRACTIONAL (Data Sheet 1 basis),WHOLE TRIPS (round down to integer)"</formula1>
    </dataValidation>
    <dataValidation sqref="B95" showDropDown="0" showInputMessage="0" showErrorMessage="0" allowBlank="0" type="list">
      <formula1>"cum,tonne,metre,100 m,1000 Nos"</formula1>
    </dataValidation>
    <dataValidation sqref="B83" showDropDown="0" showInputMessage="0" showErrorMessage="0" allowBlank="0" type="list">
      <formula1>"Category A (Bulk / Earth / Bricks),Category B (Heavy / Pipes / Steel)"</formula1>
    </dataValidation>
    <dataValidation sqref="B84" showDropDown="0" showInputMessage="0" showErrorMessage="0" allowBlank="0" type="list">
      <formula1>"50,100,150,200,250,300,350,400,450,500"</formula1>
    </dataValidation>
    <dataValidation sqref="B10" showDropDown="0" showInputMessage="0" showErrorMessage="0" allowBlank="0" type="list">
      <formula1>=CPWD_Carriage_Item_Codes</formula1>
    </dataValidation>
    <dataValidation sqref="B11" showDropDown="0" showInputMessage="0" showErrorMessage="0" allowBlank="0" type="list">
      <formula1>=CPWD_Carriage_Materials</formula1>
    </dataValidation>
    <dataValidation sqref="B12" showDropDown="0" showInputMessage="0" showErrorMessage="0" allowBlank="0" type="list">
      <formula1>=CPWD_Carriage_Scope</formula1>
    </dataValidation>
    <dataValidation sqref="B13"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Strata / soil classification</t>
        </is>
      </c>
      <c r="B10" s="88" t="inlineStr">
        <is>
          <t>All kinds of soil</t>
        </is>
      </c>
      <c r="C10" s="30" t="inlineStr">
        <is>
          <t>DRIVES COST</t>
        </is>
      </c>
      <c r="D10" s="140" t="inlineStr">
        <is>
          <t>Labour rows</t>
        </is>
      </c>
      <c r="E10" s="24" t="inlineStr">
        <is>
          <t>DAR 2.7.1 (ordinary rock), 2.7.2 (hard rock, blasting), 2.7.3 (hard rock, blasting prohibited) are priced separately from 2.1.1 (all kinds of soil) with different crews and machinery - so the strata is a real cost driver with data behind it.</t>
        </is>
      </c>
      <c r="F10" s="60" t="n"/>
      <c r="G10" s="60" t="n"/>
      <c r="H10" s="60" t="n"/>
      <c r="I10" s="60" t="n"/>
    </row>
    <row r="11" ht="32" customHeight="1">
      <c r="A11" s="87" t="inlineStr">
        <is>
          <t>Operation</t>
        </is>
      </c>
      <c r="B11" s="88" t="inlineStr">
        <is>
          <t>Surface excavation</t>
        </is>
      </c>
      <c r="C11" s="30" t="inlineStr">
        <is>
          <t>DRIVES COST</t>
        </is>
      </c>
      <c r="D11" s="140" t="inlineStr">
        <is>
          <t>Labour rows</t>
        </is>
      </c>
      <c r="E11" s="24" t="inlineStr">
        <is>
          <t>DAR 2.1 (surface excavation), 2.2 (rough excavation and banking), 2.3 (trench excavation), 2.6 (excavation by hydraulic excavator) each carry different Beldar/Coolie coefficients.</t>
        </is>
      </c>
      <c r="F11" s="60" t="n"/>
      <c r="G11" s="60" t="n"/>
      <c r="H11" s="60" t="n"/>
      <c r="I11" s="60" t="n"/>
    </row>
    <row r="12" ht="32" customHeight="1">
      <c r="A12" s="87" t="inlineStr">
        <is>
          <t>Depth / thickness band</t>
        </is>
      </c>
      <c r="B12" s="88" t="inlineStr">
        <is>
          <t>not exceeding 30 cm in depth</t>
        </is>
      </c>
      <c r="C12" s="30" t="inlineStr">
        <is>
          <t>DRIVES COST</t>
        </is>
      </c>
      <c r="D12" s="140" t="inlineStr">
        <is>
          <t>Output basis</t>
        </is>
      </c>
      <c r="E12" s="24" t="inlineStr">
        <is>
          <t>The depth band changes the output basis the crew is quoted against (100 sqm for surface work not exceeding 30 cm, 10 cum for deeper excavation) - see DAR 2.1.1 vs 2.2.1.</t>
        </is>
      </c>
      <c r="F12" s="60" t="n"/>
      <c r="G12" s="60" t="n"/>
      <c r="H12" s="60" t="n"/>
      <c r="I12" s="60" t="n"/>
    </row>
    <row r="13" ht="32" customHeight="1">
      <c r="A13" s="87" t="inlineStr">
        <is>
          <t>Lead for disposal</t>
        </is>
      </c>
      <c r="B13" s="88" t="inlineStr">
        <is>
          <t>upto 50 m lead</t>
        </is>
      </c>
      <c r="C13" s="2" t="inlineStr">
        <is>
          <t>NOMENCLATURE ONLY</t>
        </is>
      </c>
      <c r="D13" s="140" t="inlineStr">
        <is>
          <t>-</t>
        </is>
      </c>
      <c r="E13" s="24" t="inlineStr">
        <is>
          <t>Within an Earth Work item the DAR quotes one rate for disposal upto 50 m lead; beyond 50 m the carriage is measured separately under Sub-Head 01, not by varying this item. No differential figure exists inside Sub-Head 02.</t>
        </is>
      </c>
      <c r="F13" s="60" t="n"/>
      <c r="G13" s="60" t="n"/>
      <c r="H13" s="60" t="n"/>
      <c r="I13" s="60" t="n"/>
    </row>
    <row r="14" ht="32" customHeight="1">
      <c r="A14" s="87" t="inlineStr">
        <is>
          <t>Lift</t>
        </is>
      </c>
      <c r="B14" s="88" t="inlineStr">
        <is>
          <t>and 1.5 m lift</t>
        </is>
      </c>
      <c r="C14" s="2" t="inlineStr">
        <is>
          <t>NOMENCLATURE ONLY</t>
        </is>
      </c>
      <c r="D14" s="140" t="inlineStr">
        <is>
          <t>-</t>
        </is>
      </c>
      <c r="E14" s="24" t="inlineStr">
        <is>
          <t>The DAR prices one rate for the stated lift; "all lifts" and "1.5 m lift" wordings do not carry separate figures in Sub-Head 02.</t>
        </is>
      </c>
      <c r="F14" s="60" t="n"/>
      <c r="G14" s="60" t="n"/>
      <c r="H14" s="60" t="n"/>
      <c r="I14" s="60" t="n"/>
    </row>
    <row r="15" ht="32" customHeight="1">
      <c r="A15" s="87" t="inlineStr">
        <is>
          <t>Mechanical plant used</t>
        </is>
      </c>
      <c r="B15" s="88" t="inlineStr">
        <is>
          <t>Manual (no plant)</t>
        </is>
      </c>
      <c r="C15" s="30" t="inlineStr">
        <is>
          <t>DRIVES COST</t>
        </is>
      </c>
      <c r="D15" s="140" t="inlineStr">
        <is>
          <t>Labour rows</t>
        </is>
      </c>
      <c r="E15" s="24" t="inlineStr">
        <is>
          <t>DAR 2.6.1 prices excavation by hydraulic excavator with a machinery line and a much smaller labour gang than the manual item 2.1.1 - selecting plant should replace crew rows with a plant hire row from Rates_Master.</t>
        </is>
      </c>
      <c r="F15" s="60" t="n"/>
      <c r="G15" s="60" t="n"/>
      <c r="H15" s="60" t="n"/>
      <c r="I15" s="60" t="n"/>
    </row>
    <row r="16" ht="22" customHeight="1">
      <c r="A16" s="16" t="inlineStr">
        <is>
          <t>Custom Item Code:</t>
        </is>
      </c>
      <c r="B16" s="61" t="inlineStr">
        <is>
          <t>C-02.01</t>
        </is>
      </c>
      <c r="C16" s="16" t="inlineStr">
        <is>
          <t>Batch Output Basis:</t>
        </is>
      </c>
      <c r="D16" s="92" t="n">
        <v>100</v>
      </c>
      <c r="E16" s="16" t="inlineStr">
        <is>
          <t>Output Unit:</t>
        </is>
      </c>
      <c r="F16" s="61" t="inlineStr">
        <is>
          <t>sqm</t>
        </is>
      </c>
      <c r="G16" s="16" t="inlineStr">
        <is>
          <t>Trade Sub-Head:</t>
        </is>
      </c>
      <c r="H16" s="35" t="inlineStr">
        <is>
          <t>02 Earth Work</t>
        </is>
      </c>
      <c r="I16" s="67" t="inlineStr">
        <is>
          <t>Output Unit Note:</t>
        </is>
      </c>
    </row>
    <row r="17" ht="40" customHeight="1">
      <c r="A17" s="16" t="inlineStr">
        <is>
          <t>Assembled Item Nomenclature:</t>
        </is>
      </c>
      <c r="B17" s="141">
        <f>IF(I17&lt;&gt;"", I17, "Earth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Output basis quantity</t>
        </is>
      </c>
      <c r="B20" s="92" t="n">
        <v>100</v>
      </c>
      <c r="C20" s="19" t="inlineStr">
        <is>
          <t>sqm or cum</t>
        </is>
      </c>
      <c r="D20" s="140" t="inlineStr">
        <is>
          <t>Batch basis</t>
        </is>
      </c>
      <c r="E20" s="24" t="inlineStr">
        <is>
          <t>DAR Earth Work items are quoted per 100 sqm (surface work) or per 10 cum (volume work). Keep this consistent with the coefficients entered below.</t>
        </is>
      </c>
      <c r="F20" s="60" t="n"/>
      <c r="G20" s="60" t="n"/>
      <c r="H20" s="60" t="n"/>
      <c r="I20" s="60" t="n"/>
    </row>
    <row r="21" ht="30" customHeight="1">
      <c r="A21" s="87" t="inlineStr">
        <is>
          <t>Number of watering passes</t>
        </is>
      </c>
      <c r="B21" s="143" t="n">
        <v>1</v>
      </c>
      <c r="C21" s="19" t="inlineStr">
        <is>
          <t>passes</t>
        </is>
      </c>
      <c r="D21" s="140" t="inlineStr">
        <is>
          <t>Bhisti coeff</t>
        </is>
      </c>
      <c r="E21" s="24" t="inlineStr">
        <is>
          <t>DAR 2.5 is an explicit deduct item for NOT watering the excavated earth for banking - so watering is a costed operation with a printed figure.</t>
        </is>
      </c>
      <c r="F21" s="60" t="n"/>
      <c r="G21" s="60" t="n"/>
      <c r="H21" s="60" t="n"/>
      <c r="I21" s="60" t="n"/>
    </row>
    <row r="22" ht="30" customHeight="1">
      <c r="A22" s="87" t="inlineStr">
        <is>
          <t>Rolling with power roller</t>
        </is>
      </c>
      <c r="B22" s="61" t="inlineStr">
        <is>
          <t>YES</t>
        </is>
      </c>
      <c r="C22" s="19" t="inlineStr">
        <is>
          <t>YES / NO</t>
        </is>
      </c>
      <c r="D22" s="140" t="inlineStr">
        <is>
          <t>Plant row</t>
        </is>
      </c>
      <c r="E22" s="24" t="inlineStr">
        <is>
          <t>DAR 2.4 is an explicit deduct item for not rolling with a minimum 8 tonne power roller, which gives the differential directly.</t>
        </is>
      </c>
      <c r="F22" s="60" t="n"/>
      <c r="G22" s="60" t="n"/>
      <c r="H22" s="60" t="n"/>
      <c r="I22" s="60" t="n"/>
    </row>
    <row r="23" ht="30" customHeight="1">
      <c r="A23" s="87" t="inlineStr">
        <is>
          <t>Site clearance / dressing included</t>
        </is>
      </c>
      <c r="B23" s="61" t="inlineStr">
        <is>
          <t>NO</t>
        </is>
      </c>
      <c r="C23" s="19" t="inlineStr">
        <is>
          <t>YES / NO</t>
        </is>
      </c>
      <c r="D23" s="140" t="inlineStr">
        <is>
          <t>Labour rows</t>
        </is>
      </c>
      <c r="E23" s="24" t="inlineStr">
        <is>
          <t>Dressing is priced in its own DAR items rather than as an uplift on excavation; if included, add the dressing crew as extra labour rows.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(Earth Work items in the DAR are labour-and-plant only - leave blank unless the operation genuinely consumes material, e.g. imported earth or moorum)</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c r="C28" s="82">
        <f>IF(B28="","", IFERROR(INDEX(Rates_Master!$C:$C, MATCH(B28, Rates_Master!$A:$A, 0)), "Custom / Intermediate Material"))</f>
        <v/>
      </c>
      <c r="D28" s="63">
        <f>IF(B28="","", IFERROR(INDEX(Rates_Master!$D:$D, MATCH(B28, Rates_Master!$A:$A, 0)), ""))</f>
        <v/>
      </c>
      <c r="E28" s="64" t="n"/>
      <c r="F28" s="65">
        <f>IF(B28="","", IFERROR(INDEX(Rates_Master!$E:$E, MATCH(B28, Rates_Master!$A:$A, 0)), 0))</f>
        <v/>
      </c>
      <c r="G28" s="43">
        <f>IF(OR(B28="", E28=""), 0, ROUND(E28 * F28, 2))</f>
        <v/>
      </c>
      <c r="H28" s="144" t="inlineStr"/>
      <c r="I28" s="61" t="inlineStr"/>
    </row>
    <row r="29" ht="20" customHeight="1">
      <c r="A29" s="19" t="n">
        <v>2</v>
      </c>
      <c r="B29" s="61" t="inlineStr"/>
      <c r="C29" s="82">
        <f>IF(B29="","", IFERROR(INDEX(Rates_Master!$C:$C, MATCH(B29, Rates_Master!$A:$A, 0)), "Custom / Intermediate Material"))</f>
        <v/>
      </c>
      <c r="D29" s="63">
        <f>IF(B29="","", IFERROR(INDEX(Rates_Master!$D:$D, MATCH(B29, Rates_Master!$A:$A, 0)), ""))</f>
        <v/>
      </c>
      <c r="E29" s="64" t="n"/>
      <c r="F29" s="65">
        <f>IF(B29="","", IFERROR(INDEX(Rates_Master!$E:$E, MATCH(B29, Rates_Master!$A:$A, 0)), 0))</f>
        <v/>
      </c>
      <c r="G29" s="43">
        <f>IF(OR(B29="", E29=""), 0, ROUND(E29 * F29, 2))</f>
        <v/>
      </c>
      <c r="H29" s="144" t="inlineStr"/>
      <c r="I29" s="61" t="inlineStr"/>
    </row>
    <row r="30" ht="20" customHeight="1">
      <c r="A30" s="19" t="n">
        <v>3</v>
      </c>
      <c r="B30" s="61" t="inlineStr"/>
      <c r="C30" s="82">
        <f>IF(B30="","", IFERROR(INDEX(Rates_Master!$C:$C, MATCH(B30, Rates_Master!$A:$A, 0)), "Custom / Intermediate Material"))</f>
        <v/>
      </c>
      <c r="D30" s="63">
        <f>IF(B30="","", IFERROR(INDEX(Rates_Master!$D:$D, MATCH(B30, Rates_Master!$A:$A, 0)), ""))</f>
        <v/>
      </c>
      <c r="E30" s="64" t="n"/>
      <c r="F30" s="65">
        <f>IF(B30="","", IFERROR(INDEX(Rates_Master!$E:$E, MATCH(B30, Rates_Master!$A:$A, 0)), 0))</f>
        <v/>
      </c>
      <c r="G30" s="43">
        <f>IF(OR(B30="", E30=""), 0, ROUND(E30 * F30, 2))</f>
        <v/>
      </c>
      <c r="H30" s="144" t="inlineStr"/>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4"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6.8</v>
      </c>
      <c r="F42" s="65">
        <f>IF(B42="","", IFERROR(INDEX(Rates_Master!$E:$E, MATCH(B42, Rates_Master!$A:$A, 0)), 0))</f>
        <v/>
      </c>
      <c r="G42" s="43">
        <f>IF(OR(B42="", E42=""), 0, ROUND(E42 * F42, 2))</f>
        <v/>
      </c>
      <c r="H42" s="144" t="inlineStr">
        <is>
          <t>Beldar (excavation &amp; throwing)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5.6</v>
      </c>
      <c r="F43" s="65">
        <f>IF(B43="","", IFERROR(INDEX(Rates_Master!$E:$E, MATCH(B43, Rates_Master!$A:$A, 0)), 0))</f>
        <v/>
      </c>
      <c r="G43" s="43">
        <f>IF(OR(B43="", E43=""), 0, ROUND(E43 * F43, 2))</f>
        <v/>
      </c>
      <c r="H43" s="144" t="inlineStr">
        <is>
          <t>Coolie (carrying &amp; disposal upto 50m)</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4"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labour cost for site compaction water and dust suppression.</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multiplying factor 0.1405 (works contract tax).</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2.1.1</t>
        </is>
      </c>
      <c r="B75" s="147" t="inlineStr">
        <is>
          <t>Earth work in surface excavation in all kinds of soil upto 50m lead and 1.5m lift</t>
        </is>
      </c>
      <c r="C75" s="148" t="inlineStr">
        <is>
          <t>sqm</t>
        </is>
      </c>
      <c r="D75" s="148" t="n">
        <v>100</v>
      </c>
      <c r="E75" s="149" t="n">
        <v>6919.2</v>
      </c>
      <c r="F75" s="148" t="inlineStr">
        <is>
          <t>Full W-&gt;X-&gt;Y-&gt;Z</t>
        </is>
      </c>
      <c r="G75" s="149" t="n">
        <v>92.56999999999999</v>
      </c>
      <c r="H75" s="9" t="n">
        <v>92.55</v>
      </c>
      <c r="I75" s="149" t="n"/>
    </row>
    <row r="76" ht="20" customHeight="1">
      <c r="A76" s="150" t="inlineStr">
        <is>
          <t>2.2.1</t>
        </is>
      </c>
      <c r="B76" s="151" t="inlineStr">
        <is>
          <t>Earth work in rough excavation, banking excavated earth in layers with watering &amp; rolling</t>
        </is>
      </c>
      <c r="C76" s="152" t="inlineStr">
        <is>
          <t>cum</t>
        </is>
      </c>
      <c r="D76" s="152" t="n">
        <v>10</v>
      </c>
      <c r="E76" s="153" t="n">
        <v>5581.72</v>
      </c>
      <c r="F76" s="152" t="inlineStr">
        <is>
          <t>Full W-&gt;X-&gt;Y-&gt;Z</t>
        </is>
      </c>
      <c r="G76" s="153" t="n">
        <v>746.8</v>
      </c>
      <c r="H76" s="5" t="n">
        <v>746.8</v>
      </c>
      <c r="I76" s="153" t="n"/>
    </row>
    <row r="77" ht="20" customHeight="1">
      <c r="A77" s="146" t="inlineStr">
        <is>
          <t>C-02.03</t>
        </is>
      </c>
      <c r="B77" s="147" t="inlineStr">
        <is>
          <t>(Available for new custom item)</t>
        </is>
      </c>
      <c r="C77" s="148" t="inlineStr">
        <is>
          <t>sqm</t>
        </is>
      </c>
      <c r="D77" s="148" t="n">
        <v>100</v>
      </c>
      <c r="E77" s="149" t="n"/>
      <c r="F77" s="148" t="inlineStr">
        <is>
          <t>Full W-&gt;X-&gt;Y-&gt;Z</t>
        </is>
      </c>
      <c r="G77" s="149" t="n"/>
      <c r="H77" s="9" t="n"/>
      <c r="I77" s="149" t="n"/>
    </row>
    <row r="78" ht="20" customHeight="1">
      <c r="A78" s="150" t="inlineStr">
        <is>
          <t>C-02.04</t>
        </is>
      </c>
      <c r="B78" s="151" t="inlineStr">
        <is>
          <t>(Available for new custom item)</t>
        </is>
      </c>
      <c r="C78" s="152" t="inlineStr">
        <is>
          <t>sqm</t>
        </is>
      </c>
      <c r="D78" s="152" t="n">
        <v>100</v>
      </c>
      <c r="E78" s="153" t="n"/>
      <c r="F78" s="152" t="inlineStr">
        <is>
          <t>Full W-&gt;X-&gt;Y-&gt;Z</t>
        </is>
      </c>
      <c r="G78" s="153" t="n"/>
      <c r="H78" s="5" t="n"/>
      <c r="I78" s="153" t="n"/>
    </row>
    <row r="79" ht="20" customHeight="1">
      <c r="A79" s="146" t="inlineStr">
        <is>
          <t>C-02.05</t>
        </is>
      </c>
      <c r="B79" s="147" t="inlineStr">
        <is>
          <t>(Available for new custom item)</t>
        </is>
      </c>
      <c r="C79" s="148" t="inlineStr">
        <is>
          <t>sqm</t>
        </is>
      </c>
      <c r="D79" s="148" t="n">
        <v>100</v>
      </c>
      <c r="E79" s="149" t="n"/>
      <c r="F79" s="148" t="inlineStr">
        <is>
          <t>Full W-&gt;X-&gt;Y-&gt;Z</t>
        </is>
      </c>
      <c r="G79" s="149" t="n"/>
      <c r="H79" s="9" t="n"/>
      <c r="I79" s="149" t="n"/>
    </row>
    <row r="80" ht="20" customHeight="1">
      <c r="A80" s="150" t="inlineStr">
        <is>
          <t>C-02.06</t>
        </is>
      </c>
      <c r="B80" s="151" t="inlineStr">
        <is>
          <t>(Available for new custom item)</t>
        </is>
      </c>
      <c r="C80" s="152" t="inlineStr">
        <is>
          <t>sqm</t>
        </is>
      </c>
      <c r="D80" s="152" t="n">
        <v>100</v>
      </c>
      <c r="E80" s="153" t="n"/>
      <c r="F80" s="152" t="inlineStr">
        <is>
          <t>Full W-&gt;X-&gt;Y-&gt;Z</t>
        </is>
      </c>
      <c r="G80" s="153" t="n"/>
      <c r="H80" s="5" t="n"/>
      <c r="I80" s="153" t="n"/>
    </row>
    <row r="81" ht="20" customHeight="1">
      <c r="A81" s="146" t="inlineStr">
        <is>
          <t>C-02.07</t>
        </is>
      </c>
      <c r="B81" s="147" t="inlineStr">
        <is>
          <t>(Available for new custom item)</t>
        </is>
      </c>
      <c r="C81" s="148" t="inlineStr">
        <is>
          <t>sqm</t>
        </is>
      </c>
      <c r="D81" s="148" t="n">
        <v>100</v>
      </c>
      <c r="E81" s="149" t="n"/>
      <c r="F81" s="148" t="inlineStr">
        <is>
          <t>Full W-&gt;X-&gt;Y-&gt;Z</t>
        </is>
      </c>
      <c r="G81" s="149" t="n"/>
      <c r="H81" s="9" t="n"/>
      <c r="I81" s="149" t="n"/>
    </row>
    <row r="82" ht="20" customHeight="1">
      <c r="A82" s="150" t="inlineStr">
        <is>
          <t>C-02.08</t>
        </is>
      </c>
      <c r="B82" s="151" t="inlineStr">
        <is>
          <t>(Available for new custom item)</t>
        </is>
      </c>
      <c r="C82" s="152" t="inlineStr">
        <is>
          <t>sqm</t>
        </is>
      </c>
      <c r="D82" s="152" t="n">
        <v>100</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1">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"All kinds of soil,Ordinary rock,Hard rock (requiring blasting),Hard rock (blasting prohibited)"</formula1>
    </dataValidation>
    <dataValidation sqref="B11" showDropDown="0" showInputMessage="0" showErrorMessage="0" allowBlank="1" type="list">
      <formula1>"Surface excavation,Rough excavation and banking,Trench / foundation excavation,Filling in layers with watering and ramming,Excavation by hydraulic excavator"</formula1>
    </dataValidation>
    <dataValidation sqref="B12" showDropDown="0" showInputMessage="0" showErrorMessage="0" allowBlank="1" type="list">
      <formula1>"not exceeding 30 cm in depth,exceeding 30 cm but not exceeding 1.5 m depth,exceeding 1.5 m depth"</formula1>
    </dataValidation>
    <dataValidation sqref="B13" showDropDown="0" showInputMessage="0" showErrorMessage="0" allowBlank="1" type="list">
      <formula1>"upto 50 m lead,lead beyond 50 m (price carriage separately under Sub-Head 01)"</formula1>
    </dataValidation>
    <dataValidation sqref="B14" showDropDown="0" showInputMessage="0" showErrorMessage="0" allowBlank="1" type="list">
      <formula1>"and 1.5 m lift,for all lifts"</formula1>
    </dataValidation>
    <dataValidation sqref="B15" showDropDown="0" showInputMessage="0" showErrorMessage="0" allowBlank="1" type="list">
      <formula1>"Manual (no plant),Hydraulic excavator,Power roller 8 tonne (compaction),Excavator + tipper combination"</formula1>
    </dataValidation>
    <dataValidation sqref="B22" showDropDown="0" showInputMessage="0" showErrorMessage="0" allowBlank="1" type="list">
      <formula1>"YES,NO"</formula1>
    </dataValidation>
    <dataValidation sqref="B2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Binder type</t>
        </is>
      </c>
      <c r="B10" s="88" t="inlineStr">
        <is>
          <t>Ordinary Portland cement</t>
        </is>
      </c>
      <c r="C10" s="30" t="inlineStr">
        <is>
          <t>DRIVES COST</t>
        </is>
      </c>
      <c r="D10" s="140" t="inlineStr">
        <is>
          <t>Material row 1</t>
        </is>
      </c>
      <c r="E10" s="24" t="inlineStr">
        <is>
          <t>DAR 3.1-3.14 use ordinary cement (code 0367); 3.15-3.17 use white cement at a different rate. Changing the binder changes the material code and rate.</t>
        </is>
      </c>
      <c r="F10" s="60" t="n"/>
      <c r="G10" s="60" t="n"/>
      <c r="H10" s="60" t="n"/>
      <c r="I10" s="60" t="n"/>
    </row>
    <row r="11" ht="32" customHeight="1">
      <c r="A11" s="87" t="inlineStr">
        <is>
          <t>Mix ratio (binder : aggregate)</t>
        </is>
      </c>
      <c r="B11" s="88" t="inlineStr">
        <is>
          <t>1:4</t>
        </is>
      </c>
      <c r="C11" s="30" t="inlineStr">
        <is>
          <t>DRIVES COST</t>
        </is>
      </c>
      <c r="D11" s="140" t="inlineStr">
        <is>
          <t>Material coeffs</t>
        </is>
      </c>
      <c r="E11" s="24" t="inlineStr">
        <is>
          <t>DAR 3.1 (1:1) through 3.11 (1:6) print a different cement volume for every ratio - 0.7175 cum of cement at 1:1 down to 0.178 cum at 1:6. This is the strongest cost driver on the sheet.</t>
        </is>
      </c>
      <c r="F11" s="60" t="n"/>
      <c r="G11" s="60" t="n"/>
      <c r="H11" s="60" t="n"/>
      <c r="I11" s="60" t="n"/>
    </row>
    <row r="12" ht="32" customHeight="1">
      <c r="A12" s="87" t="inlineStr">
        <is>
          <t>Fine aggregate type</t>
        </is>
      </c>
      <c r="B12" s="88" t="inlineStr">
        <is>
          <t>coarse sand</t>
        </is>
      </c>
      <c r="C12" s="30" t="inlineStr">
        <is>
          <t>DRIVES COST</t>
        </is>
      </c>
      <c r="D12" s="140" t="inlineStr">
        <is>
          <t>Material row 3</t>
        </is>
      </c>
      <c r="E12" s="24" t="inlineStr">
        <is>
          <t>DAR splits the same ratios by aggregate: 3.1-3.6 fine sand, 3.7-3.11 coarse sand, 3.12 stone dust, 3.13-3.14 marble dust - each a different Rates_Master code and rate.</t>
        </is>
      </c>
      <c r="F12" s="60" t="n"/>
      <c r="G12" s="60" t="n"/>
      <c r="H12" s="60" t="n"/>
      <c r="I12" s="60" t="n"/>
    </row>
    <row r="13" ht="32" customHeight="1">
      <c r="A13" s="87" t="inlineStr">
        <is>
          <t>Mixing method</t>
        </is>
      </c>
      <c r="B13" s="88" t="inlineStr">
        <is>
          <t>Manual (hand mixing)</t>
        </is>
      </c>
      <c r="C13" s="30" t="inlineStr">
        <is>
          <t>DRIVES COST</t>
        </is>
      </c>
      <c r="D13" s="140" t="inlineStr">
        <is>
          <t>Labour rows</t>
        </is>
      </c>
      <c r="E13" s="24" t="inlineStr">
        <is>
          <t>Hand mixing is priced with Beldar days; mechanical mixing adds a plant hire line (code 0002 onwards) whose day rate already includes operator and fuel per CPWD Note 1.</t>
        </is>
      </c>
      <c r="F13" s="60" t="n"/>
      <c r="G13" s="60" t="n"/>
      <c r="H13" s="60" t="n"/>
      <c r="I13" s="60" t="n"/>
    </row>
    <row r="14" ht="32" customHeight="1">
      <c r="A14" s="87" t="inlineStr">
        <is>
          <t>Location / lift of use</t>
        </is>
      </c>
      <c r="B14" s="88" t="inlineStr">
        <is>
          <t>at ground level</t>
        </is>
      </c>
      <c r="C14" s="2" t="inlineStr">
        <is>
          <t>NOMENCLATURE ONLY</t>
        </is>
      </c>
      <c r="D14" s="140" t="inlineStr">
        <is>
          <t>-</t>
        </is>
      </c>
      <c r="E14" s="24" t="inlineStr">
        <is>
          <t>The Mortars sub-head prices the mix itself, not its placement. Lifting to upper floors is priced in the consuming trade (see the "extra labour for lifting material" lines inside DAR 4.2.5), not here.</t>
        </is>
      </c>
      <c r="F14" s="60" t="n"/>
      <c r="G14" s="60" t="n"/>
      <c r="H14" s="60" t="n"/>
      <c r="I14" s="60" t="n"/>
    </row>
    <row r="15" ht="32" customHeight="1">
      <c r="A15" s="87" t="inlineStr">
        <is>
          <t>Purpose of the mix</t>
        </is>
      </c>
      <c r="B15" s="88" t="inlineStr">
        <is>
          <t>for masonry bedding</t>
        </is>
      </c>
      <c r="C15" s="2" t="inlineStr">
        <is>
          <t>NOMENCLATURE ONLY</t>
        </is>
      </c>
      <c r="D15" s="140" t="inlineStr">
        <is>
          <t>-</t>
        </is>
      </c>
      <c r="E15" s="24" t="inlineStr">
        <is>
          <t>The DAR does not vary a mortar rate by what it will be used for; the same item 3.9 is imported by Masonry, Stone, Cladding and Flooring alike.</t>
        </is>
      </c>
      <c r="F15" s="60" t="n"/>
      <c r="G15" s="60" t="n"/>
      <c r="H15" s="60" t="n"/>
      <c r="I15" s="60" t="n"/>
    </row>
    <row r="16" ht="22" customHeight="1">
      <c r="A16" s="16" t="inlineStr">
        <is>
          <t>Custom Item Code:</t>
        </is>
      </c>
      <c r="B16" s="61" t="inlineStr">
        <is>
          <t>C-03.01</t>
        </is>
      </c>
      <c r="C16" s="16" t="inlineStr">
        <is>
          <t>Batch Output Basis:</t>
        </is>
      </c>
      <c r="D16" s="92" t="n">
        <v>1</v>
      </c>
      <c r="E16" s="16" t="inlineStr">
        <is>
          <t>Output Unit:</t>
        </is>
      </c>
      <c r="F16" s="61" t="inlineStr">
        <is>
          <t>cum</t>
        </is>
      </c>
      <c r="G16" s="16" t="inlineStr">
        <is>
          <t>Trade Sub-Head:</t>
        </is>
      </c>
      <c r="H16" s="35" t="inlineStr">
        <is>
          <t>03 Mortars</t>
        </is>
      </c>
      <c r="I16" s="67" t="inlineStr">
        <is>
          <t>Output Unit Note:</t>
        </is>
      </c>
    </row>
    <row r="17" ht="40" customHeight="1">
      <c r="A17" s="16" t="inlineStr">
        <is>
          <t>Assembled Item Nomenclature:</t>
        </is>
      </c>
      <c r="B17" s="141">
        <f>IF(I17&lt;&gt;"", I17, "Providing and mixing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Dry volume factor</t>
        </is>
      </c>
      <c r="B20" s="154" t="n">
        <v>1.3</v>
      </c>
      <c r="C20" s="19" t="inlineStr">
        <is>
          <t>ratio</t>
        </is>
      </c>
      <c r="D20" s="140" t="inlineStr">
        <is>
          <t>Material coeffs</t>
        </is>
      </c>
      <c r="E20" s="24" t="inlineStr">
        <is>
          <t>The DAR derives wet-to-dry mortar volume inside each item header (e.g. 3.9 "0.268 cum of cement"). Adjust only if you are deriving a ratio the book does not print.</t>
        </is>
      </c>
      <c r="F20" s="60" t="n"/>
      <c r="G20" s="60" t="n"/>
      <c r="H20" s="60" t="n"/>
      <c r="I20" s="60" t="n"/>
    </row>
    <row r="21" ht="30" customHeight="1">
      <c r="A21" s="87" t="inlineStr">
        <is>
          <t>Cement bulk density</t>
        </is>
      </c>
      <c r="B21" s="154" t="n">
        <v>1.44</v>
      </c>
      <c r="C21" s="19" t="inlineStr">
        <is>
          <t>tonne / cum</t>
        </is>
      </c>
      <c r="D21" s="140" t="inlineStr">
        <is>
          <t>Cement coeff</t>
        </is>
      </c>
      <c r="E21" s="24" t="inlineStr">
        <is>
          <t>Used to convert the printed cement volume into the tonne basis that code 0367 is rated in - the conversion the DAR performs inline (0.269 cum = 0.38 tonne).</t>
        </is>
      </c>
      <c r="F21" s="60" t="n"/>
      <c r="G21" s="60" t="n"/>
      <c r="H21" s="60" t="n"/>
      <c r="I21" s="60" t="n"/>
    </row>
    <row r="22" ht="30" customHeight="1">
      <c r="A22" s="87" t="inlineStr">
        <is>
          <t>Batch output basis</t>
        </is>
      </c>
      <c r="B22" s="92" t="n">
        <v>1</v>
      </c>
      <c r="C22" s="19" t="inlineStr">
        <is>
          <t>cum</t>
        </is>
      </c>
      <c r="D22" s="140" t="inlineStr">
        <is>
          <t>Batch basis</t>
        </is>
      </c>
      <c r="E22" s="24" t="inlineStr">
        <is>
          <t>Every DAR mortar item is analysed for 1.00 cum. Keep 1.00 unless you deliberately want a batch rate.</t>
        </is>
      </c>
      <c r="F22" s="60" t="n"/>
      <c r="G22" s="60" t="n"/>
      <c r="H22" s="60" t="n"/>
      <c r="I22" s="60" t="n"/>
    </row>
    <row r="23" ht="30" customHeight="1">
      <c r="A23" s="87" t="inlineStr">
        <is>
          <t>Wastage allowance</t>
        </is>
      </c>
      <c r="B23" s="92" t="n">
        <v>0</v>
      </c>
      <c r="C23" s="19" t="inlineStr">
        <is>
          <t>%</t>
        </is>
      </c>
      <c r="D23" s="140" t="inlineStr">
        <is>
          <t>Material coeffs</t>
        </is>
      </c>
      <c r="E23" s="24" t="inlineStr">
        <is>
          <t>The DAR mortar items carry no wastage percentage - wastage on mortar is absorbed in the consuming trade. Leave at 0 to stay faithful to the book.</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0367</t>
        </is>
      </c>
      <c r="C28" s="82">
        <f>IF(B28="","", IFERROR(INDEX(Rates_Master!$C:$C, MATCH(B28, Rates_Master!$A:$A, 0)), "Custom / Intermediate Material"))</f>
        <v/>
      </c>
      <c r="D28" s="63">
        <f>IF(B28="","", IFERROR(INDEX(Rates_Master!$D:$D, MATCH(B28, Rates_Master!$A:$A, 0)), ""))</f>
        <v/>
      </c>
      <c r="E28" s="64" t="n">
        <v>0.38</v>
      </c>
      <c r="F28" s="65">
        <f>IF(B28="","", IFERROR(INDEX(Rates_Master!$E:$E, MATCH(B28, Rates_Master!$A:$A, 0)), 0))</f>
        <v/>
      </c>
      <c r="G28" s="43">
        <f>IF(OR(B28="", E28=""), 0, ROUND(E28 * F28, 2))</f>
        <v/>
      </c>
      <c r="H28" s="144" t="inlineStr">
        <is>
          <t>Portland Cement (0.269 cum = 0.38 tonne)</t>
        </is>
      </c>
      <c r="I28" s="61" t="inlineStr"/>
    </row>
    <row r="29" ht="20" customHeight="1">
      <c r="A29" s="19" t="n">
        <v>2</v>
      </c>
      <c r="B29" s="61" t="inlineStr">
        <is>
          <t>2209</t>
        </is>
      </c>
      <c r="C29" s="82">
        <f>IF(B29="","", IFERROR(INDEX(Rates_Master!$C:$C, MATCH(B29, Rates_Master!$A:$A, 0)), "Custom / Intermediate Material"))</f>
        <v/>
      </c>
      <c r="D29" s="63">
        <f>IF(B29="","", IFERROR(INDEX(Rates_Master!$D:$D, MATCH(B29, Rates_Master!$A:$A, 0)), ""))</f>
        <v/>
      </c>
      <c r="E29" s="64" t="n">
        <v>0.38</v>
      </c>
      <c r="F29" s="65">
        <f>IF(B29="","", IFERROR(INDEX(Rates_Master!$E:$E, MATCH(B29, Rates_Master!$A:$A, 0)), 0))</f>
        <v/>
      </c>
      <c r="G29" s="43">
        <f>IF(OR(B29="", E29=""), 0, ROUND(E29 * F29, 2))</f>
        <v/>
      </c>
      <c r="H29" s="144" t="inlineStr">
        <is>
          <t>Carriage of Cement</t>
        </is>
      </c>
      <c r="I29" s="61" t="inlineStr"/>
    </row>
    <row r="30" ht="20" customHeight="1">
      <c r="A30" s="19" t="n">
        <v>3</v>
      </c>
      <c r="B30" s="61" t="inlineStr">
        <is>
          <t>0982</t>
        </is>
      </c>
      <c r="C30" s="82">
        <f>IF(B30="","", IFERROR(INDEX(Rates_Master!$C:$C, MATCH(B30, Rates_Master!$A:$A, 0)), "Custom / Intermediate Material"))</f>
        <v/>
      </c>
      <c r="D30" s="63">
        <f>IF(B30="","", IFERROR(INDEX(Rates_Master!$D:$D, MATCH(B30, Rates_Master!$A:$A, 0)), ""))</f>
        <v/>
      </c>
      <c r="E30" s="64" t="n">
        <v>1.07</v>
      </c>
      <c r="F30" s="65">
        <f>IF(B30="","", IFERROR(INDEX(Rates_Master!$E:$E, MATCH(B30, Rates_Master!$A:$A, 0)), 0))</f>
        <v/>
      </c>
      <c r="G30" s="43">
        <f>IF(OR(B30="", E30=""), 0, ROUND(E30 * F30, 2))</f>
        <v/>
      </c>
      <c r="H30" s="144" t="inlineStr">
        <is>
          <t>Coarse sand (zone III)</t>
        </is>
      </c>
      <c r="I30" s="61" t="inlineStr"/>
    </row>
    <row r="31" ht="20" customHeight="1">
      <c r="A31" s="19" t="n">
        <v>4</v>
      </c>
      <c r="B31" s="61" t="inlineStr">
        <is>
          <t>2203</t>
        </is>
      </c>
      <c r="C31" s="82">
        <f>IF(B31="","", IFERROR(INDEX(Rates_Master!$C:$C, MATCH(B31, Rates_Master!$A:$A, 0)), "Custom / Intermediate Material"))</f>
        <v/>
      </c>
      <c r="D31" s="63">
        <f>IF(B31="","", IFERROR(INDEX(Rates_Master!$D:$D, MATCH(B31, Rates_Master!$A:$A, 0)), ""))</f>
        <v/>
      </c>
      <c r="E31" s="64" t="n">
        <v>1.07</v>
      </c>
      <c r="F31" s="65">
        <f>IF(B31="","", IFERROR(INDEX(Rates_Master!$E:$E, MATCH(B31, Rates_Master!$A:$A, 0)), 0))</f>
        <v/>
      </c>
      <c r="G31" s="43">
        <f>IF(OR(B31="", E31=""), 0, ROUND(E31 * F31, 2))</f>
        <v/>
      </c>
      <c r="H31" s="144" t="inlineStr">
        <is>
          <t>Carriage of Coarse sand</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0.75</v>
      </c>
      <c r="F42" s="65">
        <f>IF(B42="","", IFERROR(INDEX(Rates_Master!$E:$E, MATCH(B42, Rates_Master!$A:$A, 0)), 0))</f>
        <v/>
      </c>
      <c r="G42" s="43">
        <f>IF(OR(B42="", E42=""), 0, ROUND(E42 * F42, 2))</f>
        <v/>
      </c>
      <c r="H42" s="144" t="inlineStr">
        <is>
          <t>Beldar (measuring, carrying &amp; mixing)</t>
        </is>
      </c>
      <c r="I42" s="6" t="inlineStr"/>
    </row>
    <row r="43" ht="20" customHeight="1">
      <c r="A43" s="19" t="n">
        <v>2</v>
      </c>
      <c r="B43" s="61" t="inlineStr">
        <is>
          <t>0101</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4" t="inlineStr">
        <is>
          <t>Bhisti (watering)</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4"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13.52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NO</t>
        </is>
      </c>
      <c r="D60" s="19" t="inlineStr">
        <is>
          <t>On (W - A)</t>
        </is>
      </c>
      <c r="E60" s="57">
        <f>G59 - G39</f>
        <v/>
      </c>
      <c r="F60" s="72">
        <f>Factor_Water</f>
        <v/>
      </c>
      <c r="G60" s="73">
        <f>IF(C60="YES", ROUND(E60 * F60, 2), 0)</f>
        <v/>
      </c>
      <c r="H60" s="24" t="inlineStr">
        <is>
          <t>CPWD RULE: 0% markup default. Water is not added here as it is marked up once in Masonry/Flooring.</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NO</t>
        </is>
      </c>
      <c r="D62" s="19" t="inlineStr">
        <is>
          <t>On (X - A)</t>
        </is>
      </c>
      <c r="E62" s="57">
        <f>G61 - G39</f>
        <v/>
      </c>
      <c r="F62" s="72">
        <f>Factor_GST</f>
        <v/>
      </c>
      <c r="G62" s="73">
        <f>IF(C62="YES", ROUND(E62 * F62, 2), 0)</f>
        <v/>
      </c>
      <c r="H62" s="24" t="inlineStr">
        <is>
          <t>CPWD RULE: GST is not added here to prevent double taxation when imported into Masonry.</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NO</t>
        </is>
      </c>
      <c r="D64" s="19" t="inlineStr">
        <is>
          <t>On (Y - A)</t>
        </is>
      </c>
      <c r="E64" s="57">
        <f>G63 - G39</f>
        <v/>
      </c>
      <c r="F64" s="72">
        <f>Factor_CPOH</f>
        <v/>
      </c>
      <c r="G64" s="73">
        <f>IF(C64="YES", ROUND(E64 * F64, 2), 0)</f>
        <v/>
      </c>
      <c r="H64" s="24" t="inlineStr">
        <is>
          <t>CPWD RULE: Contractor profit is not added to intermediate mortar. Consuming trades add 15% CPOH over combined total.</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NO</t>
        </is>
      </c>
      <c r="D66" s="19" t="inlineStr">
        <is>
          <t>On (Z - A)</t>
        </is>
      </c>
      <c r="E66" s="57">
        <f>G65 - G39</f>
        <v/>
      </c>
      <c r="F66" s="72">
        <f>Factor_Cess</f>
        <v/>
      </c>
      <c r="G66" s="73">
        <f>IF(C66="YES", ROUND(E66 * F66, 2), 0)</f>
        <v/>
      </c>
      <c r="H66" s="24" t="inlineStr">
        <is>
          <t>CPWD RULE: 0% Cess here; applied once at the end of the consuming trade item.</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3.1</t>
        </is>
      </c>
      <c r="B75" s="147" t="inlineStr">
        <is>
          <t>Cement mortar 1:1 (1 cement : 1 fine sand)</t>
        </is>
      </c>
      <c r="C75" s="148" t="inlineStr">
        <is>
          <t>cum</t>
        </is>
      </c>
      <c r="D75" s="148" t="n">
        <v>1</v>
      </c>
      <c r="E75" s="149" t="n">
        <v>6390.6</v>
      </c>
      <c r="F75" s="148" t="inlineStr">
        <is>
          <t>No markups (base cost)</t>
        </is>
      </c>
      <c r="G75" s="149" t="n">
        <v>6390.6</v>
      </c>
      <c r="H75" s="9" t="n">
        <v>6390.6</v>
      </c>
      <c r="I75" s="149" t="n"/>
    </row>
    <row r="76" ht="20" customHeight="1">
      <c r="A76" s="150" t="inlineStr">
        <is>
          <t>3.9</t>
        </is>
      </c>
      <c r="B76" s="151" t="inlineStr">
        <is>
          <t>Cement mortar 1:4 (1 cement : 4 coarse sand)</t>
        </is>
      </c>
      <c r="C76" s="152" t="inlineStr">
        <is>
          <t>cum</t>
        </is>
      </c>
      <c r="D76" s="152" t="n">
        <v>1</v>
      </c>
      <c r="E76" s="153" t="n">
        <v>4010.35</v>
      </c>
      <c r="F76" s="152" t="inlineStr">
        <is>
          <t>No markups (base cost)</t>
        </is>
      </c>
      <c r="G76" s="153" t="n">
        <v>4010.35</v>
      </c>
      <c r="H76" s="5" t="n">
        <v>4010.35</v>
      </c>
      <c r="I76" s="153" t="n"/>
    </row>
    <row r="77" ht="20" customHeight="1">
      <c r="A77" s="146" t="inlineStr">
        <is>
          <t>C-03.03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C-03.04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C-03.05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C-03.06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C-03.07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C-03.08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40"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40"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foundation and plinth</t>
        </is>
      </c>
      <c r="C12" s="2" t="inlineStr">
        <is>
          <t>NOMENCLATURE ONLY</t>
        </is>
      </c>
      <c r="D12" s="140"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40"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not applicable (plain concrete)</t>
        </is>
      </c>
      <c r="C14" s="2" t="inlineStr">
        <is>
          <t>NOMENCLATURE ONLY</t>
        </is>
      </c>
      <c r="D14" s="140"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40"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C-04.01</t>
        </is>
      </c>
      <c r="C16" s="16" t="inlineStr">
        <is>
          <t>Batch Output Basis:</t>
        </is>
      </c>
      <c r="D16" s="92" t="n">
        <v>1</v>
      </c>
      <c r="E16" s="16" t="inlineStr">
        <is>
          <t>Output Unit:</t>
        </is>
      </c>
      <c r="F16" s="61" t="inlineStr">
        <is>
          <t>cum</t>
        </is>
      </c>
      <c r="G16" s="16" t="inlineStr">
        <is>
          <t>Trade Sub-Head:</t>
        </is>
      </c>
      <c r="H16" s="35" t="inlineStr">
        <is>
          <t>04 Concrete Work</t>
        </is>
      </c>
      <c r="I16" s="67" t="inlineStr">
        <is>
          <t>Output Unit Note:</t>
        </is>
      </c>
    </row>
    <row r="17" ht="40" customHeight="1">
      <c r="A17" s="16" t="inlineStr">
        <is>
          <t>Assembled Item Nomenclature:</t>
        </is>
      </c>
      <c r="B17" s="141">
        <f>IF(I17&lt;&gt;"", I17, "Providing and laying in position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4" t="n">
        <v>0.075</v>
      </c>
      <c r="C20" s="19" t="inlineStr">
        <is>
          <t>fraction</t>
        </is>
      </c>
      <c r="D20" s="140"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92" t="n">
        <v>0</v>
      </c>
      <c r="C21" s="19" t="inlineStr">
        <is>
          <t>Coolie days</t>
        </is>
      </c>
      <c r="D21" s="140"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4" t="n">
        <v>0.07000000000000001</v>
      </c>
      <c r="C22" s="19" t="inlineStr">
        <is>
          <t>days / cum</t>
        </is>
      </c>
      <c r="D22" s="140"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4" t="n">
        <v>0.07000000000000001</v>
      </c>
      <c r="C23" s="19" t="inlineStr">
        <is>
          <t>days / cum</t>
        </is>
      </c>
      <c r="D23" s="140"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4"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4"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4" t="inlineStr">
        <is>
          <t>Carriage of Stone aggregate below 40 mm</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4"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4"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0.32</v>
      </c>
      <c r="F33" s="65">
        <f>IF(B33="","", IFERROR(INDEX(Rates_Master!$E:$E, MATCH(B33, Rates_Master!$A:$A, 0)), 0))</f>
        <v/>
      </c>
      <c r="G33" s="43">
        <f>IF(OR(B33="", E33=""), 0, ROUND(E33 * F33, 2))</f>
        <v/>
      </c>
      <c r="H33" s="144"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0.32</v>
      </c>
      <c r="F34" s="65">
        <f>IF(B34="","", IFERROR(INDEX(Rates_Master!$E:$E, MATCH(B34, Rates_Master!$A:$A, 0)), 0))</f>
        <v/>
      </c>
      <c r="G34" s="43">
        <f>IF(OR(B34="", E34=""), 0, ROUND(E34 * F34, 2))</f>
        <v/>
      </c>
      <c r="H34" s="144"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v>
      </c>
      <c r="F42" s="65">
        <f>IF(B42="","", IFERROR(INDEX(Rates_Master!$E:$E, MATCH(B42, Rates_Master!$A:$A, 0)), 0))</f>
        <v/>
      </c>
      <c r="G42" s="43">
        <f>IF(OR(B42="", E42=""), 0, ROUND(E42 * F42, 2))</f>
        <v/>
      </c>
      <c r="H42" s="144"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1.63</v>
      </c>
      <c r="F43" s="65">
        <f>IF(B43="","", IFERROR(INDEX(Rates_Master!$E:$E, MATCH(B43, Rates_Master!$A:$A, 0)), 0))</f>
        <v/>
      </c>
      <c r="G43" s="43">
        <f>IF(OR(B43="", E43=""), 0, ROUND(E43 * F43, 2))</f>
        <v/>
      </c>
      <c r="H43" s="144" t="inlineStr">
        <is>
          <t>Beldar (carrying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0.7</v>
      </c>
      <c r="F44" s="65">
        <f>IF(B44="","", IFERROR(INDEX(Rates_Master!$E:$E, MATCH(B44, Rates_Master!$A:$A, 0)), 0))</f>
        <v/>
      </c>
      <c r="G44" s="43">
        <f>IF(OR(B44="", E44=""), 0, ROUND(E44 * F44, 2))</f>
        <v/>
      </c>
      <c r="H44" s="144"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4" t="inlineStr">
        <is>
          <t>Hire charges of Concrete Mixer with hopper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4" t="inlineStr">
        <is>
          <t>Vibrator (Needle type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concrete water.</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4.1.2</t>
        </is>
      </c>
      <c r="B75" s="147" t="inlineStr">
        <is>
          <t>PCC 1:1.5:3 with 20mm graded stone aggregate up to plinth level</t>
        </is>
      </c>
      <c r="C75" s="148" t="inlineStr">
        <is>
          <t>cum</t>
        </is>
      </c>
      <c r="D75" s="148" t="n">
        <v>1</v>
      </c>
      <c r="E75" s="149" t="n">
        <v>5389.89</v>
      </c>
      <c r="F75" s="148" t="inlineStr">
        <is>
          <t>Full W-&gt;X-&gt;Y-&gt;Z</t>
        </is>
      </c>
      <c r="G75" s="149" t="n">
        <v>7210.58</v>
      </c>
      <c r="H75" s="9" t="n">
        <v>7210.55</v>
      </c>
      <c r="I75" s="149" t="n"/>
    </row>
    <row r="76" ht="20" customHeight="1">
      <c r="A76" s="150" t="inlineStr">
        <is>
          <t>4.1.3</t>
        </is>
      </c>
      <c r="B76" s="151" t="inlineStr">
        <is>
          <t>PCC 1:2:4 with 20mm graded stone aggregate up to plinth level</t>
        </is>
      </c>
      <c r="C76" s="152" t="inlineStr">
        <is>
          <t>cum</t>
        </is>
      </c>
      <c r="D76" s="152" t="n">
        <v>1</v>
      </c>
      <c r="E76" s="153" t="n">
        <v>5074.69</v>
      </c>
      <c r="F76" s="152" t="inlineStr">
        <is>
          <t>Full W-&gt;X-&gt;Y-&gt;Z</t>
        </is>
      </c>
      <c r="G76" s="153" t="n">
        <v>6788.62</v>
      </c>
      <c r="H76" s="5" t="n">
        <v>6788.6</v>
      </c>
      <c r="I76" s="153" t="n"/>
    </row>
    <row r="77" ht="20" customHeight="1">
      <c r="A77" s="146" t="inlineStr">
        <is>
          <t>C-04.03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C-04.04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C-04.05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C-04.06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C-04.07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C-04.08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05: Reinforced cement concrete in plinth beams, columns, and slabs. Excludes centering, shuttering, and reinforcement which are measured and priced separately per CPWD specifications.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40"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40"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plinth beams</t>
        </is>
      </c>
      <c r="C12" s="2" t="inlineStr">
        <is>
          <t>NOMENCLATURE ONLY</t>
        </is>
      </c>
      <c r="D12" s="140"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40"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excluding reinforcement</t>
        </is>
      </c>
      <c r="C14" s="2" t="inlineStr">
        <is>
          <t>NOMENCLATURE ONLY</t>
        </is>
      </c>
      <c r="D14" s="140"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40"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C-05.01</t>
        </is>
      </c>
      <c r="C16" s="16" t="inlineStr">
        <is>
          <t>Batch Output Basis:</t>
        </is>
      </c>
      <c r="D16" s="92" t="n">
        <v>1</v>
      </c>
      <c r="E16" s="16" t="inlineStr">
        <is>
          <t>Output Unit:</t>
        </is>
      </c>
      <c r="F16" s="61" t="inlineStr">
        <is>
          <t>cum</t>
        </is>
      </c>
      <c r="G16" s="16" t="inlineStr">
        <is>
          <t>Trade Sub-Head:</t>
        </is>
      </c>
      <c r="H16" s="35" t="inlineStr">
        <is>
          <t>05 RCC Work</t>
        </is>
      </c>
      <c r="I16" s="67" t="inlineStr">
        <is>
          <t>Output Unit Note:</t>
        </is>
      </c>
    </row>
    <row r="17" ht="40" customHeight="1">
      <c r="A17" s="16" t="inlineStr">
        <is>
          <t>Assembled Item Nomenclature:</t>
        </is>
      </c>
      <c r="B17" s="141">
        <f>IF(I17&lt;&gt;"", I17, "Providing and laying in position reinforced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4" t="n">
        <v>0.075</v>
      </c>
      <c r="C20" s="19" t="inlineStr">
        <is>
          <t>fraction</t>
        </is>
      </c>
      <c r="D20" s="140"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92" t="n">
        <v>0</v>
      </c>
      <c r="C21" s="19" t="inlineStr">
        <is>
          <t>Coolie days</t>
        </is>
      </c>
      <c r="D21" s="140"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4" t="n">
        <v>0.07000000000000001</v>
      </c>
      <c r="C22" s="19" t="inlineStr">
        <is>
          <t>days / cum</t>
        </is>
      </c>
      <c r="D22" s="140"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4" t="n">
        <v>0.07000000000000001</v>
      </c>
      <c r="C23" s="19" t="inlineStr">
        <is>
          <t>days / cum</t>
        </is>
      </c>
      <c r="D23" s="140"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4"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4"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4" t="inlineStr">
        <is>
          <t>Carriage of Stone aggregate</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4"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4"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0.4</v>
      </c>
      <c r="F33" s="65">
        <f>IF(B33="","", IFERROR(INDEX(Rates_Master!$E:$E, MATCH(B33, Rates_Master!$A:$A, 0)), 0))</f>
        <v/>
      </c>
      <c r="G33" s="43">
        <f>IF(OR(B33="", E33=""), 0, ROUND(E33 * F33, 2))</f>
        <v/>
      </c>
      <c r="H33" s="144"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0.4</v>
      </c>
      <c r="F34" s="65">
        <f>IF(B34="","", IFERROR(INDEX(Rates_Master!$E:$E, MATCH(B34, Rates_Master!$A:$A, 0)), 0))</f>
        <v/>
      </c>
      <c r="G34" s="43">
        <f>IF(OR(B34="", E34=""), 0, ROUND(E34 * F34, 2))</f>
        <v/>
      </c>
      <c r="H34" s="144"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0.17</v>
      </c>
      <c r="F42" s="65">
        <f>IF(B42="","", IFERROR(INDEX(Rates_Master!$E:$E, MATCH(B42, Rates_Master!$A:$A, 0)), 0))</f>
        <v/>
      </c>
      <c r="G42" s="43">
        <f>IF(OR(B42="", E42=""), 0, ROUND(E42 * F42, 2))</f>
        <v/>
      </c>
      <c r="H42" s="144"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2</v>
      </c>
      <c r="F43" s="65">
        <f>IF(B43="","", IFERROR(INDEX(Rates_Master!$E:$E, MATCH(B43, Rates_Master!$A:$A, 0)), 0))</f>
        <v/>
      </c>
      <c r="G43" s="43">
        <f>IF(OR(B43="", E43=""), 0, ROUND(E43 * F43, 2))</f>
        <v/>
      </c>
      <c r="H43" s="144" t="inlineStr">
        <is>
          <t>Beldar (mixing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0.9</v>
      </c>
      <c r="F44" s="65">
        <f>IF(B44="","", IFERROR(INDEX(Rates_Master!$E:$E, MATCH(B44, Rates_Master!$A:$A, 0)), 0))</f>
        <v/>
      </c>
      <c r="G44" s="43">
        <f>IF(OR(B44="", E44=""), 0, ROUND(E44 * F44, 2))</f>
        <v/>
      </c>
      <c r="H44" s="144"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4" t="inlineStr">
        <is>
          <t>Hire charges of Concrete Mixer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4" t="inlineStr">
        <is>
          <t>Needle Vibrator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site water.</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5.1.2</t>
        </is>
      </c>
      <c r="B75" s="147" t="inlineStr">
        <is>
          <t>RCC 1:1.5:3 up to plinth level (excl. shuttering &amp; reinforcement)</t>
        </is>
      </c>
      <c r="C75" s="148" t="inlineStr">
        <is>
          <t>cum</t>
        </is>
      </c>
      <c r="D75" s="148" t="n">
        <v>1</v>
      </c>
      <c r="E75" s="149" t="n">
        <v>5768.78</v>
      </c>
      <c r="F75" s="148" t="inlineStr">
        <is>
          <t>Full W-&gt;X-&gt;Y-&gt;Z</t>
        </is>
      </c>
      <c r="G75" s="149" t="n">
        <v>7717.15</v>
      </c>
      <c r="H75" s="9" t="n">
        <v>7717.15</v>
      </c>
      <c r="I75" s="149" t="n"/>
    </row>
    <row r="76" ht="20" customHeight="1">
      <c r="A76" s="150" t="inlineStr">
        <is>
          <t>5.1.3</t>
        </is>
      </c>
      <c r="B76" s="151" t="inlineStr">
        <is>
          <t>RCC 1:2:4 up to plinth level (excl. shuttering &amp; reinforcement)</t>
        </is>
      </c>
      <c r="C76" s="152" t="inlineStr">
        <is>
          <t>cum</t>
        </is>
      </c>
      <c r="D76" s="152" t="n">
        <v>1</v>
      </c>
      <c r="E76" s="153" t="n">
        <v>5373.98</v>
      </c>
      <c r="F76" s="152" t="inlineStr">
        <is>
          <t>Full W-&gt;X-&gt;Y-&gt;Z</t>
        </is>
      </c>
      <c r="G76" s="153" t="n">
        <v>7189.02</v>
      </c>
      <c r="H76" s="5" t="n">
        <v>7189</v>
      </c>
      <c r="I76" s="153" t="n"/>
    </row>
    <row r="77" ht="20" customHeight="1">
      <c r="A77" s="146" t="inlineStr">
        <is>
          <t>C-05.03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C-05.04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C-05.05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C-05.06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C-05.07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C-05.08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06: Brick and block masonry. Imports un-marked Mortar rates from 03_Mortars as a direct material input, then applies the full statutory markup chain once over the combined total.</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Masonry unit type and class</t>
        </is>
      </c>
      <c r="B10" s="88" t="inlineStr">
        <is>
          <t>common burnt clay F.P.S. (non modular) bricks class 7.5</t>
        </is>
      </c>
      <c r="C10" s="30" t="inlineStr">
        <is>
          <t>DRIVES COST</t>
        </is>
      </c>
      <c r="D10" s="140" t="inlineStr">
        <is>
          <t>Material row 1</t>
        </is>
      </c>
      <c r="E10" s="24" t="inlineStr">
        <is>
          <t>DAR 6.1 (F.P.S. non-modular 7.5), 6.2 (modular 7.5) and 6.3 (machine moulded perforated 12.5) use different brick codes and different bricks-per-cum coefficients - 6.1.1 and 6.2.1 differ by about Rs 460 per cum at the same mortar.</t>
        </is>
      </c>
      <c r="F10" s="60" t="n"/>
      <c r="G10" s="60" t="n"/>
      <c r="H10" s="60" t="n"/>
      <c r="I10" s="60" t="n"/>
    </row>
    <row r="11" ht="32" customHeight="1">
      <c r="A11" s="87" t="inlineStr">
        <is>
          <t>Mortar ratio</t>
        </is>
      </c>
      <c r="B11" s="88" t="inlineStr">
        <is>
          <t>cement mortar 1:4 (1 cement : 4 coarse sand)</t>
        </is>
      </c>
      <c r="C11" s="30" t="inlineStr">
        <is>
          <t>DRIVES COST</t>
        </is>
      </c>
      <c r="D11" s="140" t="inlineStr">
        <is>
          <t>Mortar import row</t>
        </is>
      </c>
      <c r="E11" s="24" t="inlineStr">
        <is>
          <t>DAR 6.1.1 imports Mortar item 3.9 (1:4) and 6.1.2 imports 3.11 (1:6); the printed Say rates are Rs 6,376.25 and Rs 6,153.05 per cum. Change this and the imported mortar rate must change with it.</t>
        </is>
      </c>
      <c r="F11" s="60" t="n"/>
      <c r="G11" s="60" t="n"/>
      <c r="H11" s="60" t="n"/>
      <c r="I11" s="60" t="n"/>
    </row>
    <row r="12" ht="32" customHeight="1">
      <c r="A12" s="87" t="inlineStr">
        <is>
          <t>Location in structure</t>
        </is>
      </c>
      <c r="B12" s="88" t="inlineStr">
        <is>
          <t>in foundation and plinth</t>
        </is>
      </c>
      <c r="C12" s="2" t="inlineStr">
        <is>
          <t>NOMENCLATURE ONLY</t>
        </is>
      </c>
      <c r="D12" s="140" t="inlineStr">
        <is>
          <t>-</t>
        </is>
      </c>
      <c r="E12"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0" t="n"/>
      <c r="G12" s="60" t="n"/>
      <c r="H12" s="60" t="n"/>
      <c r="I12" s="60" t="n"/>
    </row>
    <row r="13" ht="32" customHeight="1">
      <c r="A13" s="87" t="inlineStr">
        <is>
          <t>Wall thickness</t>
        </is>
      </c>
      <c r="B13" s="88" t="inlineStr">
        <is>
          <t>one brick thick and above</t>
        </is>
      </c>
      <c r="C13" s="2" t="inlineStr">
        <is>
          <t>NOMENCLATURE ONLY</t>
        </is>
      </c>
      <c r="D13" s="140" t="inlineStr">
        <is>
          <t>-</t>
        </is>
      </c>
      <c r="E13" s="24" t="inlineStr">
        <is>
          <t>The DAR prices brickwork by volume (per cum) for one-brick-and-above walls, so thickness does not change the cum rate. Half-brick walls are a separate per-sqm item.</t>
        </is>
      </c>
      <c r="F13" s="60" t="n"/>
      <c r="G13" s="60" t="n"/>
      <c r="H13" s="60" t="n"/>
      <c r="I13" s="60" t="n"/>
    </row>
    <row r="14" ht="32" customHeight="1">
      <c r="A14" s="87" t="inlineStr">
        <is>
          <t>Curing</t>
        </is>
      </c>
      <c r="B14" s="88" t="inlineStr">
        <is>
          <t>including curing</t>
        </is>
      </c>
      <c r="C14" s="2" t="inlineStr">
        <is>
          <t>NOMENCLATURE ONLY</t>
        </is>
      </c>
      <c r="D14" s="140" t="inlineStr">
        <is>
          <t>-</t>
        </is>
      </c>
      <c r="E14" s="24" t="inlineStr">
        <is>
          <t>Curing is inside the Bhisti coefficient and the 1% water charge; the DAR gives no separate figure for including or excluding it.</t>
        </is>
      </c>
      <c r="F14" s="60" t="n"/>
      <c r="G14" s="60" t="n"/>
      <c r="H14" s="60" t="n"/>
      <c r="I14" s="60" t="n"/>
    </row>
    <row r="15" ht="32" customHeight="1">
      <c r="A15" s="87" t="inlineStr">
        <is>
          <t>Raking of joints for plaster</t>
        </is>
      </c>
      <c r="B15" s="88" t="inlineStr">
        <is>
          <t>not required</t>
        </is>
      </c>
      <c r="C15" s="51" t="inlineStr">
        <is>
          <t>USER-SUPPLIED COST</t>
        </is>
      </c>
      <c r="D15" s="140" t="inlineStr">
        <is>
          <t>Sundries row</t>
        </is>
      </c>
      <c r="E15" s="24" t="inlineStr">
        <is>
          <t>The DAR carries no separate raking allowance in Sub-Head 06. If the specification demands it, put the cost in the Sundries line.</t>
        </is>
      </c>
      <c r="F15" s="60" t="n"/>
      <c r="G15" s="60" t="n"/>
      <c r="H15" s="60" t="n"/>
      <c r="I15" s="60" t="n"/>
    </row>
    <row r="16" ht="22" customHeight="1">
      <c r="A16" s="16" t="inlineStr">
        <is>
          <t>Custom Item Code:</t>
        </is>
      </c>
      <c r="B16" s="61" t="inlineStr">
        <is>
          <t>C-06.01</t>
        </is>
      </c>
      <c r="C16" s="16" t="inlineStr">
        <is>
          <t>Batch Output Basis:</t>
        </is>
      </c>
      <c r="D16" s="92" t="n">
        <v>1</v>
      </c>
      <c r="E16" s="16" t="inlineStr">
        <is>
          <t>Output Unit:</t>
        </is>
      </c>
      <c r="F16" s="61" t="inlineStr">
        <is>
          <t>cum</t>
        </is>
      </c>
      <c r="G16" s="16" t="inlineStr">
        <is>
          <t>Trade Sub-Head:</t>
        </is>
      </c>
      <c r="H16" s="35" t="inlineStr">
        <is>
          <t>06 Masonry Work</t>
        </is>
      </c>
      <c r="I16" s="67" t="inlineStr">
        <is>
          <t>Output Unit Note:</t>
        </is>
      </c>
    </row>
    <row r="17" ht="40" customHeight="1">
      <c r="A17" s="16" t="inlineStr">
        <is>
          <t>Assembled Item Nomenclature:</t>
        </is>
      </c>
      <c r="B17" s="141">
        <f>IF(I17&lt;&gt;"", I17, "Brick work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Bricks per cum of masonry</t>
        </is>
      </c>
      <c r="B20" s="154" t="n">
        <v>0.494</v>
      </c>
      <c r="C20" s="19" t="inlineStr">
        <is>
          <t>thousand / cum</t>
        </is>
      </c>
      <c r="D20" s="140" t="inlineStr">
        <is>
          <t>Material row 1</t>
        </is>
      </c>
      <c r="E20" s="24" t="inlineStr">
        <is>
          <t>DAR 6.1.1 uses 0.494 thousand bricks per cum, which already includes the mortar joint volume.</t>
        </is>
      </c>
      <c r="F20" s="60" t="n"/>
      <c r="G20" s="60" t="n"/>
      <c r="H20" s="60" t="n"/>
      <c r="I20" s="60" t="n"/>
    </row>
    <row r="21" ht="30" customHeight="1">
      <c r="A21" s="87" t="inlineStr">
        <is>
          <t>Mortar consumption</t>
        </is>
      </c>
      <c r="B21" s="154" t="n">
        <v>0.25</v>
      </c>
      <c r="C21" s="19" t="inlineStr">
        <is>
          <t>cum / cum</t>
        </is>
      </c>
      <c r="D21" s="140" t="inlineStr">
        <is>
          <t>Mortar import row</t>
        </is>
      </c>
      <c r="E21" s="24" t="inlineStr">
        <is>
          <t>DAR 6.1.1 uses 0.25 cum of mortar per cum of brickwork.</t>
        </is>
      </c>
      <c r="F21" s="60" t="n"/>
      <c r="G21" s="60" t="n"/>
      <c r="H21" s="60" t="n"/>
      <c r="I21" s="60" t="n"/>
    </row>
    <row r="22" ht="30" customHeight="1">
      <c r="A22" s="87" t="inlineStr">
        <is>
          <t>Brick breakage allowance</t>
        </is>
      </c>
      <c r="B22" s="92" t="n">
        <v>0</v>
      </c>
      <c r="C22" s="19" t="inlineStr">
        <is>
          <t>%</t>
        </is>
      </c>
      <c r="D22" s="140" t="inlineStr">
        <is>
          <t>Material row 1</t>
        </is>
      </c>
      <c r="E22" s="24" t="inlineStr">
        <is>
          <t>Sub-Head 06 items carry no separate breakage percentage - it is absorbed in the 0.494 coefficient. Leave at 0 to stay faithful to the book.</t>
        </is>
      </c>
      <c r="F22" s="60" t="n"/>
      <c r="G22" s="60" t="n"/>
      <c r="H22" s="60" t="n"/>
      <c r="I22" s="60" t="n"/>
    </row>
    <row r="23" ht="30" customHeight="1">
      <c r="A23" s="87" t="inlineStr">
        <is>
          <t>Scaffolding allowance</t>
        </is>
      </c>
      <c r="B23" s="92" t="n">
        <v>0</v>
      </c>
      <c r="C23" s="19" t="inlineStr">
        <is>
          <t>Rs L.S.</t>
        </is>
      </c>
      <c r="D23" s="140" t="inlineStr">
        <is>
          <t>Sundries row</t>
        </is>
      </c>
      <c r="E23" s="24" t="inlineStr">
        <is>
          <t>The DAR prices scaffolding as an explicit L.S. line where it applies (see 4.2.5, "Scaffolding 17.60 x 2.5"). Enter an amount here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2602</t>
        </is>
      </c>
      <c r="C28" s="82">
        <f>IF(B28="","", IFERROR(INDEX(Rates_Master!$C:$C, MATCH(B28, Rates_Master!$A:$A, 0)), "Custom / Intermediate Material"))</f>
        <v/>
      </c>
      <c r="D28" s="63">
        <f>IF(B28="","", IFERROR(INDEX(Rates_Master!$D:$D, MATCH(B28, Rates_Master!$A:$A, 0)), ""))</f>
        <v/>
      </c>
      <c r="E28" s="64" t="n">
        <v>0.494</v>
      </c>
      <c r="F28" s="65">
        <f>IF(B28="","", IFERROR(INDEX(Rates_Master!$E:$E, MATCH(B28, Rates_Master!$A:$A, 0)), 0))</f>
        <v/>
      </c>
      <c r="G28" s="43">
        <f>IF(OR(B28="", E28=""), 0, ROUND(E28 * F28, 2))</f>
        <v/>
      </c>
      <c r="H28" s="144" t="inlineStr">
        <is>
          <t>Common burnt clay F.P.S. bricks class 7.5 (thousand)</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0.494</v>
      </c>
      <c r="F29" s="65">
        <f>IF(B29="","", IFERROR(INDEX(Rates_Master!$E:$E, MATCH(B29, Rates_Master!$A:$A, 0)), 0))</f>
        <v/>
      </c>
      <c r="G29" s="43">
        <f>IF(OR(B29="", E29=""), 0, ROUND(E29 * F29, 2))</f>
        <v/>
      </c>
      <c r="H29" s="144" t="inlineStr">
        <is>
          <t>Carriage of Bricks (thousand)</t>
        </is>
      </c>
      <c r="I29" s="61" t="inlineStr"/>
    </row>
    <row r="30" ht="20" customHeight="1">
      <c r="A30" s="19" t="n">
        <v>3</v>
      </c>
      <c r="B30" s="61" t="inlineStr">
        <is>
          <t>03_Mortars</t>
        </is>
      </c>
      <c r="C30" s="82" t="inlineStr">
        <is>
          <t>Cement mortar 1:4 (Rate pulled from 03_Mortars builder or DAR Item 3.9)</t>
        </is>
      </c>
      <c r="D30" s="63" t="inlineStr">
        <is>
          <t>cum</t>
        </is>
      </c>
      <c r="E30" s="64" t="n">
        <v>0.25</v>
      </c>
      <c r="F30" s="65">
        <f>'03_Mortars'!G69</f>
        <v/>
      </c>
      <c r="G30" s="43">
        <f>IF(OR(B30="", E30=""), 0, ROUND(E30 * F30, 2))</f>
        <v/>
      </c>
      <c r="H30" s="144" t="inlineStr">
        <is>
          <t>Live link to 03_Mortars output rate</t>
        </is>
      </c>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4"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0123</t>
        </is>
      </c>
      <c r="C42" s="82">
        <f>IF(B42="","", IFERROR(INDEX(Rates_Master!$C:$C, MATCH(B42, Rates_Master!$A:$A, 0)), "Custom Labour / Plant"))</f>
        <v/>
      </c>
      <c r="D42" s="63">
        <f>IF(B42="","", IFERROR(INDEX(Rates_Master!$D:$D, MATCH(B42, Rates_Master!$A:$A, 0)), ""))</f>
        <v/>
      </c>
      <c r="E42" s="64" t="n">
        <v>0.36</v>
      </c>
      <c r="F42" s="65">
        <f>IF(B42="","", IFERROR(INDEX(Rates_Master!$E:$E, MATCH(B42, Rates_Master!$A:$A, 0)), 0))</f>
        <v/>
      </c>
      <c r="G42" s="43">
        <f>IF(OR(B42="", E42=""), 0, ROUND(E42 * F42, 2))</f>
        <v/>
      </c>
      <c r="H42" s="144" t="inlineStr">
        <is>
          <t>Mason (brick layer) 1st class</t>
        </is>
      </c>
      <c r="I42" s="6" t="inlineStr"/>
    </row>
    <row r="43" ht="20" customHeight="1">
      <c r="A43" s="19" t="n">
        <v>2</v>
      </c>
      <c r="B43" s="61" t="inlineStr">
        <is>
          <t>0124</t>
        </is>
      </c>
      <c r="C43" s="82">
        <f>IF(B43="","", IFERROR(INDEX(Rates_Master!$C:$C, MATCH(B43, Rates_Master!$A:$A, 0)), "Custom Labour / Plant"))</f>
        <v/>
      </c>
      <c r="D43" s="63">
        <f>IF(B43="","", IFERROR(INDEX(Rates_Master!$D:$D, MATCH(B43, Rates_Master!$A:$A, 0)), ""))</f>
        <v/>
      </c>
      <c r="E43" s="64" t="n">
        <v>0.36</v>
      </c>
      <c r="F43" s="65">
        <f>IF(B43="","", IFERROR(INDEX(Rates_Master!$E:$E, MATCH(B43, Rates_Master!$A:$A, 0)), 0))</f>
        <v/>
      </c>
      <c r="G43" s="43">
        <f>IF(OR(B43="", E43=""), 0, ROUND(E43 * F43, 2))</f>
        <v/>
      </c>
      <c r="H43" s="144" t="inlineStr">
        <is>
          <t>Mason (brick layer) 2nd class</t>
        </is>
      </c>
      <c r="I43" s="6" t="inlineStr"/>
    </row>
    <row r="44" ht="20" customHeight="1">
      <c r="A44" s="19" t="n">
        <v>3</v>
      </c>
      <c r="B44" s="61" t="inlineStr">
        <is>
          <t>0115</t>
        </is>
      </c>
      <c r="C44" s="82">
        <f>IF(B44="","", IFERROR(INDEX(Rates_Master!$C:$C, MATCH(B44, Rates_Master!$A:$A, 0)), "Custom Labour / Plant"))</f>
        <v/>
      </c>
      <c r="D44" s="63">
        <f>IF(B44="","", IFERROR(INDEX(Rates_Master!$D:$D, MATCH(B44, Rates_Master!$A:$A, 0)), ""))</f>
        <v/>
      </c>
      <c r="E44" s="64" t="n">
        <v>1.37</v>
      </c>
      <c r="F44" s="65">
        <f>IF(B44="","", IFERROR(INDEX(Rates_Master!$E:$E, MATCH(B44, Rates_Master!$A:$A, 0)), 0))</f>
        <v/>
      </c>
      <c r="G44" s="43">
        <f>IF(OR(B44="", E44=""), 0, ROUND(E44 * F44, 2))</f>
        <v/>
      </c>
      <c r="H44" s="144" t="inlineStr">
        <is>
          <t>Coolie</t>
        </is>
      </c>
      <c r="I44" s="6" t="inlineStr"/>
    </row>
    <row r="45" ht="20" customHeight="1">
      <c r="A45" s="19" t="n">
        <v>4</v>
      </c>
      <c r="B45" s="61" t="inlineStr">
        <is>
          <t>0101</t>
        </is>
      </c>
      <c r="C45" s="82">
        <f>IF(B45="","", IFERROR(INDEX(Rates_Master!$C:$C, MATCH(B45, Rates_Master!$A:$A, 0)), "Custom Labour / Plant"))</f>
        <v/>
      </c>
      <c r="D45" s="63">
        <f>IF(B45="","", IFERROR(INDEX(Rates_Master!$D:$D, MATCH(B45, Rates_Master!$A:$A, 0)), ""))</f>
        <v/>
      </c>
      <c r="E45" s="64" t="n">
        <v>0.2</v>
      </c>
      <c r="F45" s="65">
        <f>IF(B45="","", IFERROR(INDEX(Rates_Master!$E:$E, MATCH(B45, Rates_Master!$A:$A, 0)), 0))</f>
        <v/>
      </c>
      <c r="G45" s="43">
        <f>IF(OR(B45="", E45=""), 0, ROUND(E45 * F45, 2))</f>
        <v/>
      </c>
      <c r="H45" s="144" t="inlineStr">
        <is>
          <t>Bhisti</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2.73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combined material and labour total.</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6.1.1</t>
        </is>
      </c>
      <c r="B75" s="147" t="inlineStr">
        <is>
          <t>Brick work class 7.5 in foundation and plinth in CM 1:4</t>
        </is>
      </c>
      <c r="C75" s="148" t="inlineStr">
        <is>
          <t>cum</t>
        </is>
      </c>
      <c r="D75" s="148" t="n">
        <v>1</v>
      </c>
      <c r="E75" s="149" t="n">
        <v>4765.73</v>
      </c>
      <c r="F75" s="148" t="inlineStr">
        <is>
          <t>Full W-&gt;X-&gt;Y-&gt;Z</t>
        </is>
      </c>
      <c r="G75" s="149" t="n">
        <v>6375.31</v>
      </c>
      <c r="H75" s="9" t="n">
        <v>6375.3</v>
      </c>
      <c r="I75" s="149" t="n"/>
    </row>
    <row r="76" ht="20" customHeight="1">
      <c r="A76" s="150" t="inlineStr">
        <is>
          <t>6.1.2</t>
        </is>
      </c>
      <c r="B76" s="151" t="inlineStr">
        <is>
          <t>Brick work class 7.5 in foundation and plinth in CM 1:6</t>
        </is>
      </c>
      <c r="C76" s="152" t="inlineStr">
        <is>
          <t>cum</t>
        </is>
      </c>
      <c r="D76" s="152" t="n">
        <v>1</v>
      </c>
      <c r="E76" s="153" t="n">
        <v>4539.06</v>
      </c>
      <c r="F76" s="152" t="inlineStr">
        <is>
          <t>Full W-&gt;X-&gt;Y-&gt;Z</t>
        </is>
      </c>
      <c r="G76" s="153" t="n">
        <v>6072.07</v>
      </c>
      <c r="H76" s="5" t="n">
        <v>6072.05</v>
      </c>
      <c r="I76" s="153" t="n"/>
    </row>
    <row r="77" ht="20" customHeight="1">
      <c r="A77" s="146" t="inlineStr">
        <is>
          <t>C-06.03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C-06.04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C-06.05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C-06.06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C-06.07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C-06.08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07: Random rubble and ashlar stone masonry. Consumes un-marked Mortar from 03_Mortars, quarry stone, bond stones, dressing labour, and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Stone masonry type</t>
        </is>
      </c>
      <c r="B10" s="88" t="inlineStr">
        <is>
          <t>random rubble masonry</t>
        </is>
      </c>
      <c r="C10" s="30" t="inlineStr">
        <is>
          <t>DRIVES COST</t>
        </is>
      </c>
      <c r="D10" s="140" t="inlineStr">
        <is>
          <t>Labour rows</t>
        </is>
      </c>
      <c r="E10" s="24" t="inlineStr">
        <is>
          <t>The DAR prices random rubble, coursed rubble and ashlar as separate items with progressively higher mason coefficients for the extra dressing and coursing work.</t>
        </is>
      </c>
      <c r="F10" s="60" t="n"/>
      <c r="G10" s="60" t="n"/>
      <c r="H10" s="60" t="n"/>
      <c r="I10" s="60" t="n"/>
    </row>
    <row r="11" ht="32" customHeight="1">
      <c r="A11" s="87" t="inlineStr">
        <is>
          <t>Stone type</t>
        </is>
      </c>
      <c r="B11" s="88" t="inlineStr">
        <is>
          <t>stone for masonry (rubble)</t>
        </is>
      </c>
      <c r="C11" s="30" t="inlineStr">
        <is>
          <t>DRIVES COST</t>
        </is>
      </c>
      <c r="D11" s="140" t="inlineStr">
        <is>
          <t>Material row 1</t>
        </is>
      </c>
      <c r="E11" s="24" t="inlineStr">
        <is>
          <t>Different quarry stones carry different Rates_Master codes and rates; the stone line is the largest single component of a stone masonry item.</t>
        </is>
      </c>
      <c r="F11" s="60" t="n"/>
      <c r="G11" s="60" t="n"/>
      <c r="H11" s="60" t="n"/>
      <c r="I11" s="60" t="n"/>
    </row>
    <row r="12" ht="32" customHeight="1">
      <c r="A12" s="87" t="inlineStr">
        <is>
          <t>Mortar ratio</t>
        </is>
      </c>
      <c r="B12" s="88" t="inlineStr">
        <is>
          <t>cement mortar 1:6 (1 cement : 6 coarse sand)</t>
        </is>
      </c>
      <c r="C12" s="30" t="inlineStr">
        <is>
          <t>DRIVES COST</t>
        </is>
      </c>
      <c r="D12" s="140" t="inlineStr">
        <is>
          <t>Mortar import row</t>
        </is>
      </c>
      <c r="E12" s="24" t="inlineStr">
        <is>
          <t>As in Masonry, the mortar is imported from Sub-Head 03 at the printed ratio; changing the ratio changes the imported rate (item 3.9 vs 3.11 and so on).</t>
        </is>
      </c>
      <c r="F12" s="60" t="n"/>
      <c r="G12" s="60" t="n"/>
      <c r="H12" s="60" t="n"/>
      <c r="I12" s="60" t="n"/>
    </row>
    <row r="13" ht="32" customHeight="1">
      <c r="A13" s="87" t="inlineStr">
        <is>
          <t>Face dressing</t>
        </is>
      </c>
      <c r="B13" s="88" t="inlineStr">
        <is>
          <t>hammer dressed</t>
        </is>
      </c>
      <c r="C13" s="30" t="inlineStr">
        <is>
          <t>DRIVES COST</t>
        </is>
      </c>
      <c r="D13" s="140" t="inlineStr">
        <is>
          <t>Labour rows</t>
        </is>
      </c>
      <c r="E13" s="24" t="inlineStr">
        <is>
          <t>Dressing grade is delivered through the stone mason coefficient - a finer dressed face takes more mason days for the same volume, which is how the DAR differentiates its stone items.</t>
        </is>
      </c>
      <c r="F13" s="60" t="n"/>
      <c r="G13" s="60" t="n"/>
      <c r="H13" s="60" t="n"/>
      <c r="I13" s="60" t="n"/>
    </row>
    <row r="14" ht="32" customHeight="1">
      <c r="A14" s="87" t="inlineStr">
        <is>
          <t>Through / bond stones</t>
        </is>
      </c>
      <c r="B14" s="88" t="inlineStr">
        <is>
          <t>including through stones</t>
        </is>
      </c>
      <c r="C14" s="30" t="inlineStr">
        <is>
          <t>DRIVES COST</t>
        </is>
      </c>
      <c r="D14" s="140" t="inlineStr">
        <is>
          <t>Material row 3</t>
        </is>
      </c>
      <c r="E14" s="24" t="inlineStr">
        <is>
          <t>The DAR carries through or bond stone (code 0300) as its own material line inside stone masonry items, so including or omitting it is a costed choice.</t>
        </is>
      </c>
      <c r="F14" s="60" t="n"/>
      <c r="G14" s="60" t="n"/>
      <c r="H14" s="60" t="n"/>
      <c r="I14" s="60" t="n"/>
    </row>
    <row r="15" ht="32" customHeight="1">
      <c r="A15" s="87" t="inlineStr">
        <is>
          <t>Backing concrete</t>
        </is>
      </c>
      <c r="B15" s="88" t="inlineStr">
        <is>
          <t>not required</t>
        </is>
      </c>
      <c r="C15" s="51" t="inlineStr">
        <is>
          <t>USER-SUPPLIED COST</t>
        </is>
      </c>
      <c r="D15" s="140" t="inlineStr">
        <is>
          <t>Sundries row</t>
        </is>
      </c>
      <c r="E15" s="24" t="inlineStr">
        <is>
          <t>Some DAR stone items carry a "Cement concrete 1:6:12" style L.S. backing line. There is no single printed figure that applies generally, so enter the allowance yourself.</t>
        </is>
      </c>
      <c r="F15" s="60" t="n"/>
      <c r="G15" s="60" t="n"/>
      <c r="H15" s="60" t="n"/>
      <c r="I15" s="60" t="n"/>
    </row>
    <row r="16" ht="22" customHeight="1">
      <c r="A16" s="16" t="inlineStr">
        <is>
          <t>Custom Item Code:</t>
        </is>
      </c>
      <c r="B16" s="61" t="inlineStr">
        <is>
          <t>C-07.01</t>
        </is>
      </c>
      <c r="C16" s="16" t="inlineStr">
        <is>
          <t>Batch Output Basis:</t>
        </is>
      </c>
      <c r="D16" s="92" t="n">
        <v>1</v>
      </c>
      <c r="E16" s="16" t="inlineStr">
        <is>
          <t>Output Unit:</t>
        </is>
      </c>
      <c r="F16" s="61" t="inlineStr">
        <is>
          <t>cum</t>
        </is>
      </c>
      <c r="G16" s="16" t="inlineStr">
        <is>
          <t>Trade Sub-Head:</t>
        </is>
      </c>
      <c r="H16" s="35" t="inlineStr">
        <is>
          <t>07 Stone Work</t>
        </is>
      </c>
      <c r="I16" s="67" t="inlineStr">
        <is>
          <t>Output Unit Note:</t>
        </is>
      </c>
    </row>
    <row r="17" ht="40" customHeight="1">
      <c r="A17" s="16" t="inlineStr">
        <is>
          <t>Assembled Item Nomenclature:</t>
        </is>
      </c>
      <c r="B17" s="141">
        <f>IF(I17&lt;&gt;"", I17, "Stone work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Stone consumption</t>
        </is>
      </c>
      <c r="B20" s="154" t="n">
        <v>1.05</v>
      </c>
      <c r="C20" s="19" t="inlineStr">
        <is>
          <t>cum / cum</t>
        </is>
      </c>
      <c r="D20" s="140" t="inlineStr">
        <is>
          <t>Material row 1</t>
        </is>
      </c>
      <c r="E20" s="24" t="inlineStr">
        <is>
          <t>Quarry stone is measured loose against finished masonry volume; the DAR builds the difference into the printed coefficient.</t>
        </is>
      </c>
      <c r="F20" s="60" t="n"/>
      <c r="G20" s="60" t="n"/>
      <c r="H20" s="60" t="n"/>
      <c r="I20" s="60" t="n"/>
    </row>
    <row r="21" ht="30" customHeight="1">
      <c r="A21" s="87" t="inlineStr">
        <is>
          <t>Mortar consumption</t>
        </is>
      </c>
      <c r="B21" s="154" t="n">
        <v>0.34</v>
      </c>
      <c r="C21" s="19" t="inlineStr">
        <is>
          <t>cum / cum</t>
        </is>
      </c>
      <c r="D21" s="140" t="inlineStr">
        <is>
          <t>Mortar import row</t>
        </is>
      </c>
      <c r="E21" s="24" t="inlineStr">
        <is>
          <t>Rubble masonry takes a larger mortar fraction than brickwork because of the irregular voids.</t>
        </is>
      </c>
      <c r="F21" s="60" t="n"/>
      <c r="G21" s="60" t="n"/>
      <c r="H21" s="60" t="n"/>
      <c r="I21" s="60" t="n"/>
    </row>
    <row r="22" ht="30" customHeight="1">
      <c r="A22" s="87" t="inlineStr">
        <is>
          <t>Through stone spacing</t>
        </is>
      </c>
      <c r="B22" s="92" t="n">
        <v>1.5</v>
      </c>
      <c r="C22" s="19" t="inlineStr">
        <is>
          <t>m</t>
        </is>
      </c>
      <c r="D22" s="140" t="inlineStr">
        <is>
          <t>Material row 3</t>
        </is>
      </c>
      <c r="E22" s="24" t="inlineStr">
        <is>
          <t>Through stones are specified at a spacing, which converts to the bond stone quantity on the material row.</t>
        </is>
      </c>
      <c r="F22" s="60" t="n"/>
      <c r="G22" s="60" t="n"/>
      <c r="H22" s="60" t="n"/>
      <c r="I22" s="60" t="n"/>
    </row>
    <row r="23" ht="30" customHeight="1">
      <c r="A23" s="87" t="inlineStr">
        <is>
          <t>Scaffolding allowance</t>
        </is>
      </c>
      <c r="B23" s="92" t="n">
        <v>0</v>
      </c>
      <c r="C23" s="19" t="inlineStr">
        <is>
          <t>Rs L.S.</t>
        </is>
      </c>
      <c r="D23" s="140" t="inlineStr">
        <is>
          <t>Sundries row</t>
        </is>
      </c>
      <c r="E23" s="24" t="inlineStr">
        <is>
          <t>Enter an amount if the work is above scaffolding height,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0299</t>
        </is>
      </c>
      <c r="C28" s="82">
        <f>IF(B28="","", IFERROR(INDEX(Rates_Master!$C:$C, MATCH(B28, Rates_Master!$A:$A, 0)), "Custom / Intermediate Material"))</f>
        <v/>
      </c>
      <c r="D28" s="63">
        <f>IF(B28="","", IFERROR(INDEX(Rates_Master!$D:$D, MATCH(B28, Rates_Master!$A:$A, 0)), ""))</f>
        <v/>
      </c>
      <c r="E28" s="64" t="n">
        <v>1</v>
      </c>
      <c r="F28" s="65">
        <f>IF(B28="","", IFERROR(INDEX(Rates_Master!$E:$E, MATCH(B28, Rates_Master!$A:$A, 0)), 0))</f>
        <v/>
      </c>
      <c r="G28" s="43">
        <f>IF(OR(B28="", E28=""), 0, ROUND(E28 * F28, 2))</f>
        <v/>
      </c>
      <c r="H28" s="144" t="inlineStr">
        <is>
          <t>Stone for masonry (rubble)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1</v>
      </c>
      <c r="F29" s="65">
        <f>IF(B29="","", IFERROR(INDEX(Rates_Master!$E:$E, MATCH(B29, Rates_Master!$A:$A, 0)), 0))</f>
        <v/>
      </c>
      <c r="G29" s="43">
        <f>IF(OR(B29="", E29=""), 0, ROUND(E29 * F29, 2))</f>
        <v/>
      </c>
      <c r="H29" s="144" t="inlineStr">
        <is>
          <t>Carriage of Stone</t>
        </is>
      </c>
      <c r="I29" s="61" t="inlineStr"/>
    </row>
    <row r="30" ht="20" customHeight="1">
      <c r="A30" s="19" t="n">
        <v>3</v>
      </c>
      <c r="B30" s="61" t="inlineStr">
        <is>
          <t>0300</t>
        </is>
      </c>
      <c r="C30" s="82">
        <f>IF(B30="","", IFERROR(INDEX(Rates_Master!$C:$C, MATCH(B30, Rates_Master!$A:$A, 0)), "Custom / Intermediate Material"))</f>
        <v/>
      </c>
      <c r="D30" s="63">
        <f>IF(B30="","", IFERROR(INDEX(Rates_Master!$D:$D, MATCH(B30, Rates_Master!$A:$A, 0)), ""))</f>
        <v/>
      </c>
      <c r="E30" s="64" t="n">
        <v>0.1</v>
      </c>
      <c r="F30" s="65">
        <f>IF(B30="","", IFERROR(INDEX(Rates_Master!$E:$E, MATCH(B30, Rates_Master!$A:$A, 0)), 0))</f>
        <v/>
      </c>
      <c r="G30" s="43">
        <f>IF(OR(B30="", E30=""), 0, ROUND(E30 * F30, 2))</f>
        <v/>
      </c>
      <c r="H30" s="144" t="inlineStr">
        <is>
          <t>Through or bond stone</t>
        </is>
      </c>
      <c r="I30" s="61" t="inlineStr"/>
    </row>
    <row r="31" ht="20" customHeight="1">
      <c r="A31" s="19" t="n">
        <v>4</v>
      </c>
      <c r="B31" s="61" t="inlineStr">
        <is>
          <t>03_Mortars</t>
        </is>
      </c>
      <c r="C31" s="82" t="inlineStr">
        <is>
          <t>Cement mortar 1:6 (Rate from 03_Mortars or DAR 3.11)</t>
        </is>
      </c>
      <c r="D31" s="63" t="inlineStr">
        <is>
          <t>cum</t>
        </is>
      </c>
      <c r="E31" s="64" t="n">
        <v>0.3</v>
      </c>
      <c r="F31" s="65">
        <f>'03_Mortars'!G69</f>
        <v/>
      </c>
      <c r="G31" s="43">
        <f>IF(OR(B31="", E31=""), 0, ROUND(E31 * F31, 2))</f>
        <v/>
      </c>
      <c r="H31" s="144" t="inlineStr">
        <is>
          <t>Mortar bedding rate</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0.7</v>
      </c>
      <c r="F42" s="65">
        <f>IF(B42="","", IFERROR(INDEX(Rates_Master!$E:$E, MATCH(B42, Rates_Master!$A:$A, 0)), 0))</f>
        <v/>
      </c>
      <c r="G42" s="43">
        <f>IF(OR(B42="", E42=""), 0, ROUND(E42 * F42, 2))</f>
        <v/>
      </c>
      <c r="H42" s="144" t="inlineStr">
        <is>
          <t>Stone 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1.4</v>
      </c>
      <c r="F43" s="65">
        <f>IF(B43="","", IFERROR(INDEX(Rates_Master!$E:$E, MATCH(B43, Rates_Master!$A:$A, 0)), 0))</f>
        <v/>
      </c>
      <c r="G43" s="43">
        <f>IF(OR(B43="", E43=""), 0, ROUND(E43 * F43, 2))</f>
        <v/>
      </c>
      <c r="H43" s="144"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4"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3.5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7.1.1</t>
        </is>
      </c>
      <c r="B75" s="147" t="inlineStr">
        <is>
          <t>Random rubble masonry with hard stone in CM 1:6 in foundation and plinth</t>
        </is>
      </c>
      <c r="C75" s="148" t="inlineStr">
        <is>
          <t>cum</t>
        </is>
      </c>
      <c r="D75" s="148" t="n">
        <v>1</v>
      </c>
      <c r="E75" s="149" t="n">
        <v>4150.2</v>
      </c>
      <c r="F75" s="148" t="inlineStr">
        <is>
          <t>Full W-&gt;X-&gt;Y-&gt;Z</t>
        </is>
      </c>
      <c r="G75" s="149" t="n">
        <v>5552</v>
      </c>
      <c r="H75" s="9" t="n">
        <v>5552</v>
      </c>
      <c r="I75" s="149" t="n"/>
    </row>
    <row r="76" ht="20" customHeight="1">
      <c r="A76" s="150" t="inlineStr">
        <is>
          <t>C-07.02</t>
        </is>
      </c>
      <c r="B76" s="151" t="inlineStr">
        <is>
          <t>(Available for new custom item)</t>
        </is>
      </c>
      <c r="C76" s="152" t="inlineStr">
        <is>
          <t>cum</t>
        </is>
      </c>
      <c r="D76" s="152" t="n">
        <v>1</v>
      </c>
      <c r="E76" s="153" t="n"/>
      <c r="F76" s="152" t="inlineStr">
        <is>
          <t>Full W-&gt;X-&gt;Y-&gt;Z</t>
        </is>
      </c>
      <c r="G76" s="153" t="n"/>
      <c r="H76" s="5" t="n"/>
      <c r="I76" s="153" t="n"/>
    </row>
    <row r="77" ht="20" customHeight="1">
      <c r="A77" s="146" t="inlineStr">
        <is>
          <t>C-07.03</t>
        </is>
      </c>
      <c r="B77" s="147" t="inlineStr">
        <is>
          <t>(Available for new custom item)</t>
        </is>
      </c>
      <c r="C77" s="148" t="inlineStr">
        <is>
          <t>cum</t>
        </is>
      </c>
      <c r="D77" s="148" t="n">
        <v>1</v>
      </c>
      <c r="E77" s="149" t="n"/>
      <c r="F77" s="148" t="inlineStr">
        <is>
          <t>Full W-&gt;X-&gt;Y-&gt;Z</t>
        </is>
      </c>
      <c r="G77" s="149" t="n"/>
      <c r="H77" s="9" t="n"/>
      <c r="I77" s="149" t="n"/>
    </row>
    <row r="78" ht="20" customHeight="1">
      <c r="A78" s="150" t="inlineStr">
        <is>
          <t>C-07.04</t>
        </is>
      </c>
      <c r="B78" s="151" t="inlineStr">
        <is>
          <t>(Available for new custom item)</t>
        </is>
      </c>
      <c r="C78" s="152" t="inlineStr">
        <is>
          <t>cum</t>
        </is>
      </c>
      <c r="D78" s="152" t="n">
        <v>1</v>
      </c>
      <c r="E78" s="153" t="n"/>
      <c r="F78" s="152" t="inlineStr">
        <is>
          <t>Full W-&gt;X-&gt;Y-&gt;Z</t>
        </is>
      </c>
      <c r="G78" s="153" t="n"/>
      <c r="H78" s="5" t="n"/>
      <c r="I78" s="153" t="n"/>
    </row>
    <row r="79" ht="20" customHeight="1">
      <c r="A79" s="146" t="inlineStr">
        <is>
          <t>C-07.05</t>
        </is>
      </c>
      <c r="B79" s="147" t="inlineStr">
        <is>
          <t>(Available for new custom item)</t>
        </is>
      </c>
      <c r="C79" s="148" t="inlineStr">
        <is>
          <t>cum</t>
        </is>
      </c>
      <c r="D79" s="148" t="n">
        <v>1</v>
      </c>
      <c r="E79" s="149" t="n"/>
      <c r="F79" s="148" t="inlineStr">
        <is>
          <t>Full W-&gt;X-&gt;Y-&gt;Z</t>
        </is>
      </c>
      <c r="G79" s="149" t="n"/>
      <c r="H79" s="9" t="n"/>
      <c r="I79" s="149" t="n"/>
    </row>
    <row r="80" ht="20" customHeight="1">
      <c r="A80" s="150" t="inlineStr">
        <is>
          <t>C-07.06</t>
        </is>
      </c>
      <c r="B80" s="151" t="inlineStr">
        <is>
          <t>(Available for new custom item)</t>
        </is>
      </c>
      <c r="C80" s="152" t="inlineStr">
        <is>
          <t>cum</t>
        </is>
      </c>
      <c r="D80" s="152" t="n">
        <v>1</v>
      </c>
      <c r="E80" s="153" t="n"/>
      <c r="F80" s="152" t="inlineStr">
        <is>
          <t>Full W-&gt;X-&gt;Y-&gt;Z</t>
        </is>
      </c>
      <c r="G80" s="153" t="n"/>
      <c r="H80" s="5" t="n"/>
      <c r="I80" s="153" t="n"/>
    </row>
    <row r="81" ht="20" customHeight="1">
      <c r="A81" s="146" t="inlineStr">
        <is>
          <t>C-07.07</t>
        </is>
      </c>
      <c r="B81" s="147" t="inlineStr">
        <is>
          <t>(Available for new custom item)</t>
        </is>
      </c>
      <c r="C81" s="148" t="inlineStr">
        <is>
          <t>cum</t>
        </is>
      </c>
      <c r="D81" s="148" t="n">
        <v>1</v>
      </c>
      <c r="E81" s="149" t="n"/>
      <c r="F81" s="148" t="inlineStr">
        <is>
          <t>Full W-&gt;X-&gt;Y-&gt;Z</t>
        </is>
      </c>
      <c r="G81" s="149" t="n"/>
      <c r="H81" s="9" t="n"/>
      <c r="I81" s="149" t="n"/>
    </row>
    <row r="82" ht="20" customHeight="1">
      <c r="A82" s="150" t="inlineStr">
        <is>
          <t>C-07.08</t>
        </is>
      </c>
      <c r="B82" s="151" t="inlineStr">
        <is>
          <t>(Available for new custom item)</t>
        </is>
      </c>
      <c r="C82" s="152" t="inlineStr">
        <is>
          <t>cum</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08: Stone and marble veneer cladding. Incorporates bedding mortar and pointing mortar lines, slab cutting/wastage, scaffolding, and stone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Slab area band</t>
        </is>
      </c>
      <c r="B10" s="88" t="inlineStr">
        <is>
          <t>area of slab over 0.50 sqm</t>
        </is>
      </c>
      <c r="C10" s="30" t="inlineStr">
        <is>
          <t>DRIVES COST</t>
        </is>
      </c>
      <c r="D10" s="140" t="inlineStr">
        <is>
          <t>Batch basis</t>
        </is>
      </c>
      <c r="E10" s="24" t="inlineStr">
        <is>
          <t>This is the dominant cost dimension in Sub-Head 08. DAR 8.1.1.1 (slab area upto 0.50 sqm) is analysed for 0.50 sqm and 8.1.1.2 (over 0.50 sqm) for 1.00 sqm, and the two print materially different rates for the same stone.</t>
        </is>
      </c>
      <c r="F10" s="60" t="n"/>
      <c r="G10" s="60" t="n"/>
      <c r="H10" s="60" t="n"/>
      <c r="I10" s="60" t="n"/>
    </row>
    <row r="11" ht="32" customHeight="1">
      <c r="A11" s="87" t="inlineStr">
        <is>
          <t>Stone / marble type</t>
        </is>
      </c>
      <c r="B11" s="88" t="inlineStr">
        <is>
          <t>Raj Nagar plain white marble</t>
        </is>
      </c>
      <c r="C11" s="30" t="inlineStr">
        <is>
          <t>DRIVES COST</t>
        </is>
      </c>
      <c r="D11" s="140" t="inlineStr">
        <is>
          <t>Material row 1</t>
        </is>
      </c>
      <c r="E11" s="24" t="inlineStr">
        <is>
          <t>DAR 8.1.1 and 8.2.1 list the marble variety explicitly (Raj Nagar plain white / Udaipur green / Zebra black), each a different Rates_Master code and rate.</t>
        </is>
      </c>
      <c r="F11" s="60" t="n"/>
      <c r="G11" s="60" t="n"/>
      <c r="H11" s="60" t="n"/>
      <c r="I11" s="60" t="n"/>
    </row>
    <row r="12" ht="32" customHeight="1">
      <c r="A12" s="87" t="inlineStr">
        <is>
          <t>Bedding mortar ratio</t>
        </is>
      </c>
      <c r="B12" s="88" t="inlineStr">
        <is>
          <t>cement mortar 1:3 (1 cement : 3 coarse sand)</t>
        </is>
      </c>
      <c r="C12" s="30" t="inlineStr">
        <is>
          <t>DRIVES COST</t>
        </is>
      </c>
      <c r="D12" s="140" t="inlineStr">
        <is>
          <t>Bedding mortar row</t>
        </is>
      </c>
      <c r="E12" s="24" t="inlineStr">
        <is>
          <t>DAR 8.1.1.1 imports Mortar item 3.8 (1:3 coarse sand) as the bedding mortar line.</t>
        </is>
      </c>
      <c r="F12" s="60" t="n"/>
      <c r="G12" s="60" t="n"/>
      <c r="H12" s="60" t="n"/>
      <c r="I12" s="60" t="n"/>
    </row>
    <row r="13" ht="32" customHeight="1">
      <c r="A13" s="87" t="inlineStr">
        <is>
          <t>Pointing mortar</t>
        </is>
      </c>
      <c r="B13" s="88" t="inlineStr">
        <is>
          <t>white cement mortar 1:2 (1 white cement : 2 marble dust)</t>
        </is>
      </c>
      <c r="C13" s="30" t="inlineStr">
        <is>
          <t>DRIVES COST</t>
        </is>
      </c>
      <c r="D13" s="140" t="inlineStr">
        <is>
          <t>Pointing mortar row</t>
        </is>
      </c>
      <c r="E13" s="24" t="inlineStr">
        <is>
          <t>DAR 8.1.1.1 imports a SECOND mortar - item 3.15, white cement 1:2 with marble dust - for pointing, alongside the bedding mortar. Both lines are priced in the same item.</t>
        </is>
      </c>
      <c r="F13" s="60" t="n"/>
      <c r="G13" s="60" t="n"/>
      <c r="H13" s="60" t="n"/>
      <c r="I13" s="60" t="n"/>
    </row>
    <row r="14" ht="32" customHeight="1">
      <c r="A14" s="87" t="inlineStr">
        <is>
          <t>Slab thickness and finish</t>
        </is>
      </c>
      <c r="B14" s="88" t="inlineStr">
        <is>
          <t>18 mm gang saw cut, mirror polished</t>
        </is>
      </c>
      <c r="C14" s="30" t="inlineStr">
        <is>
          <t>DRIVES COST</t>
        </is>
      </c>
      <c r="D14" s="140" t="inlineStr">
        <is>
          <t>Material row 1</t>
        </is>
      </c>
      <c r="E14" s="24" t="inlineStr">
        <is>
          <t>DAR 8.1 (gang saw cut, polished and machine cut) and 8.2 (premoulded and prepolished) are separate items at different rates for the same 18 mm thickness.</t>
        </is>
      </c>
      <c r="F14" s="60" t="n"/>
      <c r="G14" s="60" t="n"/>
      <c r="H14" s="60" t="n"/>
      <c r="I14" s="60" t="n"/>
    </row>
    <row r="15" ht="32" customHeight="1">
      <c r="A15" s="87" t="inlineStr">
        <is>
          <t>Chase cutting for concealed fixings</t>
        </is>
      </c>
      <c r="B15" s="88" t="inlineStr">
        <is>
          <t>not required</t>
        </is>
      </c>
      <c r="C15" s="30" t="inlineStr">
        <is>
          <t>DRIVES COST</t>
        </is>
      </c>
      <c r="D15" s="140" t="inlineStr">
        <is>
          <t>Resolved 18.78 row</t>
        </is>
      </c>
      <c r="E15" s="24" t="inlineStr">
        <is>
          <t>Where the specification requires chases in the wall, the rate is DAR item 18.78 (Water Supply), resolved on the Resolved_Cross_Volume_Items sheet at Rs 154.15 per metre and imported here as an A-tagged line.</t>
        </is>
      </c>
      <c r="F15" s="60" t="n"/>
      <c r="G15" s="60" t="n"/>
      <c r="H15" s="60" t="n"/>
      <c r="I15" s="60" t="n"/>
    </row>
    <row r="16" ht="22" customHeight="1">
      <c r="A16" s="16" t="inlineStr">
        <is>
          <t>Custom Item Code:</t>
        </is>
      </c>
      <c r="B16" s="61" t="inlineStr">
        <is>
          <t>C-08.01</t>
        </is>
      </c>
      <c r="C16" s="16" t="inlineStr">
        <is>
          <t>Batch Output Basis:</t>
        </is>
      </c>
      <c r="D16" s="92" t="n">
        <v>10</v>
      </c>
      <c r="E16" s="16" t="inlineStr">
        <is>
          <t>Output Unit:</t>
        </is>
      </c>
      <c r="F16" s="61" t="inlineStr">
        <is>
          <t>sqm</t>
        </is>
      </c>
      <c r="G16" s="16" t="inlineStr">
        <is>
          <t>Trade Sub-Head:</t>
        </is>
      </c>
      <c r="H16" s="35" t="inlineStr">
        <is>
          <t>08 Cladding Work</t>
        </is>
      </c>
      <c r="I16" s="67" t="inlineStr">
        <is>
          <t>Output Unit Note:</t>
        </is>
      </c>
    </row>
    <row r="17" ht="40" customHeight="1">
      <c r="A17" s="16" t="inlineStr">
        <is>
          <t>Assembled Item Nomenclature:</t>
        </is>
      </c>
      <c r="B17" s="141">
        <f>IF(I17&lt;&gt;"", I17, "Stone / marble cladding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Cutting and wastage allowance</t>
        </is>
      </c>
      <c r="B20" s="92" t="n">
        <v>5</v>
      </c>
      <c r="C20" s="19" t="inlineStr">
        <is>
          <t>%</t>
        </is>
      </c>
      <c r="D20" s="140" t="inlineStr">
        <is>
          <t>Material row 1</t>
        </is>
      </c>
      <c r="E20" s="24" t="inlineStr">
        <is>
          <t>DAR 8.1.1.1 states "Add for wastage" inline on the stone line. 5% is the common printed figure; change it if your slab schedule justifies more.</t>
        </is>
      </c>
      <c r="F20" s="60" t="n"/>
      <c r="G20" s="60" t="n"/>
      <c r="H20" s="60" t="n"/>
      <c r="I20" s="60" t="n"/>
    </row>
    <row r="21" ht="30" customHeight="1">
      <c r="A21" s="87" t="inlineStr">
        <is>
          <t>Bedding mortar thickness</t>
        </is>
      </c>
      <c r="B21" s="92" t="n">
        <v>12</v>
      </c>
      <c r="C21" s="19" t="inlineStr">
        <is>
          <t>mm</t>
        </is>
      </c>
      <c r="D21" s="140" t="inlineStr">
        <is>
          <t>Bedding mortar row</t>
        </is>
      </c>
      <c r="E21" s="24" t="inlineStr">
        <is>
          <t>Converts to the bedding mortar volume per sqm of cladding.</t>
        </is>
      </c>
      <c r="F21" s="60" t="n"/>
      <c r="G21" s="60" t="n"/>
      <c r="H21" s="60" t="n"/>
      <c r="I21" s="60" t="n"/>
    </row>
    <row r="22" ht="30" customHeight="1">
      <c r="A22" s="87" t="inlineStr">
        <is>
          <t>Chase length per sqm</t>
        </is>
      </c>
      <c r="B22" s="154" t="n">
        <v>0</v>
      </c>
      <c r="C22" s="19" t="inlineStr">
        <is>
          <t>metre / sqm</t>
        </is>
      </c>
      <c r="D22" s="140" t="inlineStr">
        <is>
          <t>Resolved 18.78 row</t>
        </is>
      </c>
      <c r="E22" s="24" t="inlineStr">
        <is>
          <t>Multiply by the resolved 18.78 rate. Leave at 0 when no chase cutting is required.</t>
        </is>
      </c>
      <c r="F22" s="60" t="n"/>
      <c r="G22" s="60" t="n"/>
      <c r="H22" s="60" t="n"/>
      <c r="I22" s="60" t="n"/>
    </row>
    <row r="23" ht="30" customHeight="1">
      <c r="A23" s="87" t="inlineStr">
        <is>
          <t>Scaffolding allowance</t>
        </is>
      </c>
      <c r="B23" s="92" t="n">
        <v>0</v>
      </c>
      <c r="C23" s="19" t="inlineStr">
        <is>
          <t>Rs L.S.</t>
        </is>
      </c>
      <c r="D23" s="140" t="inlineStr">
        <is>
          <t>Sundries row</t>
        </is>
      </c>
      <c r="E23" s="24" t="inlineStr">
        <is>
          <t>Cladding above scaffolding height needs an access allowance; the DAR carries it as an L.S. line rather than a percentage.</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0308</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4" t="inlineStr">
        <is>
          <t>Red sand stone slab 30mm thick (with 5% cutting wastage)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0.315</v>
      </c>
      <c r="F29" s="65">
        <f>IF(B29="","", IFERROR(INDEX(Rates_Master!$E:$E, MATCH(B29, Rates_Master!$A:$A, 0)), 0))</f>
        <v/>
      </c>
      <c r="G29" s="43">
        <f>IF(OR(B29="", E29=""), 0, ROUND(E29 * F29, 2))</f>
        <v/>
      </c>
      <c r="H29" s="144" t="inlineStr">
        <is>
          <t>Carriage of Stone slabs</t>
        </is>
      </c>
      <c r="I29" s="61" t="inlineStr"/>
    </row>
    <row r="30" ht="20" customHeight="1">
      <c r="A30" s="19" t="n">
        <v>3</v>
      </c>
      <c r="B30" s="61" t="inlineStr">
        <is>
          <t>03_Mortars</t>
        </is>
      </c>
      <c r="C30" s="82" t="inlineStr">
        <is>
          <t>Cement mortar 1:3 (Bedding mortar from 03_Mortars or DAR 3.3)</t>
        </is>
      </c>
      <c r="D30" s="63" t="inlineStr">
        <is>
          <t>cum</t>
        </is>
      </c>
      <c r="E30" s="64" t="n">
        <v>0.2</v>
      </c>
      <c r="F30" s="65">
        <f>'03_Mortars'!G69</f>
        <v/>
      </c>
      <c r="G30" s="43">
        <f>IF(OR(B30="", E30=""), 0, ROUND(E30 * F30, 2))</f>
        <v/>
      </c>
      <c r="H30" s="144" t="inlineStr">
        <is>
          <t>Bedding mortar</t>
        </is>
      </c>
      <c r="I30" s="61" t="inlineStr"/>
    </row>
    <row r="31" ht="20" customHeight="1">
      <c r="A31" s="19" t="n">
        <v>4</v>
      </c>
      <c r="B31" s="61" t="inlineStr">
        <is>
          <t>3.15</t>
        </is>
      </c>
      <c r="C31" s="82" t="inlineStr">
        <is>
          <t>White cement mortar 1:2 (1 white cement : 2 marble dust) - pointing mortar, rate from 03_Mortars or DAR item 3.15</t>
        </is>
      </c>
      <c r="D31" s="63" t="inlineStr">
        <is>
          <t>cum</t>
        </is>
      </c>
      <c r="E31" s="64" t="n">
        <v>0.004</v>
      </c>
      <c r="F31" s="65">
        <f>'03_Mortars'!H76</f>
        <v/>
      </c>
      <c r="G31" s="43">
        <f>IF(OR(B31="", E31=""), 0, ROUND(E31 * F31, 2))</f>
        <v/>
      </c>
      <c r="H31" s="144"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1" t="inlineStr"/>
    </row>
    <row r="32" ht="20" customHeight="1">
      <c r="A32" s="19" t="n">
        <v>5</v>
      </c>
      <c r="B32" s="61" t="inlineStr">
        <is>
          <t>18.78</t>
        </is>
      </c>
      <c r="C32" s="82" t="inlineStr">
        <is>
          <t>Making chases upto 7.5 x 7.5 cm in walls including making good (DAR 18.78, Water Supply)</t>
        </is>
      </c>
      <c r="D32" s="63" t="inlineStr">
        <is>
          <t>metre</t>
        </is>
      </c>
      <c r="E32" s="64" t="n">
        <v>0</v>
      </c>
      <c r="F32" s="65">
        <f>XV_18_78</f>
        <v/>
      </c>
      <c r="G32" s="43">
        <f>IF(OR(B32="", E32=""), 0, ROUND(E32 * F32, 2))</f>
        <v/>
      </c>
      <c r="H32" s="144" t="inlineStr">
        <is>
          <t>Resolved on Resolved_Cross_Volume_Items from WB1 data only (Rs 154.15 per metre). A-tagged: the rate already includes Water, GST, CPOH and Cess, so it is excluded from every markup base. Set the coefficient from the "Chase length per sqm" driver in Panel 2.</t>
        </is>
      </c>
      <c r="I32" s="155" t="inlineStr">
        <is>
          <t>A</t>
        </is>
      </c>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1.5</v>
      </c>
      <c r="F42" s="65">
        <f>IF(B42="","", IFERROR(INDEX(Rates_Master!$E:$E, MATCH(B42, Rates_Master!$A:$A, 0)), 0))</f>
        <v/>
      </c>
      <c r="G42" s="43">
        <f>IF(OR(B42="", E42=""), 0, ROUND(E42 * F42, 2))</f>
        <v/>
      </c>
      <c r="H42" s="144" t="inlineStr">
        <is>
          <t>Stone Mason (fixing &amp; pointing)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1.8</v>
      </c>
      <c r="F43" s="65">
        <f>IF(B43="","", IFERROR(INDEX(Rates_Master!$E:$E, MATCH(B43, Rates_Master!$A:$A, 0)), 0))</f>
        <v/>
      </c>
      <c r="G43" s="43">
        <f>IF(OR(B43="", E43=""), 0, ROUND(E43 * F43, 2))</f>
        <v/>
      </c>
      <c r="H43" s="144"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0.3</v>
      </c>
      <c r="F44" s="65">
        <f>IF(B44="","", IFERROR(INDEX(Rates_Master!$E:$E, MATCH(B44, Rates_Master!$A:$A, 0)), 0))</f>
        <v/>
      </c>
      <c r="G44" s="43">
        <f>IF(OR(B44="", E44=""), 0, ROUND(E44 * F44, 2))</f>
        <v/>
      </c>
      <c r="H44" s="144"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8.1.1</t>
        </is>
      </c>
      <c r="B75" s="147" t="inlineStr">
        <is>
          <t>Red sand stone cladding 30mm thick with backing mortar</t>
        </is>
      </c>
      <c r="C75" s="148" t="inlineStr">
        <is>
          <t>sqm</t>
        </is>
      </c>
      <c r="D75" s="148" t="n">
        <v>10</v>
      </c>
      <c r="E75" s="149" t="n">
        <v>11250</v>
      </c>
      <c r="F75" s="148" t="inlineStr">
        <is>
          <t>Full W-&gt;X-&gt;Y-&gt;Z</t>
        </is>
      </c>
      <c r="G75" s="149" t="n">
        <v>1505.2</v>
      </c>
      <c r="H75" s="9" t="n">
        <v>1505.2</v>
      </c>
      <c r="I75" s="149" t="n"/>
    </row>
    <row r="76" ht="20" customHeight="1">
      <c r="A76" s="150" t="inlineStr">
        <is>
          <t>C-08.02</t>
        </is>
      </c>
      <c r="B76" s="151" t="inlineStr">
        <is>
          <t>(Available for new custom item)</t>
        </is>
      </c>
      <c r="C76" s="152" t="inlineStr">
        <is>
          <t>sqm</t>
        </is>
      </c>
      <c r="D76" s="152" t="n">
        <v>10</v>
      </c>
      <c r="E76" s="153" t="n"/>
      <c r="F76" s="152" t="inlineStr">
        <is>
          <t>Full W-&gt;X-&gt;Y-&gt;Z</t>
        </is>
      </c>
      <c r="G76" s="153" t="n"/>
      <c r="H76" s="5" t="n"/>
      <c r="I76" s="153" t="n"/>
    </row>
    <row r="77" ht="20" customHeight="1">
      <c r="A77" s="146" t="inlineStr">
        <is>
          <t>C-08.03</t>
        </is>
      </c>
      <c r="B77" s="147" t="inlineStr">
        <is>
          <t>(Available for new custom item)</t>
        </is>
      </c>
      <c r="C77" s="148" t="inlineStr">
        <is>
          <t>sqm</t>
        </is>
      </c>
      <c r="D77" s="148" t="n">
        <v>10</v>
      </c>
      <c r="E77" s="149" t="n"/>
      <c r="F77" s="148" t="inlineStr">
        <is>
          <t>Full W-&gt;X-&gt;Y-&gt;Z</t>
        </is>
      </c>
      <c r="G77" s="149" t="n"/>
      <c r="H77" s="9" t="n"/>
      <c r="I77" s="149" t="n"/>
    </row>
    <row r="78" ht="20" customHeight="1">
      <c r="A78" s="150" t="inlineStr">
        <is>
          <t>C-08.04</t>
        </is>
      </c>
      <c r="B78" s="151" t="inlineStr">
        <is>
          <t>(Available for new custom item)</t>
        </is>
      </c>
      <c r="C78" s="152" t="inlineStr">
        <is>
          <t>sqm</t>
        </is>
      </c>
      <c r="D78" s="152" t="n">
        <v>10</v>
      </c>
      <c r="E78" s="153" t="n"/>
      <c r="F78" s="152" t="inlineStr">
        <is>
          <t>Full W-&gt;X-&gt;Y-&gt;Z</t>
        </is>
      </c>
      <c r="G78" s="153" t="n"/>
      <c r="H78" s="5" t="n"/>
      <c r="I78" s="153" t="n"/>
    </row>
    <row r="79" ht="20" customHeight="1">
      <c r="A79" s="146" t="inlineStr">
        <is>
          <t>C-08.05</t>
        </is>
      </c>
      <c r="B79" s="147" t="inlineStr">
        <is>
          <t>(Available for new custom item)</t>
        </is>
      </c>
      <c r="C79" s="148" t="inlineStr">
        <is>
          <t>sqm</t>
        </is>
      </c>
      <c r="D79" s="148" t="n">
        <v>10</v>
      </c>
      <c r="E79" s="149" t="n"/>
      <c r="F79" s="148" t="inlineStr">
        <is>
          <t>Full W-&gt;X-&gt;Y-&gt;Z</t>
        </is>
      </c>
      <c r="G79" s="149" t="n"/>
      <c r="H79" s="9" t="n"/>
      <c r="I79" s="149" t="n"/>
    </row>
    <row r="80" ht="20" customHeight="1">
      <c r="A80" s="150" t="inlineStr">
        <is>
          <t>C-08.06</t>
        </is>
      </c>
      <c r="B80" s="151" t="inlineStr">
        <is>
          <t>(Available for new custom item)</t>
        </is>
      </c>
      <c r="C80" s="152" t="inlineStr">
        <is>
          <t>sqm</t>
        </is>
      </c>
      <c r="D80" s="152" t="n">
        <v>10</v>
      </c>
      <c r="E80" s="153" t="n"/>
      <c r="F80" s="152" t="inlineStr">
        <is>
          <t>Full W-&gt;X-&gt;Y-&gt;Z</t>
        </is>
      </c>
      <c r="G80" s="153" t="n"/>
      <c r="H80" s="5" t="n"/>
      <c r="I80" s="153" t="n"/>
    </row>
    <row r="81" ht="20" customHeight="1">
      <c r="A81" s="146" t="inlineStr">
        <is>
          <t>C-08.07</t>
        </is>
      </c>
      <c r="B81" s="147" t="inlineStr">
        <is>
          <t>(Available for new custom item)</t>
        </is>
      </c>
      <c r="C81" s="148" t="inlineStr">
        <is>
          <t>sqm</t>
        </is>
      </c>
      <c r="D81" s="148" t="n">
        <v>10</v>
      </c>
      <c r="E81" s="149" t="n"/>
      <c r="F81" s="148" t="inlineStr">
        <is>
          <t>Full W-&gt;X-&gt;Y-&gt;Z</t>
        </is>
      </c>
      <c r="G81" s="149" t="n"/>
      <c r="H81" s="9" t="n"/>
      <c r="I81" s="149" t="n"/>
    </row>
    <row r="82" ht="20" customHeight="1">
      <c r="A82" s="150" t="inlineStr">
        <is>
          <t>C-08.08</t>
        </is>
      </c>
      <c r="B82" s="151" t="inlineStr">
        <is>
          <t>(Available for new custom item)</t>
        </is>
      </c>
      <c r="C82" s="152" t="inlineStr">
        <is>
          <t>sqm</t>
        </is>
      </c>
      <c r="D82" s="152" t="n">
        <v>10</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09: Timber frames, shutters, and fittings. Built from timber scantling (with standard 5% wastage allowance), carriage, holdfasts, and carpenter crews.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Timber species</t>
        </is>
      </c>
      <c r="B10" s="88" t="inlineStr">
        <is>
          <t>second class teak wood</t>
        </is>
      </c>
      <c r="C10" s="30" t="inlineStr">
        <is>
          <t>DRIVES COST</t>
        </is>
      </c>
      <c r="D10" s="140" t="inlineStr">
        <is>
          <t>Material row 1</t>
        </is>
      </c>
      <c r="E10" s="24" t="inlineStr">
        <is>
          <t>The single biggest driver in Sub-Head 09. Same chowkhat, three species, three printed rates: DAR 9.1.1 second class teak, 9.1.2 sal wood, 9.1.3 kiln seasoned hollock - the GST lines alone show Rs 497.07 / 402.17 / 273.95, so the finished rates differ by nearly half.</t>
        </is>
      </c>
      <c r="F10" s="60" t="n"/>
      <c r="G10" s="60" t="n"/>
      <c r="H10" s="60" t="n"/>
      <c r="I10" s="60" t="n"/>
    </row>
    <row r="11" ht="32" customHeight="1">
      <c r="A11" s="87" t="inlineStr">
        <is>
          <t>Member type</t>
        </is>
      </c>
      <c r="B11" s="88" t="inlineStr">
        <is>
          <t>chowkhat / frame of door</t>
        </is>
      </c>
      <c r="C11" s="30" t="inlineStr">
        <is>
          <t>DRIVES COST</t>
        </is>
      </c>
      <c r="D11" s="140" t="inlineStr">
        <is>
          <t>Material coeffs</t>
        </is>
      </c>
      <c r="E11" s="24" t="inlineStr">
        <is>
          <t>DAR 9.1 (door and window frames), 9.2 (LVL factory made frames) and 9.3 (false ceiling and partition frames) are analysed against different member sizes and therefore different timber volumes.</t>
        </is>
      </c>
      <c r="F11" s="60" t="n"/>
      <c r="G11" s="60" t="n"/>
      <c r="H11" s="60" t="n"/>
      <c r="I11" s="60" t="n"/>
    </row>
    <row r="12" ht="32" customHeight="1">
      <c r="A12" s="87" t="inlineStr">
        <is>
          <t>Wrought and framed work</t>
        </is>
      </c>
      <c r="B12" s="88" t="inlineStr">
        <is>
          <t>wrought framed and fixed in position</t>
        </is>
      </c>
      <c r="C12" s="30" t="inlineStr">
        <is>
          <t>DRIVES COST</t>
        </is>
      </c>
      <c r="D12" s="140" t="inlineStr">
        <is>
          <t>Labour rows</t>
        </is>
      </c>
      <c r="E12" s="24" t="inlineStr">
        <is>
          <t>DAR 9.1 is priced "wrought framed and fixed in position"; 9.3 is "sawn and fixed in position" with a lower carpenter coefficient, so the workmanship clause carries a real labour differential.</t>
        </is>
      </c>
      <c r="F12" s="60" t="n"/>
      <c r="G12" s="60" t="n"/>
      <c r="H12" s="60" t="n"/>
      <c r="I12" s="60" t="n"/>
    </row>
    <row r="13" ht="32" customHeight="1">
      <c r="A13" s="87" t="inlineStr">
        <is>
          <t>Circular / shaped work</t>
        </is>
      </c>
      <c r="B13" s="88" t="inlineStr">
        <is>
          <t>straight work only</t>
        </is>
      </c>
      <c r="C13" s="30" t="inlineStr">
        <is>
          <t>DRIVES COST</t>
        </is>
      </c>
      <c r="D13" s="140" t="inlineStr">
        <is>
          <t>Labour rows</t>
        </is>
      </c>
      <c r="E13" s="24" t="inlineStr">
        <is>
          <t>DAR 9.4 is an explicit EXTRA item for additional labour on circular work such as fan light frames - it gives the differential directly rather than leaving it to judgement.</t>
        </is>
      </c>
      <c r="F13" s="60" t="n"/>
      <c r="G13" s="60" t="n"/>
      <c r="H13" s="60" t="n"/>
      <c r="I13" s="60" t="n"/>
    </row>
    <row r="14" ht="32" customHeight="1">
      <c r="A14" s="87" t="inlineStr">
        <is>
          <t>Priming coat on wood</t>
        </is>
      </c>
      <c r="B14" s="88" t="inlineStr">
        <is>
          <t>priming coat applied (DAR 13.50.1)</t>
        </is>
      </c>
      <c r="C14" s="30" t="inlineStr">
        <is>
          <t>DRIVES COST</t>
        </is>
      </c>
      <c r="D14" s="140" t="inlineStr">
        <is>
          <t>Resolved 13.50.1 row</t>
        </is>
      </c>
      <c r="E14" s="24" t="inlineStr">
        <is>
          <t>Priming on wood work is DAR item 13.50.1, resolved on Resolved_Cross_Volume_Items at Rs 57.05 per sqm and imported here as an A-tagged line so it is not marked up twice.</t>
        </is>
      </c>
      <c r="F14" s="60" t="n"/>
      <c r="G14" s="60" t="n"/>
      <c r="H14" s="60" t="n"/>
      <c r="I14" s="60" t="n"/>
    </row>
    <row r="15" ht="32" customHeight="1">
      <c r="A15" s="87" t="inlineStr">
        <is>
          <t>Wood preservative treatment</t>
        </is>
      </c>
      <c r="B15" s="88" t="inlineStr">
        <is>
          <t>not required</t>
        </is>
      </c>
      <c r="C15" s="30" t="inlineStr">
        <is>
          <t>DRIVES COST</t>
        </is>
      </c>
      <c r="D15" s="140" t="inlineStr">
        <is>
          <t>Resolved 13.57.1 row</t>
        </is>
      </c>
      <c r="E15" s="24" t="inlineStr">
        <is>
          <t>Oil type wood preservative, two or more coats on new work, is DAR item 13.57.1, resolved at Rs 44.50 per sqm and available as an A-tagged import.</t>
        </is>
      </c>
      <c r="F15" s="60" t="n"/>
      <c r="G15" s="60" t="n"/>
      <c r="H15" s="60" t="n"/>
      <c r="I15" s="60" t="n"/>
    </row>
    <row r="16" ht="22" customHeight="1">
      <c r="A16" s="16" t="inlineStr">
        <is>
          <t>Custom Item Code:</t>
        </is>
      </c>
      <c r="B16" s="61" t="inlineStr">
        <is>
          <t>C-09.01</t>
        </is>
      </c>
      <c r="C16" s="16" t="inlineStr">
        <is>
          <t>Batch Output Basis:</t>
        </is>
      </c>
      <c r="D16" s="92" t="n">
        <v>36</v>
      </c>
      <c r="E16" s="16" t="inlineStr">
        <is>
          <t>Output Unit:</t>
        </is>
      </c>
      <c r="F16" s="61" t="inlineStr">
        <is>
          <t>cudm</t>
        </is>
      </c>
      <c r="G16" s="16" t="inlineStr">
        <is>
          <t>Trade Sub-Head:</t>
        </is>
      </c>
      <c r="H16" s="35" t="inlineStr">
        <is>
          <t>09 Wood and PVC Work</t>
        </is>
      </c>
      <c r="I16" s="67" t="inlineStr">
        <is>
          <t>Output Unit Note:</t>
        </is>
      </c>
    </row>
    <row r="17" ht="40" customHeight="1">
      <c r="A17" s="16" t="inlineStr">
        <is>
          <t>Assembled Item Nomenclature:</t>
        </is>
      </c>
      <c r="B17" s="141">
        <f>IF(I17&lt;&gt;"", I17, "Providing wood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Timber wastage allowance</t>
        </is>
      </c>
      <c r="B20" s="92" t="n">
        <v>5</v>
      </c>
      <c r="C20" s="19" t="inlineStr">
        <is>
          <t>%</t>
        </is>
      </c>
      <c r="D20" s="140" t="inlineStr">
        <is>
          <t>Material row 1</t>
        </is>
      </c>
      <c r="E20" s="24" t="inlineStr">
        <is>
          <t>DAR 9.1.1 works in cudm and adds a wastage allowance inline when converting the net section volume to the ordered volume (36 cudm net becomes 38 cudm).</t>
        </is>
      </c>
      <c r="F20" s="60" t="n"/>
      <c r="G20" s="60" t="n"/>
      <c r="H20" s="60" t="n"/>
      <c r="I20" s="60" t="n"/>
    </row>
    <row r="21" ht="30" customHeight="1">
      <c r="A21" s="87" t="inlineStr">
        <is>
          <t>Surface area for priming</t>
        </is>
      </c>
      <c r="B21" s="154" t="n">
        <v>3</v>
      </c>
      <c r="C21" s="19" t="inlineStr">
        <is>
          <t>sqm / unit</t>
        </is>
      </c>
      <c r="D21" s="140" t="inlineStr">
        <is>
          <t>Resolved 13.50.1 row</t>
        </is>
      </c>
      <c r="E21" s="24" t="inlineStr">
        <is>
          <t>The priming import is priced per sqm of finished timber surface; enter the girth-derived area for the member being built.</t>
        </is>
      </c>
      <c r="F21" s="60" t="n"/>
      <c r="G21" s="60" t="n"/>
      <c r="H21" s="60" t="n"/>
      <c r="I21" s="60" t="n"/>
    </row>
    <row r="22" ht="30" customHeight="1">
      <c r="A22" s="87" t="inlineStr">
        <is>
          <t>Output unit conversion</t>
        </is>
      </c>
      <c r="B22" s="156" t="n">
        <v>0.038</v>
      </c>
      <c r="C22" s="19" t="inlineStr">
        <is>
          <t>cum / unit</t>
        </is>
      </c>
      <c r="D22" s="140" t="inlineStr">
        <is>
          <t>Rate row</t>
        </is>
      </c>
      <c r="E22" s="24" t="inlineStr">
        <is>
          <t>DAR 9 items are analysed per door / per frame and then converted to a standard cum rate at the end of the item. Enter the timber volume of one unit to convert between the two.</t>
        </is>
      </c>
      <c r="F22" s="60" t="n"/>
      <c r="G22" s="60" t="n"/>
      <c r="H22" s="60" t="n"/>
      <c r="I22" s="60" t="n"/>
    </row>
    <row r="23" ht="30" customHeight="1">
      <c r="A23" s="87" t="inlineStr">
        <is>
          <t>Holdfasts per frame</t>
        </is>
      </c>
      <c r="B23" s="143" t="n">
        <v>6</v>
      </c>
      <c r="C23" s="19" t="inlineStr">
        <is>
          <t>Nos</t>
        </is>
      </c>
      <c r="D23" s="140" t="inlineStr">
        <is>
          <t>Material rows</t>
        </is>
      </c>
      <c r="E23" s="24" t="inlineStr">
        <is>
          <t>Holdfasts and fixing hardware are separate material lines in the DAR frame items.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1189</t>
        </is>
      </c>
      <c r="C28" s="82">
        <f>IF(B28="","", IFERROR(INDEX(Rates_Master!$C:$C, MATCH(B28, Rates_Master!$A:$A, 0)), "Custom / Intermediate Material"))</f>
        <v/>
      </c>
      <c r="D28" s="63">
        <f>IF(B28="","", IFERROR(INDEX(Rates_Master!$D:$D, MATCH(B28, Rates_Master!$A:$A, 0)), ""))</f>
        <v/>
      </c>
      <c r="E28" s="64" t="n">
        <v>3.8</v>
      </c>
      <c r="F28" s="65">
        <f>IF(B28="","", IFERROR(INDEX(Rates_Master!$E:$E, MATCH(B28, Rates_Master!$A:$A, 0)), 0))</f>
        <v/>
      </c>
      <c r="G28" s="43">
        <f>IF(OR(B28="", E28=""), 0, ROUND(E28 * F28, 2))</f>
        <v/>
      </c>
      <c r="H28" s="144" t="inlineStr">
        <is>
          <t>Second class teak wood in scantling (36 cudm + 5% wastage = 38 cudm)</t>
        </is>
      </c>
      <c r="I28" s="61" t="inlineStr"/>
    </row>
    <row r="29" ht="20" customHeight="1">
      <c r="A29" s="19" t="n">
        <v>2</v>
      </c>
      <c r="B29" s="61" t="inlineStr">
        <is>
          <t>2204</t>
        </is>
      </c>
      <c r="C29" s="82">
        <f>IF(B29="","", IFERROR(INDEX(Rates_Master!$C:$C, MATCH(B29, Rates_Master!$A:$A, 0)), "Custom / Intermediate Material"))</f>
        <v/>
      </c>
      <c r="D29" s="63">
        <f>IF(B29="","", IFERROR(INDEX(Rates_Master!$D:$D, MATCH(B29, Rates_Master!$A:$A, 0)), ""))</f>
        <v/>
      </c>
      <c r="E29" s="64" t="n">
        <v>0.038</v>
      </c>
      <c r="F29" s="65">
        <f>IF(B29="","", IFERROR(INDEX(Rates_Master!$E:$E, MATCH(B29, Rates_Master!$A:$A, 0)), 0))</f>
        <v/>
      </c>
      <c r="G29" s="43">
        <f>IF(OR(B29="", E29=""), 0, ROUND(E29 * F29, 2))</f>
        <v/>
      </c>
      <c r="H29" s="144" t="inlineStr">
        <is>
          <t>Carriage of Timber</t>
        </is>
      </c>
      <c r="I29" s="61" t="inlineStr"/>
    </row>
    <row r="30" ht="20" customHeight="1">
      <c r="A30" s="19" t="n">
        <v>3</v>
      </c>
      <c r="B30" s="61" t="inlineStr">
        <is>
          <t>13.50.1</t>
        </is>
      </c>
      <c r="C30" s="82" t="inlineStr">
        <is>
          <t>Priming coat with ready mixed pink or grey primer on wood work (DAR 13.50.1, Finishing)</t>
        </is>
      </c>
      <c r="D30" s="63" t="inlineStr">
        <is>
          <t>sqm</t>
        </is>
      </c>
      <c r="E30" s="64" t="n">
        <v>3</v>
      </c>
      <c r="F30" s="65">
        <f>XV_13_50_1</f>
        <v/>
      </c>
      <c r="G30" s="43">
        <f>IF(OR(B30="", E30=""), 0, ROUND(E30 * F30, 2))</f>
        <v/>
      </c>
      <c r="H30" s="144" t="inlineStr">
        <is>
          <t>Resolved on Resolved_Cross_Volume_Items from WB1 data only (Rs 57.05 per sqm). A-tagged per the CPWD (W-A) convention.</t>
        </is>
      </c>
      <c r="I30" s="155" t="inlineStr">
        <is>
          <t>A</t>
        </is>
      </c>
    </row>
    <row r="31" ht="20" customHeight="1">
      <c r="A31" s="19" t="n">
        <v>4</v>
      </c>
      <c r="B31" s="61" t="inlineStr">
        <is>
          <t>13.57.1</t>
        </is>
      </c>
      <c r="C31" s="82" t="inlineStr">
        <is>
          <t>Oil type wood preservative, new work, two or more coats (DAR 13.57.1, Finishing)</t>
        </is>
      </c>
      <c r="D31" s="63" t="inlineStr">
        <is>
          <t>sqm</t>
        </is>
      </c>
      <c r="E31" s="64" t="n">
        <v>0</v>
      </c>
      <c r="F31" s="65">
        <f>XV_13_57_1</f>
        <v/>
      </c>
      <c r="G31" s="43">
        <f>IF(OR(B31="", E31=""), 0, ROUND(E31 * F31, 2))</f>
        <v/>
      </c>
      <c r="H31" s="144" t="inlineStr">
        <is>
          <t>Resolved on Resolved_Cross_Volume_Items from WB1 data only (Rs 44.50 per sqm). A-tagged. Set the coefficient above 0 only when preservative treatment is specified.</t>
        </is>
      </c>
      <c r="I31" s="155" t="inlineStr">
        <is>
          <t>A</t>
        </is>
      </c>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0.72</v>
      </c>
      <c r="F42" s="65">
        <f>IF(B42="","", IFERROR(INDEX(Rates_Master!$E:$E, MATCH(B42, Rates_Master!$A:$A, 0)), 0))</f>
        <v/>
      </c>
      <c r="G42" s="43">
        <f>IF(OR(B42="", E42=""), 0, ROUND(E42 * F42, 2))</f>
        <v/>
      </c>
      <c r="H42" s="144" t="inlineStr">
        <is>
          <t>Carpenter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4" t="inlineStr">
        <is>
          <t>Beldar</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4"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9.1.1</t>
        </is>
      </c>
      <c r="B75" s="147" t="inlineStr">
        <is>
          <t>Second class teak wood in frames of doors and windows</t>
        </is>
      </c>
      <c r="C75" s="148" t="inlineStr">
        <is>
          <t>cum</t>
        </is>
      </c>
      <c r="D75" s="148" t="n">
        <v>36</v>
      </c>
      <c r="E75" s="149" t="n">
        <v>3502.85</v>
      </c>
      <c r="F75" s="148" t="inlineStr">
        <is>
          <t>Full W-&gt;X-&gt;Y-&gt;Z</t>
        </is>
      </c>
      <c r="G75" s="149" t="n">
        <v>130183.06</v>
      </c>
      <c r="H75" s="9" t="n">
        <v>130183.05</v>
      </c>
      <c r="I75" s="149" t="n"/>
    </row>
    <row r="76" ht="20" customHeight="1">
      <c r="A76" s="150" t="inlineStr">
        <is>
          <t>C-09.02</t>
        </is>
      </c>
      <c r="B76" s="151" t="inlineStr">
        <is>
          <t>(Available for new custom item)</t>
        </is>
      </c>
      <c r="C76" s="152" t="inlineStr">
        <is>
          <t>cudm</t>
        </is>
      </c>
      <c r="D76" s="152" t="n">
        <v>36</v>
      </c>
      <c r="E76" s="153" t="n"/>
      <c r="F76" s="152" t="inlineStr">
        <is>
          <t>Full W-&gt;X-&gt;Y-&gt;Z</t>
        </is>
      </c>
      <c r="G76" s="153" t="n"/>
      <c r="H76" s="5" t="n"/>
      <c r="I76" s="153" t="n"/>
    </row>
    <row r="77" ht="20" customHeight="1">
      <c r="A77" s="146" t="inlineStr">
        <is>
          <t>C-09.03</t>
        </is>
      </c>
      <c r="B77" s="147" t="inlineStr">
        <is>
          <t>(Available for new custom item)</t>
        </is>
      </c>
      <c r="C77" s="148" t="inlineStr">
        <is>
          <t>cudm</t>
        </is>
      </c>
      <c r="D77" s="148" t="n">
        <v>36</v>
      </c>
      <c r="E77" s="149" t="n"/>
      <c r="F77" s="148" t="inlineStr">
        <is>
          <t>Full W-&gt;X-&gt;Y-&gt;Z</t>
        </is>
      </c>
      <c r="G77" s="149" t="n"/>
      <c r="H77" s="9" t="n"/>
      <c r="I77" s="149" t="n"/>
    </row>
    <row r="78" ht="20" customHeight="1">
      <c r="A78" s="150" t="inlineStr">
        <is>
          <t>C-09.04</t>
        </is>
      </c>
      <c r="B78" s="151" t="inlineStr">
        <is>
          <t>(Available for new custom item)</t>
        </is>
      </c>
      <c r="C78" s="152" t="inlineStr">
        <is>
          <t>cudm</t>
        </is>
      </c>
      <c r="D78" s="152" t="n">
        <v>36</v>
      </c>
      <c r="E78" s="153" t="n"/>
      <c r="F78" s="152" t="inlineStr">
        <is>
          <t>Full W-&gt;X-&gt;Y-&gt;Z</t>
        </is>
      </c>
      <c r="G78" s="153" t="n"/>
      <c r="H78" s="5" t="n"/>
      <c r="I78" s="153" t="n"/>
    </row>
    <row r="79" ht="20" customHeight="1">
      <c r="A79" s="146" t="inlineStr">
        <is>
          <t>C-09.05</t>
        </is>
      </c>
      <c r="B79" s="147" t="inlineStr">
        <is>
          <t>(Available for new custom item)</t>
        </is>
      </c>
      <c r="C79" s="148" t="inlineStr">
        <is>
          <t>cudm</t>
        </is>
      </c>
      <c r="D79" s="148" t="n">
        <v>36</v>
      </c>
      <c r="E79" s="149" t="n"/>
      <c r="F79" s="148" t="inlineStr">
        <is>
          <t>Full W-&gt;X-&gt;Y-&gt;Z</t>
        </is>
      </c>
      <c r="G79" s="149" t="n"/>
      <c r="H79" s="9" t="n"/>
      <c r="I79" s="149" t="n"/>
    </row>
    <row r="80" ht="20" customHeight="1">
      <c r="A80" s="150" t="inlineStr">
        <is>
          <t>C-09.06</t>
        </is>
      </c>
      <c r="B80" s="151" t="inlineStr">
        <is>
          <t>(Available for new custom item)</t>
        </is>
      </c>
      <c r="C80" s="152" t="inlineStr">
        <is>
          <t>cudm</t>
        </is>
      </c>
      <c r="D80" s="152" t="n">
        <v>36</v>
      </c>
      <c r="E80" s="153" t="n"/>
      <c r="F80" s="152" t="inlineStr">
        <is>
          <t>Full W-&gt;X-&gt;Y-&gt;Z</t>
        </is>
      </c>
      <c r="G80" s="153" t="n"/>
      <c r="H80" s="5" t="n"/>
      <c r="I80" s="153" t="n"/>
    </row>
    <row r="81" ht="20" customHeight="1">
      <c r="A81" s="146" t="inlineStr">
        <is>
          <t>C-09.07</t>
        </is>
      </c>
      <c r="B81" s="147" t="inlineStr">
        <is>
          <t>(Available for new custom item)</t>
        </is>
      </c>
      <c r="C81" s="148" t="inlineStr">
        <is>
          <t>cudm</t>
        </is>
      </c>
      <c r="D81" s="148" t="n">
        <v>36</v>
      </c>
      <c r="E81" s="149" t="n"/>
      <c r="F81" s="148" t="inlineStr">
        <is>
          <t>Full W-&gt;X-&gt;Y-&gt;Z</t>
        </is>
      </c>
      <c r="G81" s="149" t="n"/>
      <c r="H81" s="9" t="n"/>
      <c r="I81" s="149" t="n"/>
    </row>
    <row r="82" ht="20" customHeight="1">
      <c r="A82" s="150" t="inlineStr">
        <is>
          <t>C-09.08</t>
        </is>
      </c>
      <c r="B82" s="151" t="inlineStr">
        <is>
          <t>(Available for new custom item)</t>
        </is>
      </c>
      <c r="C82" s="152" t="inlineStr">
        <is>
          <t>cudm</t>
        </is>
      </c>
      <c r="D82" s="152" t="n">
        <v>36</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10: Structural steel fabrication. Incorporates rolling sections (with 5% wastage), carriage, fitter/blacksmith crew, and priming coat (CPWD DAR 13.50.3 @ ₹50.70/sqm).</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Fabrication type</t>
        </is>
      </c>
      <c r="B10" s="88" t="inlineStr">
        <is>
          <t>single section</t>
        </is>
      </c>
      <c r="C10" s="30" t="inlineStr">
        <is>
          <t>DRIVES COST</t>
        </is>
      </c>
      <c r="D10" s="140" t="inlineStr">
        <is>
          <t>Material coeff</t>
        </is>
      </c>
      <c r="E10" s="24" t="inlineStr">
        <is>
          <t>DAR 10.1 (single section, fixed with or without connecting plate) uses 1.05 quintal of structurals per quintal of finished work; 10.2 (riveted, bolted or welded built-up sections and trusses) uses 1.60 - a 52% difference on the dominant material line.</t>
        </is>
      </c>
      <c r="F10" s="60" t="n"/>
      <c r="G10" s="60" t="n"/>
      <c r="H10" s="60" t="n"/>
      <c r="I10" s="60" t="n"/>
    </row>
    <row r="11" ht="32" customHeight="1">
      <c r="A11" s="87" t="inlineStr">
        <is>
          <t>Section profile</t>
        </is>
      </c>
      <c r="B11" s="88" t="inlineStr">
        <is>
          <t>tees, angles, channels and R.S. joists</t>
        </is>
      </c>
      <c r="C11" s="30" t="inlineStr">
        <is>
          <t>DRIVES COST</t>
        </is>
      </c>
      <c r="D11" s="140" t="inlineStr">
        <is>
          <t>Material row 1</t>
        </is>
      </c>
      <c r="E11" s="24" t="inlineStr">
        <is>
          <t>DAR 10.1 uses code 1007 (structurals: tees, angles, channels, joists); 10.2 additionally uses code 1009 (flats exceeding 10 mm) at a different rate for ties and braces.</t>
        </is>
      </c>
      <c r="F11" s="60" t="n"/>
      <c r="G11" s="60" t="n"/>
      <c r="H11" s="60" t="n"/>
      <c r="I11" s="60" t="n"/>
    </row>
    <row r="12" ht="32" customHeight="1">
      <c r="A12" s="87" t="inlineStr">
        <is>
          <t>Priming coat</t>
        </is>
      </c>
      <c r="B12" s="88" t="inlineStr">
        <is>
          <t>red oxide zinc chromate primer (DAR 13.50.3)</t>
        </is>
      </c>
      <c r="C12" s="30" t="inlineStr">
        <is>
          <t>DRIVES COST</t>
        </is>
      </c>
      <c r="D12" s="140" t="inlineStr">
        <is>
          <t>Resolved 13.50.3 row</t>
        </is>
      </c>
      <c r="E12" s="24" t="inlineStr">
        <is>
          <t>DAR 10.1 imports Finishing item 13.50.3 at Rs 50.70 per sqm and tags it "A", excluding it from every markup base. It is resolved here on Resolved_Cross_Volume_Items rather than held as a literal.</t>
        </is>
      </c>
      <c r="F12" s="60" t="n"/>
      <c r="G12" s="60" t="n"/>
      <c r="H12" s="60" t="n"/>
      <c r="I12" s="60" t="n"/>
    </row>
    <row r="13" ht="32" customHeight="1">
      <c r="A13" s="87" t="inlineStr">
        <is>
          <t>Connecting plate</t>
        </is>
      </c>
      <c r="B13" s="88" t="inlineStr">
        <is>
          <t>with or without connecting plate</t>
        </is>
      </c>
      <c r="C13" s="2" t="inlineStr">
        <is>
          <t>NOMENCLATURE ONLY</t>
        </is>
      </c>
      <c r="D13" s="140" t="inlineStr">
        <is>
          <t>-</t>
        </is>
      </c>
      <c r="E13" s="24" t="inlineStr">
        <is>
          <t>DAR 10.1 is titled "fixed with or without connecting plate" - the book deliberately prices one rate for both, so this clause carries no differential.</t>
        </is>
      </c>
      <c r="F13" s="60" t="n"/>
      <c r="G13" s="60" t="n"/>
      <c r="H13" s="60" t="n"/>
      <c r="I13" s="60" t="n"/>
    </row>
    <row r="14" ht="32" customHeight="1">
      <c r="A14" s="87" t="inlineStr">
        <is>
          <t>Erection height / lift</t>
        </is>
      </c>
      <c r="B14" s="88" t="inlineStr">
        <is>
          <t>for all heights</t>
        </is>
      </c>
      <c r="C14" s="2" t="inlineStr">
        <is>
          <t>NOMENCLATURE ONLY</t>
        </is>
      </c>
      <c r="D14" s="140" t="inlineStr">
        <is>
          <t>-</t>
        </is>
      </c>
      <c r="E14" s="24" t="inlineStr">
        <is>
          <t>Sub-Head 10 items do not vary by erection height; where extra lifting is genuinely incurred the DAR adds an explicit labour line, as it does in Concrete Work.</t>
        </is>
      </c>
      <c r="F14" s="60" t="n"/>
      <c r="G14" s="60" t="n"/>
      <c r="H14" s="60" t="n"/>
      <c r="I14" s="60" t="n"/>
    </row>
    <row r="15" ht="32" customHeight="1">
      <c r="A15" s="87" t="inlineStr">
        <is>
          <t>Galvanising / protective coating</t>
        </is>
      </c>
      <c r="B15" s="88" t="inlineStr">
        <is>
          <t>not required</t>
        </is>
      </c>
      <c r="C15" s="51" t="inlineStr">
        <is>
          <t>USER-SUPPLIED COST</t>
        </is>
      </c>
      <c r="D15" s="140" t="inlineStr">
        <is>
          <t>Sundries row</t>
        </is>
      </c>
      <c r="E15" s="24" t="inlineStr">
        <is>
          <t>Hot dip galvanising is not analysed inside Sub-Head 10 in Vol.1. If specified, enter the amount as a Sundries line or add a material row for the coating.</t>
        </is>
      </c>
      <c r="F15" s="60" t="n"/>
      <c r="G15" s="60" t="n"/>
      <c r="H15" s="60" t="n"/>
      <c r="I15" s="60" t="n"/>
    </row>
    <row r="16" ht="22" customHeight="1">
      <c r="A16" s="16" t="inlineStr">
        <is>
          <t>Custom Item Code:</t>
        </is>
      </c>
      <c r="B16" s="61" t="inlineStr">
        <is>
          <t>C-10.01</t>
        </is>
      </c>
      <c r="C16" s="16" t="inlineStr">
        <is>
          <t>Batch Output Basis:</t>
        </is>
      </c>
      <c r="D16" s="92" t="n">
        <v>1</v>
      </c>
      <c r="E16" s="16" t="inlineStr">
        <is>
          <t>Output Unit:</t>
        </is>
      </c>
      <c r="F16" s="61" t="inlineStr">
        <is>
          <t>quintal</t>
        </is>
      </c>
      <c r="G16" s="16" t="inlineStr">
        <is>
          <t>Trade Sub-Head:</t>
        </is>
      </c>
      <c r="H16" s="35" t="inlineStr">
        <is>
          <t>10 Steel Work</t>
        </is>
      </c>
      <c r="I16" s="67" t="inlineStr">
        <is>
          <t>Output Unit Note:</t>
        </is>
      </c>
    </row>
    <row r="17" ht="40" customHeight="1">
      <c r="A17" s="16" t="inlineStr">
        <is>
          <t>Assembled Item Nomenclature:</t>
        </is>
      </c>
      <c r="B17" s="141">
        <f>IF(I17&lt;&gt;"", I17, "Structural steel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Steel wastage allowance</t>
        </is>
      </c>
      <c r="B20" s="92" t="n">
        <v>5</v>
      </c>
      <c r="C20" s="19" t="inlineStr">
        <is>
          <t>%</t>
        </is>
      </c>
      <c r="D20" s="140" t="inlineStr">
        <is>
          <t>Material row 1</t>
        </is>
      </c>
      <c r="E20" s="24" t="inlineStr">
        <is>
          <t>DAR 10.2 shows the arithmetic openly: "Total = 50.65 kg + Add wastage @ 5% = 2.53 kg". The 1.05 coefficient on 10.1 is the same 5% expressed as a multiplier.</t>
        </is>
      </c>
      <c r="F20" s="60" t="n"/>
      <c r="G20" s="60" t="n"/>
      <c r="H20" s="60" t="n"/>
      <c r="I20" s="60" t="n"/>
    </row>
    <row r="21" ht="30" customHeight="1">
      <c r="A21" s="87" t="inlineStr">
        <is>
          <t>Painted surface area</t>
        </is>
      </c>
      <c r="B21" s="154" t="n">
        <v>3</v>
      </c>
      <c r="C21" s="19" t="inlineStr">
        <is>
          <t>sqm / quintal</t>
        </is>
      </c>
      <c r="D21" s="140" t="inlineStr">
        <is>
          <t>Resolved 13.50.3 row</t>
        </is>
      </c>
      <c r="E21" s="24" t="inlineStr">
        <is>
          <t>DAR 10.1 prices 3.00 sqm of priming per quintal of steel. Change only if your section girth differs materially.</t>
        </is>
      </c>
      <c r="F21" s="60" t="n"/>
      <c r="G21" s="60" t="n"/>
      <c r="H21" s="60" t="n"/>
      <c r="I21" s="60" t="n"/>
    </row>
    <row r="22" ht="30" customHeight="1">
      <c r="A22" s="87" t="inlineStr">
        <is>
          <t>Bolts / rivets allowance</t>
        </is>
      </c>
      <c r="B22" s="92" t="n">
        <v>0</v>
      </c>
      <c r="C22" s="19" t="inlineStr">
        <is>
          <t>% of steel</t>
        </is>
      </c>
      <c r="D22" s="140" t="inlineStr">
        <is>
          <t>Material rows</t>
        </is>
      </c>
      <c r="E22" s="24" t="inlineStr">
        <is>
          <t>Built-up items carry their fasteners as separate material lines rather than as a percentage; use this only if you are approximating.</t>
        </is>
      </c>
      <c r="F22" s="60" t="n"/>
      <c r="G22" s="60" t="n"/>
      <c r="H22" s="60" t="n"/>
      <c r="I22" s="60" t="n"/>
    </row>
    <row r="23" ht="30" customHeight="1">
      <c r="A23" s="87" t="inlineStr">
        <is>
          <t>Output unit conversion</t>
        </is>
      </c>
      <c r="B23" s="92" t="n">
        <v>100</v>
      </c>
      <c r="C23" s="19" t="inlineStr">
        <is>
          <t>kg / quintal</t>
        </is>
      </c>
      <c r="D23" s="140" t="inlineStr">
        <is>
          <t>Rate row</t>
        </is>
      </c>
      <c r="E23" s="24" t="inlineStr">
        <is>
          <t>DAR 10.1 is analysed per quintal and then reported per kg ("Cost of 1 quintal 8604.22, Cost of 1 Kg 86.04"). This is the divisor for that conversion.</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1007</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4" t="inlineStr">
        <is>
          <t>Structurals (tees, angles, channels, joists) + 5% wastage = 1.05 q</t>
        </is>
      </c>
      <c r="I28" s="61" t="inlineStr"/>
    </row>
    <row r="29" ht="20" customHeight="1">
      <c r="A29" s="19" t="n">
        <v>2</v>
      </c>
      <c r="B29" s="61" t="inlineStr">
        <is>
          <t>2205</t>
        </is>
      </c>
      <c r="C29" s="82">
        <f>IF(B29="","", IFERROR(INDEX(Rates_Master!$C:$C, MATCH(B29, Rates_Master!$A:$A, 0)), "Custom / Intermediate Material"))</f>
        <v/>
      </c>
      <c r="D29" s="63">
        <f>IF(B29="","", IFERROR(INDEX(Rates_Master!$D:$D, MATCH(B29, Rates_Master!$A:$A, 0)), ""))</f>
        <v/>
      </c>
      <c r="E29" s="64" t="n">
        <v>0.105</v>
      </c>
      <c r="F29" s="65">
        <f>IF(B29="","", IFERROR(INDEX(Rates_Master!$E:$E, MATCH(B29, Rates_Master!$A:$A, 0)), 0))</f>
        <v/>
      </c>
      <c r="G29" s="43">
        <f>IF(OR(B29="", E29=""), 0, ROUND(E29 * F29, 2))</f>
        <v/>
      </c>
      <c r="H29" s="144" t="inlineStr">
        <is>
          <t>Carriage of Steel (0.105 tonne)</t>
        </is>
      </c>
      <c r="I29" s="61" t="inlineStr"/>
    </row>
    <row r="30" ht="20" customHeight="1">
      <c r="A30" s="19" t="n">
        <v>3</v>
      </c>
      <c r="B30" s="61" t="inlineStr">
        <is>
          <t>13.50.3</t>
        </is>
      </c>
      <c r="C30" s="82" t="inlineStr">
        <is>
          <t>Priming coat with red oxide zinc chromate primer on steel work (DAR 13.50.3, Finishing)</t>
        </is>
      </c>
      <c r="D30" s="63" t="inlineStr">
        <is>
          <t>sqm</t>
        </is>
      </c>
      <c r="E30" s="64" t="n">
        <v>3</v>
      </c>
      <c r="F30" s="65">
        <f>XV_13_50_3</f>
        <v/>
      </c>
      <c r="G30" s="43">
        <f>IF(OR(B30="", E30=""), 0, ROUND(E30 * F30, 2))</f>
        <v/>
      </c>
      <c r="H30" s="144" t="inlineStr">
        <is>
          <t>Resolved on Resolved_Cross_Volume_Items from WB1 data only (Rs 50.70 per sqm). A-tagged: DAR item 10.1 tags this line "A" and computes every markup on (W-A), (X-A), (Y-A), (Z-A). Verified: 1% of (6469.38-152.10) = 63.17, exactly the figure the book prints.</t>
        </is>
      </c>
      <c r="I30" s="155" t="inlineStr">
        <is>
          <t>A</t>
        </is>
      </c>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4"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0116</t>
        </is>
      </c>
      <c r="C42" s="82">
        <f>IF(B42="","", IFERROR(INDEX(Rates_Master!$C:$C, MATCH(B42, Rates_Master!$A:$A, 0)), "Custom Labour / Plant"))</f>
        <v/>
      </c>
      <c r="D42" s="63">
        <f>IF(B42="","", IFERROR(INDEX(Rates_Master!$D:$D, MATCH(B42, Rates_Master!$A:$A, 0)), ""))</f>
        <v/>
      </c>
      <c r="E42" s="64" t="n">
        <v>0.5</v>
      </c>
      <c r="F42" s="65">
        <f>IF(B42="","", IFERROR(INDEX(Rates_Master!$E:$E, MATCH(B42, Rates_Master!$A:$A, 0)), 0))</f>
        <v/>
      </c>
      <c r="G42" s="43">
        <f>IF(OR(B42="", E42=""), 0, ROUND(E42 * F42, 2))</f>
        <v/>
      </c>
      <c r="H42" s="144" t="inlineStr">
        <is>
          <t>Fitter (grade 1)</t>
        </is>
      </c>
      <c r="I42" s="6" t="inlineStr"/>
    </row>
    <row r="43" ht="20" customHeight="1">
      <c r="A43" s="19" t="n">
        <v>2</v>
      </c>
      <c r="B43" s="61" t="inlineStr">
        <is>
          <t>0103</t>
        </is>
      </c>
      <c r="C43" s="82">
        <f>IF(B43="","", IFERROR(INDEX(Rates_Master!$C:$C, MATCH(B43, Rates_Master!$A:$A, 0)), "Custom Labour / Plant"))</f>
        <v/>
      </c>
      <c r="D43" s="63">
        <f>IF(B43="","", IFERROR(INDEX(Rates_Master!$D:$D, MATCH(B43, Rates_Master!$A:$A, 0)), ""))</f>
        <v/>
      </c>
      <c r="E43" s="64" t="n">
        <v>0.75</v>
      </c>
      <c r="F43" s="65">
        <f>IF(B43="","", IFERROR(INDEX(Rates_Master!$E:$E, MATCH(B43, Rates_Master!$A:$A, 0)), 0))</f>
        <v/>
      </c>
      <c r="G43" s="43">
        <f>IF(OR(B43="", E43=""), 0, ROUND(E43 * F43, 2))</f>
        <v/>
      </c>
      <c r="H43" s="144" t="inlineStr">
        <is>
          <t>Blacksmith 2nd class</t>
        </is>
      </c>
      <c r="I43" s="6" t="inlineStr"/>
    </row>
    <row r="44" ht="20" customHeight="1">
      <c r="A44" s="19" t="n">
        <v>3</v>
      </c>
      <c r="B44" s="61" t="inlineStr">
        <is>
          <t>0114</t>
        </is>
      </c>
      <c r="C44" s="82">
        <f>IF(B44="","", IFERROR(INDEX(Rates_Master!$C:$C, MATCH(B44, Rates_Master!$A:$A, 0)), "Custom Labour / Plant"))</f>
        <v/>
      </c>
      <c r="D44" s="63">
        <f>IF(B44="","", IFERROR(INDEX(Rates_Master!$D:$D, MATCH(B44, Rates_Master!$A:$A, 0)), ""))</f>
        <v/>
      </c>
      <c r="E44" s="64" t="n">
        <v>1</v>
      </c>
      <c r="F44" s="65">
        <f>IF(B44="","", IFERROR(INDEX(Rates_Master!$E:$E, MATCH(B44, Rates_Master!$A:$A, 0)), 0))</f>
        <v/>
      </c>
      <c r="G44" s="43">
        <f>IF(OR(B44="", E44=""), 0, ROUND(E44 * F44, 2))</f>
        <v/>
      </c>
      <c r="H44" s="144" t="inlineStr">
        <is>
          <t>Beldar</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20.67</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 applied on (W - Priming coat).</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 applied on (X - Priming coat).</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CPOH applied on (Y - Priming coat).</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Cess applied on (Z - Priming coat).</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10.1</t>
        </is>
      </c>
      <c r="B75" s="147" t="inlineStr">
        <is>
          <t>Structural steel work in single section fixed complete with priming coat</t>
        </is>
      </c>
      <c r="C75" s="148" t="inlineStr">
        <is>
          <t>quintal</t>
        </is>
      </c>
      <c r="D75" s="148" t="n">
        <v>1</v>
      </c>
      <c r="E75" s="149" t="n">
        <v>6469.38</v>
      </c>
      <c r="F75" s="148" t="inlineStr">
        <is>
          <t>Full W-&gt;X-&gt;Y-&gt;Z (excl. primer)</t>
        </is>
      </c>
      <c r="G75" s="149" t="n">
        <v>8604.219999999999</v>
      </c>
      <c r="H75" s="9" t="n">
        <v>8604.200000000001</v>
      </c>
      <c r="I75" s="149" t="n"/>
    </row>
    <row r="76" ht="20" customHeight="1">
      <c r="A76" s="150" t="inlineStr">
        <is>
          <t>C-10.02</t>
        </is>
      </c>
      <c r="B76" s="151" t="inlineStr">
        <is>
          <t>(Available for new custom item)</t>
        </is>
      </c>
      <c r="C76" s="152" t="inlineStr">
        <is>
          <t>quintal</t>
        </is>
      </c>
      <c r="D76" s="152" t="n">
        <v>1</v>
      </c>
      <c r="E76" s="153" t="n"/>
      <c r="F76" s="152" t="inlineStr">
        <is>
          <t>Full W-&gt;X-&gt;Y-&gt;Z</t>
        </is>
      </c>
      <c r="G76" s="153" t="n"/>
      <c r="H76" s="5" t="n"/>
      <c r="I76" s="153" t="n"/>
    </row>
    <row r="77" ht="20" customHeight="1">
      <c r="A77" s="146" t="inlineStr">
        <is>
          <t>C-10.03</t>
        </is>
      </c>
      <c r="B77" s="147" t="inlineStr">
        <is>
          <t>(Available for new custom item)</t>
        </is>
      </c>
      <c r="C77" s="148" t="inlineStr">
        <is>
          <t>quintal</t>
        </is>
      </c>
      <c r="D77" s="148" t="n">
        <v>1</v>
      </c>
      <c r="E77" s="149" t="n"/>
      <c r="F77" s="148" t="inlineStr">
        <is>
          <t>Full W-&gt;X-&gt;Y-&gt;Z</t>
        </is>
      </c>
      <c r="G77" s="149" t="n"/>
      <c r="H77" s="9" t="n"/>
      <c r="I77" s="149" t="n"/>
    </row>
    <row r="78" ht="20" customHeight="1">
      <c r="A78" s="150" t="inlineStr">
        <is>
          <t>C-10.04</t>
        </is>
      </c>
      <c r="B78" s="151" t="inlineStr">
        <is>
          <t>(Available for new custom item)</t>
        </is>
      </c>
      <c r="C78" s="152" t="inlineStr">
        <is>
          <t>quintal</t>
        </is>
      </c>
      <c r="D78" s="152" t="n">
        <v>1</v>
      </c>
      <c r="E78" s="153" t="n"/>
      <c r="F78" s="152" t="inlineStr">
        <is>
          <t>Full W-&gt;X-&gt;Y-&gt;Z</t>
        </is>
      </c>
      <c r="G78" s="153" t="n"/>
      <c r="H78" s="5" t="n"/>
      <c r="I78" s="153" t="n"/>
    </row>
    <row r="79" ht="20" customHeight="1">
      <c r="A79" s="146" t="inlineStr">
        <is>
          <t>C-10.05</t>
        </is>
      </c>
      <c r="B79" s="147" t="inlineStr">
        <is>
          <t>(Available for new custom item)</t>
        </is>
      </c>
      <c r="C79" s="148" t="inlineStr">
        <is>
          <t>quintal</t>
        </is>
      </c>
      <c r="D79" s="148" t="n">
        <v>1</v>
      </c>
      <c r="E79" s="149" t="n"/>
      <c r="F79" s="148" t="inlineStr">
        <is>
          <t>Full W-&gt;X-&gt;Y-&gt;Z</t>
        </is>
      </c>
      <c r="G79" s="149" t="n"/>
      <c r="H79" s="9" t="n"/>
      <c r="I79" s="149" t="n"/>
    </row>
    <row r="80" ht="20" customHeight="1">
      <c r="A80" s="150" t="inlineStr">
        <is>
          <t>C-10.06</t>
        </is>
      </c>
      <c r="B80" s="151" t="inlineStr">
        <is>
          <t>(Available for new custom item)</t>
        </is>
      </c>
      <c r="C80" s="152" t="inlineStr">
        <is>
          <t>quintal</t>
        </is>
      </c>
      <c r="D80" s="152" t="n">
        <v>1</v>
      </c>
      <c r="E80" s="153" t="n"/>
      <c r="F80" s="152" t="inlineStr">
        <is>
          <t>Full W-&gt;X-&gt;Y-&gt;Z</t>
        </is>
      </c>
      <c r="G80" s="153" t="n"/>
      <c r="H80" s="5" t="n"/>
      <c r="I80" s="153" t="n"/>
    </row>
    <row r="81" ht="20" customHeight="1">
      <c r="A81" s="146" t="inlineStr">
        <is>
          <t>C-10.07</t>
        </is>
      </c>
      <c r="B81" s="147" t="inlineStr">
        <is>
          <t>(Available for new custom item)</t>
        </is>
      </c>
      <c r="C81" s="148" t="inlineStr">
        <is>
          <t>quintal</t>
        </is>
      </c>
      <c r="D81" s="148" t="n">
        <v>1</v>
      </c>
      <c r="E81" s="149" t="n"/>
      <c r="F81" s="148" t="inlineStr">
        <is>
          <t>Full W-&gt;X-&gt;Y-&gt;Z</t>
        </is>
      </c>
      <c r="G81" s="149" t="n"/>
      <c r="H81" s="9" t="n"/>
      <c r="I81" s="149" t="n"/>
    </row>
    <row r="82" ht="20" customHeight="1">
      <c r="A82" s="150" t="inlineStr">
        <is>
          <t>C-10.08</t>
        </is>
      </c>
      <c r="B82" s="151" t="inlineStr">
        <is>
          <t>(Available for new custom item)</t>
        </is>
      </c>
      <c r="C82" s="152" t="inlineStr">
        <is>
          <t>quintal</t>
        </is>
      </c>
      <c r="D82" s="152" t="n">
        <v>1</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11: Tile, stone, marble, and concrete flooring. Consumes mortar bedding (from 03_Mortars), flooring tiles, neat cement slurry, and floor polishing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Flooring material</t>
        </is>
      </c>
      <c r="B10" s="88" t="inlineStr">
        <is>
          <t>precast terrazzo tiles</t>
        </is>
      </c>
      <c r="C10" s="30" t="inlineStr">
        <is>
          <t>DRIVES COST</t>
        </is>
      </c>
      <c r="D10" s="140" t="inlineStr">
        <is>
          <t>Material row 1</t>
        </is>
      </c>
      <c r="E10" s="24" t="inlineStr">
        <is>
          <t>DAR 11.1 (brick on edge), 11.2 (dry brick on edge on mud mortar), 11.3 (cement concrete flooring) and the tile items are separate analyses with entirely different material lines.</t>
        </is>
      </c>
      <c r="F10" s="60" t="n"/>
      <c r="G10" s="60" t="n"/>
      <c r="H10" s="60" t="n"/>
      <c r="I10" s="60" t="n"/>
    </row>
    <row r="11" ht="32" customHeight="1">
      <c r="A11" s="87" t="inlineStr">
        <is>
          <t>Bedding mortar ratio</t>
        </is>
      </c>
      <c r="B11" s="88" t="inlineStr">
        <is>
          <t>cement mortar 1:4 (1 cement : 4 coarse sand)</t>
        </is>
      </c>
      <c r="C11" s="30" t="inlineStr">
        <is>
          <t>DRIVES COST</t>
        </is>
      </c>
      <c r="D11" s="140" t="inlineStr">
        <is>
          <t>Mortar import row</t>
        </is>
      </c>
      <c r="E11" s="24" t="inlineStr">
        <is>
          <t>DAR 11.1.1 imports Mortar item 3.9 (1:4) and 11.1.2 imports 3.11 (1:6) for the identical brick flooring; 11.2 imports 3.18 (mud mortar) instead. The bed is a live cost lever.</t>
        </is>
      </c>
      <c r="F11" s="60" t="n"/>
      <c r="G11" s="60" t="n"/>
      <c r="H11" s="60" t="n"/>
      <c r="I11" s="60" t="n"/>
    </row>
    <row r="12" ht="32" customHeight="1">
      <c r="A12" s="87" t="inlineStr">
        <is>
          <t>Flooring thickness</t>
        </is>
      </c>
      <c r="B12" s="88" t="inlineStr">
        <is>
          <t>40 mm thick</t>
        </is>
      </c>
      <c r="C12" s="30" t="inlineStr">
        <is>
          <t>DRIVES COST</t>
        </is>
      </c>
      <c r="D12" s="140" t="inlineStr">
        <is>
          <t>Material coeffs</t>
        </is>
      </c>
      <c r="E12" s="24" t="inlineStr">
        <is>
          <t>DAR 11.3.1 (40 mm), 11.4 (52 mm with hardener topping) and 11.5 (62 mm with hardener topping) are separate printed items with rising material quantities.</t>
        </is>
      </c>
      <c r="F12" s="60" t="n"/>
      <c r="G12" s="60" t="n"/>
      <c r="H12" s="60" t="n"/>
      <c r="I12" s="60" t="n"/>
    </row>
    <row r="13" ht="32" customHeight="1">
      <c r="A13" s="87" t="inlineStr">
        <is>
          <t>Surface finish</t>
        </is>
      </c>
      <c r="B13" s="88" t="inlineStr">
        <is>
          <t>finished with a floating coat of neat cement</t>
        </is>
      </c>
      <c r="C13" s="30" t="inlineStr">
        <is>
          <t>DRIVES COST</t>
        </is>
      </c>
      <c r="D13" s="140" t="inlineStr">
        <is>
          <t>Material / labour rows</t>
        </is>
      </c>
      <c r="E13" s="24" t="inlineStr">
        <is>
          <t>DAR 11.3 is finished "with a floating coat of neat cement" - a costed cement line - while 11.4 and 11.5 carry a concrete hardener topping instead, at a different rate.</t>
        </is>
      </c>
      <c r="F13" s="60" t="n"/>
      <c r="G13" s="60" t="n"/>
      <c r="H13" s="60" t="n"/>
      <c r="I13" s="60" t="n"/>
    </row>
    <row r="14" ht="32" customHeight="1">
      <c r="A14" s="87" t="inlineStr">
        <is>
          <t>Bedding thickness</t>
        </is>
      </c>
      <c r="B14" s="88" t="inlineStr">
        <is>
          <t>on a bed of 12 mm cement mortar</t>
        </is>
      </c>
      <c r="C14" s="30" t="inlineStr">
        <is>
          <t>DRIVES COST</t>
        </is>
      </c>
      <c r="D14" s="140" t="inlineStr">
        <is>
          <t>Mortar import row</t>
        </is>
      </c>
      <c r="E14" s="24" t="inlineStr">
        <is>
          <t>DAR 11.1 states the bed thickness in the item title ("on a bed of 12 mm cement mortar"), which sets the mortar volume per sqm.</t>
        </is>
      </c>
      <c r="F14" s="60" t="n"/>
      <c r="G14" s="60" t="n"/>
      <c r="H14" s="60" t="n"/>
      <c r="I14" s="60" t="n"/>
    </row>
    <row r="15" ht="32" customHeight="1">
      <c r="A15" s="87" t="inlineStr">
        <is>
          <t>Laying pattern</t>
        </is>
      </c>
      <c r="B15" s="88" t="inlineStr">
        <is>
          <t>in required pattern</t>
        </is>
      </c>
      <c r="C15" s="2" t="inlineStr">
        <is>
          <t>NOMENCLATURE ONLY</t>
        </is>
      </c>
      <c r="D15" s="140" t="inlineStr">
        <is>
          <t>-</t>
        </is>
      </c>
      <c r="E15" s="24" t="inlineStr">
        <is>
          <t>DAR 11.2 says "in required pattern" and prices one rate; the book gives no pattern-by-pattern differential.</t>
        </is>
      </c>
      <c r="F15" s="60" t="n"/>
      <c r="G15" s="60" t="n"/>
      <c r="H15" s="60" t="n"/>
      <c r="I15" s="60" t="n"/>
    </row>
    <row r="16" ht="22" customHeight="1">
      <c r="A16" s="16" t="inlineStr">
        <is>
          <t>Custom Item Code:</t>
        </is>
      </c>
      <c r="B16" s="61" t="inlineStr">
        <is>
          <t>C-11.01</t>
        </is>
      </c>
      <c r="C16" s="16" t="inlineStr">
        <is>
          <t>Batch Output Basis:</t>
        </is>
      </c>
      <c r="D16" s="92" t="n">
        <v>10</v>
      </c>
      <c r="E16" s="16" t="inlineStr">
        <is>
          <t>Output Unit:</t>
        </is>
      </c>
      <c r="F16" s="61" t="inlineStr">
        <is>
          <t>sqm</t>
        </is>
      </c>
      <c r="G16" s="16" t="inlineStr">
        <is>
          <t>Trade Sub-Head:</t>
        </is>
      </c>
      <c r="H16" s="35" t="inlineStr">
        <is>
          <t>11 Flooring</t>
        </is>
      </c>
      <c r="I16" s="67" t="inlineStr">
        <is>
          <t>Output Unit Note:</t>
        </is>
      </c>
    </row>
    <row r="17" ht="40" customHeight="1">
      <c r="A17" s="16" t="inlineStr">
        <is>
          <t>Assembled Item Nomenclature:</t>
        </is>
      </c>
      <c r="B17" s="141">
        <f>IF(I17&lt;&gt;"", I17, "Flooring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Neat cement slurry</t>
        </is>
      </c>
      <c r="B20" s="92" t="n">
        <v>4.4</v>
      </c>
      <c r="C20" s="19" t="inlineStr">
        <is>
          <t>kg / sqm</t>
        </is>
      </c>
      <c r="D20" s="140" t="inlineStr">
        <is>
          <t>Cement row</t>
        </is>
      </c>
      <c r="E20" s="24" t="inlineStr">
        <is>
          <t>The floating coat of neat cement is priced as a separate cement quantity per sqm in the DAR flooring items.</t>
        </is>
      </c>
      <c r="F20" s="60" t="n"/>
      <c r="G20" s="60" t="n"/>
      <c r="H20" s="60" t="n"/>
      <c r="I20" s="60" t="n"/>
    </row>
    <row r="21" ht="30" customHeight="1">
      <c r="A21" s="87" t="inlineStr">
        <is>
          <t>Bedding mortar consumption</t>
        </is>
      </c>
      <c r="B21" s="156" t="n">
        <v>0.012</v>
      </c>
      <c r="C21" s="19" t="inlineStr">
        <is>
          <t>cum / sqm</t>
        </is>
      </c>
      <c r="D21" s="140" t="inlineStr">
        <is>
          <t>Mortar import row</t>
        </is>
      </c>
      <c r="E21" s="24" t="inlineStr">
        <is>
          <t>A 12 mm bed over 1 sqm is 0.012 cum, which is how the DAR derives the mortar line.</t>
        </is>
      </c>
      <c r="F21" s="60" t="n"/>
      <c r="G21" s="60" t="n"/>
      <c r="H21" s="60" t="n"/>
      <c r="I21" s="60" t="n"/>
    </row>
    <row r="22" ht="30" customHeight="1">
      <c r="A22" s="87" t="inlineStr">
        <is>
          <t>Tile wastage allowance</t>
        </is>
      </c>
      <c r="B22" s="92" t="n">
        <v>5</v>
      </c>
      <c r="C22" s="19" t="inlineStr">
        <is>
          <t>%</t>
        </is>
      </c>
      <c r="D22" s="140" t="inlineStr">
        <is>
          <t>Material row 1</t>
        </is>
      </c>
      <c r="E22" s="24" t="inlineStr">
        <is>
          <t>Cutting waste at edges and around obstructions; the DAR absorbs it in the printed coefficient, so set 0 to reproduce the book exactly.</t>
        </is>
      </c>
      <c r="F22" s="60" t="n"/>
      <c r="G22" s="60" t="n"/>
      <c r="H22" s="60" t="n"/>
      <c r="I22" s="60" t="n"/>
    </row>
    <row r="23" ht="30" customHeight="1">
      <c r="A23" s="87" t="inlineStr">
        <is>
          <t>Polishing machine productivity</t>
        </is>
      </c>
      <c r="B23" s="154" t="n">
        <v>0.1</v>
      </c>
      <c r="C23" s="19" t="inlineStr">
        <is>
          <t>days / 10 sqm</t>
        </is>
      </c>
      <c r="D23" s="140" t="inlineStr">
        <is>
          <t>Plant row</t>
        </is>
      </c>
      <c r="E23" s="24" t="inlineStr">
        <is>
          <t>Floor rubbing and polishing machine (code 0013) is a day-rated plant line including operator and fuel per CPWD Note 1.</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0291</t>
        </is>
      </c>
      <c r="C28" s="82">
        <f>IF(B28="","", IFERROR(INDEX(Rates_Master!$C:$C, MATCH(B28, Rates_Master!$A:$A, 0)), "Custom / Intermediate Material"))</f>
        <v/>
      </c>
      <c r="D28" s="63">
        <f>IF(B28="","", IFERROR(INDEX(Rates_Master!$D:$D, MATCH(B28, Rates_Master!$A:$A, 0)), ""))</f>
        <v/>
      </c>
      <c r="E28" s="64" t="n">
        <v>10</v>
      </c>
      <c r="F28" s="65">
        <f>IF(B28="","", IFERROR(INDEX(Rates_Master!$E:$E, MATCH(B28, Rates_Master!$A:$A, 0)), 0))</f>
        <v/>
      </c>
      <c r="G28" s="43">
        <f>IF(OR(B28="", E28=""), 0, ROUND(E28 * F28, 2))</f>
        <v/>
      </c>
      <c r="H28" s="144" t="inlineStr">
        <is>
          <t>Precast terrazzo tiles 20mm thick (sqm)</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0.05</v>
      </c>
      <c r="F29" s="65">
        <f>IF(B29="","", IFERROR(INDEX(Rates_Master!$E:$E, MATCH(B29, Rates_Master!$A:$A, 0)), 0))</f>
        <v/>
      </c>
      <c r="G29" s="43">
        <f>IF(OR(B29="", E29=""), 0, ROUND(E29 * F29, 2))</f>
        <v/>
      </c>
      <c r="H29" s="144" t="inlineStr">
        <is>
          <t>Carriage of tiles</t>
        </is>
      </c>
      <c r="I29" s="61" t="inlineStr"/>
    </row>
    <row r="30" ht="20" customHeight="1">
      <c r="A30" s="19" t="n">
        <v>3</v>
      </c>
      <c r="B30" s="61" t="inlineStr">
        <is>
          <t>03_Mortars</t>
        </is>
      </c>
      <c r="C30" s="82" t="inlineStr">
        <is>
          <t>Cement mortar 1:4 (Bedding mortar from 03_Mortars or DAR 3.9)</t>
        </is>
      </c>
      <c r="D30" s="63" t="inlineStr">
        <is>
          <t>cum</t>
        </is>
      </c>
      <c r="E30" s="64" t="n">
        <v>0.2</v>
      </c>
      <c r="F30" s="65">
        <f>'03_Mortars'!G69</f>
        <v/>
      </c>
      <c r="G30" s="43">
        <f>IF(OR(B30="", E30=""), 0, ROUND(E30 * F30, 2))</f>
        <v/>
      </c>
      <c r="H30" s="144" t="inlineStr">
        <is>
          <t>Bedding mortar</t>
        </is>
      </c>
      <c r="I30" s="61" t="inlineStr"/>
    </row>
    <row r="31" ht="20" customHeight="1">
      <c r="A31" s="19" t="n">
        <v>4</v>
      </c>
      <c r="B31" s="61" t="inlineStr">
        <is>
          <t>0367</t>
        </is>
      </c>
      <c r="C31" s="82">
        <f>IF(B31="","", IFERROR(INDEX(Rates_Master!$C:$C, MATCH(B31, Rates_Master!$A:$A, 0)), "Custom / Intermediate Material"))</f>
        <v/>
      </c>
      <c r="D31" s="63">
        <f>IF(B31="","", IFERROR(INDEX(Rates_Master!$D:$D, MATCH(B31, Rates_Master!$A:$A, 0)), ""))</f>
        <v/>
      </c>
      <c r="E31" s="64" t="n">
        <v>0.044</v>
      </c>
      <c r="F31" s="65">
        <f>IF(B31="","", IFERROR(INDEX(Rates_Master!$E:$E, MATCH(B31, Rates_Master!$A:$A, 0)), 0))</f>
        <v/>
      </c>
      <c r="G31" s="43">
        <f>IF(OR(B31="", E31=""), 0, ROUND(E31 * F31, 2))</f>
        <v/>
      </c>
      <c r="H31" s="144" t="inlineStr">
        <is>
          <t>Cement for neat cement slurry (4.4 kg/sqm)</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4"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4"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1.2</v>
      </c>
      <c r="F42" s="65">
        <f>IF(B42="","", IFERROR(INDEX(Rates_Master!$E:$E, MATCH(B42, Rates_Master!$A:$A, 0)), 0))</f>
        <v/>
      </c>
      <c r="G42" s="43">
        <f>IF(OR(B42="", E42=""), 0, ROUND(E42 * F42, 2))</f>
        <v/>
      </c>
      <c r="H42" s="144" t="inlineStr">
        <is>
          <t>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1.2</v>
      </c>
      <c r="F43" s="65">
        <f>IF(B43="","", IFERROR(INDEX(Rates_Master!$E:$E, MATCH(B43, Rates_Master!$A:$A, 0)), 0))</f>
        <v/>
      </c>
      <c r="G43" s="43">
        <f>IF(OR(B43="", E43=""), 0, ROUND(E43 * F43, 2))</f>
        <v/>
      </c>
      <c r="H43" s="144"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4" t="inlineStr">
        <is>
          <t>Bhisti</t>
        </is>
      </c>
      <c r="I44" s="6" t="inlineStr"/>
    </row>
    <row r="45" ht="20" customHeight="1">
      <c r="A45" s="19" t="n">
        <v>4</v>
      </c>
      <c r="B45" s="61" t="inlineStr">
        <is>
          <t>0013</t>
        </is>
      </c>
      <c r="C45" s="82">
        <f>IF(B45="","", IFERROR(INDEX(Rates_Master!$C:$C, MATCH(B45, Rates_Master!$A:$A, 0)), "Custom Labour / Plant"))</f>
        <v/>
      </c>
      <c r="D45" s="63">
        <f>IF(B45="","", IFERROR(INDEX(Rates_Master!$D:$D, MATCH(B45, Rates_Master!$A:$A, 0)), ""))</f>
        <v/>
      </c>
      <c r="E45" s="64" t="n">
        <v>0.3</v>
      </c>
      <c r="F45" s="65">
        <f>IF(B45="","", IFERROR(INDEX(Rates_Master!$E:$E, MATCH(B45, Rates_Master!$A:$A, 0)), 0))</f>
        <v/>
      </c>
      <c r="G45" s="43">
        <f>IF(OR(B45="", E45=""), 0, ROUND(E45 * F45, 2))</f>
        <v/>
      </c>
      <c r="H45" s="144" t="inlineStr">
        <is>
          <t>Machine for rubbing &amp; polishing of floors</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11.3.1</t>
        </is>
      </c>
      <c r="B75" s="147" t="inlineStr">
        <is>
          <t>Precast terrazzo tiles 20 mm thick laid in floors in CM 1:4</t>
        </is>
      </c>
      <c r="C75" s="148" t="inlineStr">
        <is>
          <t>sqm</t>
        </is>
      </c>
      <c r="D75" s="148" t="n">
        <v>10</v>
      </c>
      <c r="E75" s="149" t="n">
        <v>7850</v>
      </c>
      <c r="F75" s="148" t="inlineStr">
        <is>
          <t>Full W-&gt;X-&gt;Y-&gt;Z</t>
        </is>
      </c>
      <c r="G75" s="149" t="n">
        <v>1049.8</v>
      </c>
      <c r="H75" s="9" t="n">
        <v>1049.8</v>
      </c>
      <c r="I75" s="149" t="n"/>
    </row>
    <row r="76" ht="20" customHeight="1">
      <c r="A76" s="150" t="inlineStr">
        <is>
          <t>C-11.02</t>
        </is>
      </c>
      <c r="B76" s="151" t="inlineStr">
        <is>
          <t>(Available for new custom item)</t>
        </is>
      </c>
      <c r="C76" s="152" t="inlineStr">
        <is>
          <t>sqm</t>
        </is>
      </c>
      <c r="D76" s="152" t="n">
        <v>10</v>
      </c>
      <c r="E76" s="153" t="n"/>
      <c r="F76" s="152" t="inlineStr">
        <is>
          <t>Full W-&gt;X-&gt;Y-&gt;Z</t>
        </is>
      </c>
      <c r="G76" s="153" t="n"/>
      <c r="H76" s="5" t="n"/>
      <c r="I76" s="153" t="n"/>
    </row>
    <row r="77" ht="20" customHeight="1">
      <c r="A77" s="146" t="inlineStr">
        <is>
          <t>C-11.03</t>
        </is>
      </c>
      <c r="B77" s="147" t="inlineStr">
        <is>
          <t>(Available for new custom item)</t>
        </is>
      </c>
      <c r="C77" s="148" t="inlineStr">
        <is>
          <t>sqm</t>
        </is>
      </c>
      <c r="D77" s="148" t="n">
        <v>10</v>
      </c>
      <c r="E77" s="149" t="n"/>
      <c r="F77" s="148" t="inlineStr">
        <is>
          <t>Full W-&gt;X-&gt;Y-&gt;Z</t>
        </is>
      </c>
      <c r="G77" s="149" t="n"/>
      <c r="H77" s="9" t="n"/>
      <c r="I77" s="149" t="n"/>
    </row>
    <row r="78" ht="20" customHeight="1">
      <c r="A78" s="150" t="inlineStr">
        <is>
          <t>C-11.04</t>
        </is>
      </c>
      <c r="B78" s="151" t="inlineStr">
        <is>
          <t>(Available for new custom item)</t>
        </is>
      </c>
      <c r="C78" s="152" t="inlineStr">
        <is>
          <t>sqm</t>
        </is>
      </c>
      <c r="D78" s="152" t="n">
        <v>10</v>
      </c>
      <c r="E78" s="153" t="n"/>
      <c r="F78" s="152" t="inlineStr">
        <is>
          <t>Full W-&gt;X-&gt;Y-&gt;Z</t>
        </is>
      </c>
      <c r="G78" s="153" t="n"/>
      <c r="H78" s="5" t="n"/>
      <c r="I78" s="153" t="n"/>
    </row>
    <row r="79" ht="20" customHeight="1">
      <c r="A79" s="146" t="inlineStr">
        <is>
          <t>C-11.05</t>
        </is>
      </c>
      <c r="B79" s="147" t="inlineStr">
        <is>
          <t>(Available for new custom item)</t>
        </is>
      </c>
      <c r="C79" s="148" t="inlineStr">
        <is>
          <t>sqm</t>
        </is>
      </c>
      <c r="D79" s="148" t="n">
        <v>10</v>
      </c>
      <c r="E79" s="149" t="n"/>
      <c r="F79" s="148" t="inlineStr">
        <is>
          <t>Full W-&gt;X-&gt;Y-&gt;Z</t>
        </is>
      </c>
      <c r="G79" s="149" t="n"/>
      <c r="H79" s="9" t="n"/>
      <c r="I79" s="149" t="n"/>
    </row>
    <row r="80" ht="20" customHeight="1">
      <c r="A80" s="150" t="inlineStr">
        <is>
          <t>C-11.06</t>
        </is>
      </c>
      <c r="B80" s="151" t="inlineStr">
        <is>
          <t>(Available for new custom item)</t>
        </is>
      </c>
      <c r="C80" s="152" t="inlineStr">
        <is>
          <t>sqm</t>
        </is>
      </c>
      <c r="D80" s="152" t="n">
        <v>10</v>
      </c>
      <c r="E80" s="153" t="n"/>
      <c r="F80" s="152" t="inlineStr">
        <is>
          <t>Full W-&gt;X-&gt;Y-&gt;Z</t>
        </is>
      </c>
      <c r="G80" s="153" t="n"/>
      <c r="H80" s="5" t="n"/>
      <c r="I80" s="153" t="n"/>
    </row>
    <row r="81" ht="20" customHeight="1">
      <c r="A81" s="146" t="inlineStr">
        <is>
          <t>C-11.07</t>
        </is>
      </c>
      <c r="B81" s="147" t="inlineStr">
        <is>
          <t>(Available for new custom item)</t>
        </is>
      </c>
      <c r="C81" s="148" t="inlineStr">
        <is>
          <t>sqm</t>
        </is>
      </c>
      <c r="D81" s="148" t="n">
        <v>10</v>
      </c>
      <c r="E81" s="149" t="n"/>
      <c r="F81" s="148" t="inlineStr">
        <is>
          <t>Full W-&gt;X-&gt;Y-&gt;Z</t>
        </is>
      </c>
      <c r="G81" s="149" t="n"/>
      <c r="H81" s="9" t="n"/>
      <c r="I81" s="149" t="n"/>
    </row>
    <row r="82" ht="20" customHeight="1">
      <c r="A82" s="150" t="inlineStr">
        <is>
          <t>C-11.08</t>
        </is>
      </c>
      <c r="B82" s="151" t="inlineStr">
        <is>
          <t>(Available for new custom item)</t>
        </is>
      </c>
      <c r="C82" s="152" t="inlineStr">
        <is>
          <t>sqm</t>
        </is>
      </c>
      <c r="D82" s="152" t="n">
        <v>10</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12: Sheet roofing and roof waterproofing. Includes corrugated G.S. sheets (with 5% lap wastage), J/L hooks, bolts, bitumen/limpet washers, and painter/carpenter labour.</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Sheet thickness</t>
        </is>
      </c>
      <c r="B10" s="88" t="inlineStr">
        <is>
          <t>1.00 mm thick</t>
        </is>
      </c>
      <c r="C10" s="30" t="inlineStr">
        <is>
          <t>DRIVES COST</t>
        </is>
      </c>
      <c r="D10" s="140" t="inlineStr">
        <is>
          <t>Material row 1</t>
        </is>
      </c>
      <c r="E10" s="24" t="inlineStr">
        <is>
          <t>The dominant driver. DAR 12.1.1 (1.00 mm), 12.1.2 (0.80 mm) and 12.1.3 (0.63 mm) derive the sheet weight explicitly - 17.72 kg per sheet at 0.80 mm against 13.38 kg at 0.63 mm - so the material line moves with thickness.</t>
        </is>
      </c>
      <c r="F10" s="60" t="n"/>
      <c r="G10" s="60" t="n"/>
      <c r="H10" s="60" t="n"/>
      <c r="I10" s="60" t="n"/>
    </row>
    <row r="11" ht="32" customHeight="1">
      <c r="A11" s="87" t="inlineStr">
        <is>
          <t>Sheet type</t>
        </is>
      </c>
      <c r="B11" s="88" t="inlineStr">
        <is>
          <t>corrugated G.S. sheet</t>
        </is>
      </c>
      <c r="C11" s="30" t="inlineStr">
        <is>
          <t>DRIVES COST</t>
        </is>
      </c>
      <c r="D11" s="140" t="inlineStr">
        <is>
          <t>Material row 1</t>
        </is>
      </c>
      <c r="E11" s="24" t="inlineStr">
        <is>
          <t>DAR 12.1 (corrugated G.S. sheet roofing) and 12.4 (plain G.S. sheet ridges and hips) use different material codes and different fixing labour.</t>
        </is>
      </c>
      <c r="F11" s="60" t="n"/>
      <c r="G11" s="60" t="n"/>
      <c r="H11" s="60" t="n"/>
      <c r="I11" s="60" t="n"/>
    </row>
    <row r="12" ht="32" customHeight="1">
      <c r="A12" s="87" t="inlineStr">
        <is>
          <t>Zinc coating</t>
        </is>
      </c>
      <c r="B12" s="88" t="inlineStr">
        <is>
          <t>zinc coating not less than 275 gm/sqm</t>
        </is>
      </c>
      <c r="C12" s="2" t="inlineStr">
        <is>
          <t>NOMENCLATURE ONLY</t>
        </is>
      </c>
      <c r="D12" s="140" t="inlineStr">
        <is>
          <t>-</t>
        </is>
      </c>
      <c r="E12" s="24" t="inlineStr">
        <is>
          <t>DAR 12.1.1-12.1.3 all state "zinc coating not less than 275 gm/m2" - it is a specification threshold the book applies to every thickness, not a rate differential.</t>
        </is>
      </c>
      <c r="F12" s="60" t="n"/>
      <c r="G12" s="60" t="n"/>
      <c r="H12" s="60" t="n"/>
      <c r="I12" s="60" t="n"/>
    </row>
    <row r="13" ht="32" customHeight="1">
      <c r="A13" s="87" t="inlineStr">
        <is>
          <t>Fixing hardware</t>
        </is>
      </c>
      <c r="B13" s="88" t="inlineStr">
        <is>
          <t>polymer coated J or L hooks, bolts and nuts</t>
        </is>
      </c>
      <c r="C13" s="30" t="inlineStr">
        <is>
          <t>DRIVES COST</t>
        </is>
      </c>
      <c r="D13" s="140" t="inlineStr">
        <is>
          <t>Material rows 3-6</t>
        </is>
      </c>
      <c r="E13" s="24" t="inlineStr">
        <is>
          <t>The DAR prices the hooks (code 1023), bolts and nuts (1022), G.I. limpet washers (1207) and bitumen washers (1208) as four separate costed material lines.</t>
        </is>
      </c>
      <c r="F13" s="60" t="n"/>
      <c r="G13" s="60" t="n"/>
      <c r="H13" s="60" t="n"/>
      <c r="I13" s="60" t="n"/>
    </row>
    <row r="14" ht="32" customHeight="1">
      <c r="A14" s="87" t="inlineStr">
        <is>
          <t>Surface type</t>
        </is>
      </c>
      <c r="B14" s="88" t="inlineStr">
        <is>
          <t>vertical / curved surface included</t>
        </is>
      </c>
      <c r="C14" s="2" t="inlineStr">
        <is>
          <t>NOMENCLATURE ONLY</t>
        </is>
      </c>
      <c r="D14" s="140" t="inlineStr">
        <is>
          <t>-</t>
        </is>
      </c>
      <c r="E14" s="24" t="inlineStr">
        <is>
          <t>DAR 12.1 is titled "including vertical / curved surface" and prices one rate for both, so the clause does not carry its own figure.</t>
        </is>
      </c>
      <c r="F14" s="60" t="n"/>
      <c r="G14" s="60" t="n"/>
      <c r="H14" s="60" t="n"/>
      <c r="I14" s="60" t="n"/>
    </row>
    <row r="15" ht="32" customHeight="1">
      <c r="A15" s="87" t="inlineStr">
        <is>
          <t>Openings and cutting</t>
        </is>
      </c>
      <c r="B15" s="88" t="inlineStr">
        <is>
          <t>no openings</t>
        </is>
      </c>
      <c r="C15" s="30" t="inlineStr">
        <is>
          <t>DRIVES COST</t>
        </is>
      </c>
      <c r="D15" s="140" t="inlineStr">
        <is>
          <t>Labour rows</t>
        </is>
      </c>
      <c r="E15" s="24" t="inlineStr">
        <is>
          <t>DAR 12.2 (straight cutting) and 12.3 (circular cutting) are explicit EXTRA items for openings exceeding 40 sq decimetre, each analysed by thickness - so cutting is separately costed data.</t>
        </is>
      </c>
      <c r="F15" s="60" t="n"/>
      <c r="G15" s="60" t="n"/>
      <c r="H15" s="60" t="n"/>
      <c r="I15" s="60" t="n"/>
    </row>
    <row r="16" ht="22" customHeight="1">
      <c r="A16" s="16" t="inlineStr">
        <is>
          <t>Custom Item Code:</t>
        </is>
      </c>
      <c r="B16" s="61" t="inlineStr">
        <is>
          <t>C-12.01</t>
        </is>
      </c>
      <c r="C16" s="16" t="inlineStr">
        <is>
          <t>Batch Output Basis:</t>
        </is>
      </c>
      <c r="D16" s="92" t="n">
        <v>184.52</v>
      </c>
      <c r="E16" s="16" t="inlineStr">
        <is>
          <t>Output Unit:</t>
        </is>
      </c>
      <c r="F16" s="61" t="inlineStr">
        <is>
          <t>sqm</t>
        </is>
      </c>
      <c r="G16" s="16" t="inlineStr">
        <is>
          <t>Trade Sub-Head:</t>
        </is>
      </c>
      <c r="H16" s="35" t="inlineStr">
        <is>
          <t>12 Roofing</t>
        </is>
      </c>
      <c r="I16" s="67" t="inlineStr">
        <is>
          <t>Output Unit Note:</t>
        </is>
      </c>
    </row>
    <row r="17" ht="40" customHeight="1">
      <c r="A17" s="16" t="inlineStr">
        <is>
          <t>Assembled Item Nomenclature:</t>
        </is>
      </c>
      <c r="B17" s="141">
        <f>IF(I17&lt;&gt;"", I17, "Providing roofing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2"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Lap and wastage allowance</t>
        </is>
      </c>
      <c r="B20" s="92" t="n">
        <v>5</v>
      </c>
      <c r="C20" s="19" t="inlineStr">
        <is>
          <t>%</t>
        </is>
      </c>
      <c r="D20" s="140" t="inlineStr">
        <is>
          <t>Material row 1</t>
        </is>
      </c>
      <c r="E20" s="24" t="inlineStr">
        <is>
          <t>Side and end laps mean more sheet is bought than roof is covered; the DAR builds the lap into its sheet-count derivation for each roof geometry.</t>
        </is>
      </c>
      <c r="F20" s="60" t="n"/>
      <c r="G20" s="60" t="n"/>
      <c r="H20" s="60" t="n"/>
      <c r="I20" s="60" t="n"/>
    </row>
    <row r="21" ht="30" customHeight="1">
      <c r="A21" s="87" t="inlineStr">
        <is>
          <t>Sheet unit weight</t>
        </is>
      </c>
      <c r="B21" s="92" t="n">
        <v>17.72</v>
      </c>
      <c r="C21" s="19" t="inlineStr">
        <is>
          <t>kg / sheet</t>
        </is>
      </c>
      <c r="D21" s="140" t="inlineStr">
        <is>
          <t>Material row 1</t>
        </is>
      </c>
      <c r="E21" s="24" t="inlineStr">
        <is>
          <t>DAR 12.1.2 derives this openly: "2.8 x 0.9 @ 17.72 kg each = 956.8 kg". Change it when you change the thickness above.</t>
        </is>
      </c>
      <c r="F21" s="60" t="n"/>
      <c r="G21" s="60" t="n"/>
      <c r="H21" s="60" t="n"/>
      <c r="I21" s="60" t="n"/>
    </row>
    <row r="22" ht="30" customHeight="1">
      <c r="A22" s="87" t="inlineStr">
        <is>
          <t>Hooks per sheet</t>
        </is>
      </c>
      <c r="B22" s="143" t="n">
        <v>8</v>
      </c>
      <c r="C22" s="19" t="inlineStr">
        <is>
          <t>Nos</t>
        </is>
      </c>
      <c r="D22" s="140" t="inlineStr">
        <is>
          <t>Material rows 3-4</t>
        </is>
      </c>
      <c r="E22" s="24" t="inlineStr">
        <is>
          <t>Fixing hardware is counted per sheet in the DAR derivation rather than per sqm.</t>
        </is>
      </c>
      <c r="F22" s="60" t="n"/>
      <c r="G22" s="60" t="n"/>
      <c r="H22" s="60" t="n"/>
      <c r="I22" s="60" t="n"/>
    </row>
    <row r="23" ht="30" customHeight="1">
      <c r="A23" s="87" t="inlineStr">
        <is>
          <t>Priming and painting of laps</t>
        </is>
      </c>
      <c r="B23" s="61" t="inlineStr">
        <is>
          <t>YES</t>
        </is>
      </c>
      <c r="C23" s="19" t="inlineStr">
        <is>
          <t>YES / NO</t>
        </is>
      </c>
      <c r="D23" s="140" t="inlineStr">
        <is>
          <t>Painter row</t>
        </is>
      </c>
      <c r="E23" s="24" t="inlineStr">
        <is>
          <t>DAR 12.1 items carry a Painter line for priming and painting the overlaps; toggle drives whether that labour row applies.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40">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3050</t>
        </is>
      </c>
      <c r="C28" s="82">
        <f>IF(B28="","", IFERROR(INDEX(Rates_Master!$C:$C, MATCH(B28, Rates_Master!$A:$A, 0)), "Custom / Intermediate Material"))</f>
        <v/>
      </c>
      <c r="D28" s="63">
        <f>IF(B28="","", IFERROR(INDEX(Rates_Master!$D:$D, MATCH(B28, Rates_Master!$A:$A, 0)), ""))</f>
        <v/>
      </c>
      <c r="E28" s="64" t="n">
        <v>23.26</v>
      </c>
      <c r="F28" s="65">
        <f>IF(B28="","", IFERROR(INDEX(Rates_Master!$E:$E, MATCH(B28, Rates_Master!$A:$A, 0)), 0))</f>
        <v/>
      </c>
      <c r="G28" s="43">
        <f>IF(OR(B28="", E28=""), 0, ROUND(E28 * F28, 2))</f>
        <v/>
      </c>
      <c r="H28" s="144" t="inlineStr">
        <is>
          <t>Galvanised steel corrugated sheets (quintal)</t>
        </is>
      </c>
      <c r="I28" s="61" t="inlineStr"/>
    </row>
    <row r="29" ht="20" customHeight="1">
      <c r="A29" s="19" t="n">
        <v>2</v>
      </c>
      <c r="B29" s="61" t="inlineStr">
        <is>
          <t>2302</t>
        </is>
      </c>
      <c r="C29" s="82">
        <f>IF(B29="","", IFERROR(INDEX(Rates_Master!$C:$C, MATCH(B29, Rates_Master!$A:$A, 0)), "Custom / Intermediate Material"))</f>
        <v/>
      </c>
      <c r="D29" s="63">
        <f>IF(B29="","", IFERROR(INDEX(Rates_Master!$D:$D, MATCH(B29, Rates_Master!$A:$A, 0)), ""))</f>
        <v/>
      </c>
      <c r="E29" s="64" t="n">
        <v>2.326</v>
      </c>
      <c r="F29" s="65">
        <f>IF(B29="","", IFERROR(INDEX(Rates_Master!$E:$E, MATCH(B29, Rates_Master!$A:$A, 0)), 0))</f>
        <v/>
      </c>
      <c r="G29" s="43">
        <f>IF(OR(B29="", E29=""), 0, ROUND(E29 * F29, 2))</f>
        <v/>
      </c>
      <c r="H29" s="144" t="inlineStr">
        <is>
          <t>Carriage of G.I. sheet and accessories (tonne)</t>
        </is>
      </c>
      <c r="I29" s="61" t="inlineStr"/>
    </row>
    <row r="30" ht="20" customHeight="1">
      <c r="A30" s="19" t="n">
        <v>3</v>
      </c>
      <c r="B30" s="61" t="inlineStr">
        <is>
          <t>1022</t>
        </is>
      </c>
      <c r="C30" s="82">
        <f>IF(B30="","", IFERROR(INDEX(Rates_Master!$C:$C, MATCH(B30, Rates_Master!$A:$A, 0)), "Custom / Intermediate Material"))</f>
        <v/>
      </c>
      <c r="D30" s="63">
        <f>IF(B30="","", IFERROR(INDEX(Rates_Master!$D:$D, MATCH(B30, Rates_Master!$A:$A, 0)), ""))</f>
        <v/>
      </c>
      <c r="E30" s="64" t="n">
        <v>88.40000000000001</v>
      </c>
      <c r="F30" s="65">
        <f>IF(B30="","", IFERROR(INDEX(Rates_Master!$E:$E, MATCH(B30, Rates_Master!$A:$A, 0)), 0))</f>
        <v/>
      </c>
      <c r="G30" s="43">
        <f>IF(OR(B30="", E30=""), 0, ROUND(E30 * F30, 2))</f>
        <v/>
      </c>
      <c r="H30" s="144" t="inlineStr">
        <is>
          <t>Galvanised steel bolts &amp; nuts 6mm dia, 25mm long (10 Nos)</t>
        </is>
      </c>
      <c r="I30" s="61" t="inlineStr"/>
    </row>
    <row r="31" ht="20" customHeight="1">
      <c r="A31" s="19" t="n">
        <v>4</v>
      </c>
      <c r="B31" s="61" t="inlineStr">
        <is>
          <t>1023</t>
        </is>
      </c>
      <c r="C31" s="82">
        <f>IF(B31="","", IFERROR(INDEX(Rates_Master!$C:$C, MATCH(B31, Rates_Master!$A:$A, 0)), "Custom / Intermediate Material"))</f>
        <v/>
      </c>
      <c r="D31" s="63">
        <f>IF(B31="","", IFERROR(INDEX(Rates_Master!$D:$D, MATCH(B31, Rates_Master!$A:$A, 0)), ""))</f>
        <v/>
      </c>
      <c r="E31" s="64" t="n">
        <v>81</v>
      </c>
      <c r="F31" s="65">
        <f>IF(B31="","", IFERROR(INDEX(Rates_Master!$E:$E, MATCH(B31, Rates_Master!$A:$A, 0)), 0))</f>
        <v/>
      </c>
      <c r="G31" s="43">
        <f>IF(OR(B31="", E31=""), 0, ROUND(E31 * F31, 2))</f>
        <v/>
      </c>
      <c r="H31" s="144" t="inlineStr">
        <is>
          <t>Galvanised steel J or L hooks 8 mm dia (10 Nos)</t>
        </is>
      </c>
      <c r="I31" s="61" t="inlineStr"/>
    </row>
    <row r="32" ht="20" customHeight="1">
      <c r="A32" s="19" t="n">
        <v>5</v>
      </c>
      <c r="B32" s="61" t="inlineStr">
        <is>
          <t>1207</t>
        </is>
      </c>
      <c r="C32" s="82">
        <f>IF(B32="","", IFERROR(INDEX(Rates_Master!$C:$C, MATCH(B32, Rates_Master!$A:$A, 0)), "Custom / Intermediate Material"))</f>
        <v/>
      </c>
      <c r="D32" s="63">
        <f>IF(B32="","", IFERROR(INDEX(Rates_Master!$D:$D, MATCH(B32, Rates_Master!$A:$A, 0)), ""))</f>
        <v/>
      </c>
      <c r="E32" s="64" t="n">
        <v>16.94</v>
      </c>
      <c r="F32" s="65">
        <f>IF(B32="","", IFERROR(INDEX(Rates_Master!$E:$E, MATCH(B32, Rates_Master!$A:$A, 0)), 0))</f>
        <v/>
      </c>
      <c r="G32" s="43">
        <f>IF(OR(B32="", E32=""), 0, ROUND(E32 * F32, 2))</f>
        <v/>
      </c>
      <c r="H32" s="144" t="inlineStr">
        <is>
          <t>G.I. Limpet washer (100 Nos)</t>
        </is>
      </c>
      <c r="I32" s="61" t="inlineStr"/>
    </row>
    <row r="33" ht="20" customHeight="1">
      <c r="A33" s="19" t="n">
        <v>6</v>
      </c>
      <c r="B33" s="61" t="inlineStr">
        <is>
          <t>1208</t>
        </is>
      </c>
      <c r="C33" s="82">
        <f>IF(B33="","", IFERROR(INDEX(Rates_Master!$C:$C, MATCH(B33, Rates_Master!$A:$A, 0)), "Custom / Intermediate Material"))</f>
        <v/>
      </c>
      <c r="D33" s="63">
        <f>IF(B33="","", IFERROR(INDEX(Rates_Master!$D:$D, MATCH(B33, Rates_Master!$A:$A, 0)), ""))</f>
        <v/>
      </c>
      <c r="E33" s="64" t="n">
        <v>16.94</v>
      </c>
      <c r="F33" s="65">
        <f>IF(B33="","", IFERROR(INDEX(Rates_Master!$E:$E, MATCH(B33, Rates_Master!$A:$A, 0)), 0))</f>
        <v/>
      </c>
      <c r="G33" s="43">
        <f>IF(OR(B33="", E33=""), 0, ROUND(E33 * F33, 2))</f>
        <v/>
      </c>
      <c r="H33" s="144" t="inlineStr">
        <is>
          <t>Bitumen washer (100 Nos)</t>
        </is>
      </c>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4"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4"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4"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4"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4</v>
      </c>
      <c r="F42" s="65">
        <f>IF(B42="","", IFERROR(INDEX(Rates_Master!$E:$E, MATCH(B42, Rates_Master!$A:$A, 0)), 0))</f>
        <v/>
      </c>
      <c r="G42" s="43">
        <f>IF(OR(B42="", E42=""), 0, ROUND(E42 * F42, 2))</f>
        <v/>
      </c>
      <c r="H42" s="144" t="inlineStr">
        <is>
          <t>Carpenter / Erector</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6</v>
      </c>
      <c r="F43" s="65">
        <f>IF(B43="","", IFERROR(INDEX(Rates_Master!$E:$E, MATCH(B43, Rates_Master!$A:$A, 0)), 0))</f>
        <v/>
      </c>
      <c r="G43" s="43">
        <f>IF(OR(B43="", E43=""), 0, ROUND(E43 * F43, 2))</f>
        <v/>
      </c>
      <c r="H43" s="144" t="inlineStr">
        <is>
          <t>Beldar</t>
        </is>
      </c>
      <c r="I43" s="6" t="inlineStr"/>
    </row>
    <row r="44" ht="20" customHeight="1">
      <c r="A44" s="19" t="n">
        <v>3</v>
      </c>
      <c r="B44" s="61" t="inlineStr">
        <is>
          <t>0131</t>
        </is>
      </c>
      <c r="C44" s="82">
        <f>IF(B44="","", IFERROR(INDEX(Rates_Master!$C:$C, MATCH(B44, Rates_Master!$A:$A, 0)), "Custom Labour / Plant"))</f>
        <v/>
      </c>
      <c r="D44" s="63">
        <f>IF(B44="","", IFERROR(INDEX(Rates_Master!$D:$D, MATCH(B44, Rates_Master!$A:$A, 0)), ""))</f>
        <v/>
      </c>
      <c r="E44" s="64" t="n">
        <v>2</v>
      </c>
      <c r="F44" s="65">
        <f>IF(B44="","", IFERROR(INDEX(Rates_Master!$E:$E, MATCH(B44, Rates_Master!$A:$A, 0)), 0))</f>
        <v/>
      </c>
      <c r="G44" s="43">
        <f>IF(OR(B44="", E44=""), 0, ROUND(E44 * F44, 2))</f>
        <v/>
      </c>
      <c r="H44" s="144" t="inlineStr">
        <is>
          <t>Painter (for overlap priming &amp; painting)</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4"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4"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4"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4"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4"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4"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4"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5"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40"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5"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40"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5"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40"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5"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40"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5" t="inlineStr">
        <is>
          <t>-</t>
        </is>
      </c>
    </row>
    <row r="69" ht="30" customHeight="1">
      <c r="A69" s="52" t="inlineStr">
        <is>
          <t>SAY</t>
        </is>
      </c>
      <c r="B69" s="121">
        <f>"OFFICIAL SAY RATE (Rs per " &amp; F16 &amp; "):"</f>
        <v/>
      </c>
      <c r="C69" s="122" t="inlineStr">
        <is>
          <t>-</t>
        </is>
      </c>
      <c r="D69" s="122" t="inlineStr">
        <is>
          <t>MROUND to Rs 0.05</t>
        </is>
      </c>
      <c r="E69" s="123" t="inlineStr">
        <is>
          <t>-</t>
        </is>
      </c>
      <c r="F69" s="123" t="inlineStr">
        <is>
          <t>-</t>
        </is>
      </c>
      <c r="G69" s="58">
        <f>MROUND(G68, 0.05)</f>
        <v/>
      </c>
      <c r="H69" s="81" t="inlineStr">
        <is>
          <t>OFFICIAL CPWD ROUNDED RATE FOR TENDER SCHEDULES &amp; ESTIMATES. CPWD quotes Say rates to the nearest 5 paise - see the note directly below this row.</t>
        </is>
      </c>
      <c r="I69" s="124"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6" t="inlineStr">
        <is>
          <t>12.1.1</t>
        </is>
      </c>
      <c r="B75" s="147" t="inlineStr">
        <is>
          <t>Corrugated G.S. sheet roofing 1.00 mm thick with accessories</t>
        </is>
      </c>
      <c r="C75" s="148" t="inlineStr">
        <is>
          <t>sqm</t>
        </is>
      </c>
      <c r="D75" s="148" t="n">
        <v>184.52</v>
      </c>
      <c r="E75" s="149" t="n">
        <v>152340</v>
      </c>
      <c r="F75" s="148" t="inlineStr">
        <is>
          <t>Full W-&gt;X-&gt;Y-&gt;Z</t>
        </is>
      </c>
      <c r="G75" s="149" t="n">
        <v>1104.5</v>
      </c>
      <c r="H75" s="9" t="n">
        <v>1104.5</v>
      </c>
      <c r="I75" s="149" t="n"/>
    </row>
    <row r="76" ht="20" customHeight="1">
      <c r="A76" s="150" t="inlineStr">
        <is>
          <t>C-12.02</t>
        </is>
      </c>
      <c r="B76" s="151" t="inlineStr">
        <is>
          <t>(Available for new custom item)</t>
        </is>
      </c>
      <c r="C76" s="152" t="inlineStr">
        <is>
          <t>sqm</t>
        </is>
      </c>
      <c r="D76" s="152" t="n">
        <v>184.52</v>
      </c>
      <c r="E76" s="153" t="n"/>
      <c r="F76" s="152" t="inlineStr">
        <is>
          <t>Full W-&gt;X-&gt;Y-&gt;Z</t>
        </is>
      </c>
      <c r="G76" s="153" t="n"/>
      <c r="H76" s="5" t="n"/>
      <c r="I76" s="153" t="n"/>
    </row>
    <row r="77" ht="20" customHeight="1">
      <c r="A77" s="146" t="inlineStr">
        <is>
          <t>C-12.03</t>
        </is>
      </c>
      <c r="B77" s="147" t="inlineStr">
        <is>
          <t>(Available for new custom item)</t>
        </is>
      </c>
      <c r="C77" s="148" t="inlineStr">
        <is>
          <t>sqm</t>
        </is>
      </c>
      <c r="D77" s="148" t="n">
        <v>184.52</v>
      </c>
      <c r="E77" s="149" t="n"/>
      <c r="F77" s="148" t="inlineStr">
        <is>
          <t>Full W-&gt;X-&gt;Y-&gt;Z</t>
        </is>
      </c>
      <c r="G77" s="149" t="n"/>
      <c r="H77" s="9" t="n"/>
      <c r="I77" s="149" t="n"/>
    </row>
    <row r="78" ht="20" customHeight="1">
      <c r="A78" s="150" t="inlineStr">
        <is>
          <t>C-12.04</t>
        </is>
      </c>
      <c r="B78" s="151" t="inlineStr">
        <is>
          <t>(Available for new custom item)</t>
        </is>
      </c>
      <c r="C78" s="152" t="inlineStr">
        <is>
          <t>sqm</t>
        </is>
      </c>
      <c r="D78" s="152" t="n">
        <v>184.52</v>
      </c>
      <c r="E78" s="153" t="n"/>
      <c r="F78" s="152" t="inlineStr">
        <is>
          <t>Full W-&gt;X-&gt;Y-&gt;Z</t>
        </is>
      </c>
      <c r="G78" s="153" t="n"/>
      <c r="H78" s="5" t="n"/>
      <c r="I78" s="153" t="n"/>
    </row>
    <row r="79" ht="20" customHeight="1">
      <c r="A79" s="146" t="inlineStr">
        <is>
          <t>C-12.05</t>
        </is>
      </c>
      <c r="B79" s="147" t="inlineStr">
        <is>
          <t>(Available for new custom item)</t>
        </is>
      </c>
      <c r="C79" s="148" t="inlineStr">
        <is>
          <t>sqm</t>
        </is>
      </c>
      <c r="D79" s="148" t="n">
        <v>184.52</v>
      </c>
      <c r="E79" s="149" t="n"/>
      <c r="F79" s="148" t="inlineStr">
        <is>
          <t>Full W-&gt;X-&gt;Y-&gt;Z</t>
        </is>
      </c>
      <c r="G79" s="149" t="n"/>
      <c r="H79" s="9" t="n"/>
      <c r="I79" s="149" t="n"/>
    </row>
    <row r="80" ht="20" customHeight="1">
      <c r="A80" s="150" t="inlineStr">
        <is>
          <t>C-12.06</t>
        </is>
      </c>
      <c r="B80" s="151" t="inlineStr">
        <is>
          <t>(Available for new custom item)</t>
        </is>
      </c>
      <c r="C80" s="152" t="inlineStr">
        <is>
          <t>sqm</t>
        </is>
      </c>
      <c r="D80" s="152" t="n">
        <v>184.52</v>
      </c>
      <c r="E80" s="153" t="n"/>
      <c r="F80" s="152" t="inlineStr">
        <is>
          <t>Full W-&gt;X-&gt;Y-&gt;Z</t>
        </is>
      </c>
      <c r="G80" s="153" t="n"/>
      <c r="H80" s="5" t="n"/>
      <c r="I80" s="153" t="n"/>
    </row>
    <row r="81" ht="20" customHeight="1">
      <c r="A81" s="146" t="inlineStr">
        <is>
          <t>C-12.07</t>
        </is>
      </c>
      <c r="B81" s="147" t="inlineStr">
        <is>
          <t>(Available for new custom item)</t>
        </is>
      </c>
      <c r="C81" s="148" t="inlineStr">
        <is>
          <t>sqm</t>
        </is>
      </c>
      <c r="D81" s="148" t="n">
        <v>184.52</v>
      </c>
      <c r="E81" s="149" t="n"/>
      <c r="F81" s="148" t="inlineStr">
        <is>
          <t>Full W-&gt;X-&gt;Y-&gt;Z</t>
        </is>
      </c>
      <c r="G81" s="149" t="n"/>
      <c r="H81" s="9" t="n"/>
      <c r="I81" s="149" t="n"/>
    </row>
    <row r="82" ht="20" customHeight="1">
      <c r="A82" s="150" t="inlineStr">
        <is>
          <t>C-12.08</t>
        </is>
      </c>
      <c r="B82" s="151" t="inlineStr">
        <is>
          <t>(Available for new custom item)</t>
        </is>
      </c>
      <c r="C82" s="152" t="inlineStr">
        <is>
          <t>sqm</t>
        </is>
      </c>
      <c r="D82" s="152" t="n">
        <v>184.52</v>
      </c>
      <c r="E82" s="153" t="n"/>
      <c r="F82" s="152" t="inlineStr">
        <is>
          <t>Full W-&gt;X-&gt;Y-&gt;Z</t>
        </is>
      </c>
      <c r="G82" s="153" t="n"/>
      <c r="H82" s="5" t="n"/>
      <c r="I82" s="153"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2026-09-08T13:36:17Z</dcterms:created>
  <dcterms:modified xmlns:dcterms="http://purl.org/dc/terms/" xmlns:xsi="http://www.w3.org/2001/XMLSchema-instance" xsi:type="dcterms:W3CDTF">2026-09-08T13:36:21Z</dcterms:modified>
</cp:coreProperties>
</file>